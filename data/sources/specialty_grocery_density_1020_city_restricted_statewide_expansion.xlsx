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5e269498b64dc8" /></Relationships>
</file>

<file path=xl/workbook.xml><?xml version="1.0" encoding="utf-8"?>
<x:workbook xmlns:x="http://schemas.openxmlformats.org/spreadsheetml/2006/main">
  <x:sheets>
    <x:sheet xmlns:r="http://schemas.openxmlformats.org/officeDocument/2006/relationships" name="City Density Ranking" sheetId="1" r:id="R28ac1611a0f84e34"/>
    <x:sheet xmlns:r="http://schemas.openxmlformats.org/officeDocument/2006/relationships" name="Chain Coverage" sheetId="2" r:id="Rba65e9dcbea74b69"/>
    <x:sheet xmlns:r="http://schemas.openxmlformats.org/officeDocument/2006/relationships" name="Methodology" sheetId="3" r:id="Ra500ee9158674b96"/>
    <x:sheet xmlns:r="http://schemas.openxmlformats.org/officeDocument/2006/relationships" name="Sources" sheetId="4" r:id="R388e2f0c3e6447f3"/>
    <x:sheet xmlns:r="http://schemas.openxmlformats.org/officeDocument/2006/relationships" name="County Density Ranking" sheetId="5" r:id="R785abe9bae754bac"/>
    <x:sheet xmlns:r="http://schemas.openxmlformats.org/officeDocument/2006/relationships" name="Guide" sheetId="6" r:id="Rc20316602c604ea7"/>
    <x:sheet xmlns:r="http://schemas.openxmlformats.org/officeDocument/2006/relationships" name="Final QA" sheetId="7" r:id="Reff09e7ba9c2452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000"/>
  </x:numFmts>
  <x:fonts count="10">
    <x:font>
      <x:sz val="11"/>
      <x:name val="Carlito"/>
    </x:font>
    <x:font>
      <x:b/>
      <x:sz val="16"/>
      <x:color rgb="FFFFFFFF"/>
      <x:name val="Carlito"/>
    </x:font>
    <x:font>
      <x:sz val="10"/>
      <x:color rgb="FF5F4500"/>
      <x:name val="Carlito"/>
    </x:font>
    <x:font>
      <x:b/>
      <x:sz val="11"/>
      <x:color rgb="FFFFFFFF"/>
      <x:name val="Carlito"/>
    </x:font>
    <x:font>
      <x:sz val="11"/>
      <x:color rgb="FF24495E"/>
      <x:name val="Carlito"/>
    </x:font>
    <x:font>
      <x:sz val="11"/>
      <x:color rgb="FF5F4500"/>
      <x:name val="Carlito"/>
    </x:font>
    <x:font>
      <x:b/>
      <x:sz val="14"/>
      <x:color rgb="FFFFFFFF"/>
      <x:name val="Carlito"/>
    </x:font>
    <x:font>
      <x:i/>
      <x:sz val="11"/>
      <x:color rgb="FF24495E"/>
      <x:name val="Carlito"/>
    </x:font>
    <x:font>
      <x:i/>
      <x:sz val="11"/>
      <x:name val="Carlito"/>
    </x:font>
    <x:font>
      <x:b/>
      <x:sz val="11"/>
      <x:name val="Carlito"/>
    </x:font>
  </x:fonts>
  <x:fills count="22">
    <x:fill>
      <x:patternFill patternType="none"/>
    </x:fill>
    <x:fill>
      <x:patternFill patternType="gray125"/>
    </x:fill>
    <x:fill>
      <x:patternFill patternType="solid">
        <x:fgColor rgb="FF183B56"/>
      </x:patternFill>
    </x:fill>
    <x:fill>
      <x:patternFill patternType="solid">
        <x:fgColor rgb="FFFFF4CE"/>
      </x:patternFill>
    </x:fill>
    <x:fill>
      <x:patternFill patternType="solid">
        <x:fgColor rgb="FF2F6B8A"/>
      </x:patternFill>
    </x:fill>
    <x:fill>
      <x:patternFill patternType="solid">
        <x:fgColor rgb="FFE8F1F5"/>
      </x:patternFill>
    </x:fill>
    <x:fill>
      <x:patternFill patternType="solid">
        <x:fgColor rgb="FF2F6B8A"/>
      </x:patternFill>
    </x:fill>
    <x:fill>
      <x:patternFill patternType="solid">
        <x:fgColor rgb="FF183B56"/>
      </x:patternFill>
    </x:fill>
    <x:fill>
      <x:patternFill patternType="solid">
        <x:fgColor rgb="FFFFF4CE"/>
      </x:patternFill>
    </x:fill>
    <x:fill>
      <x:patternFill patternType="solid">
        <x:fgColor rgb="FFE8F1F5"/>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83B56"/>
      </x:patternFill>
    </x:fill>
    <x:fill>
      <x:patternFill patternType="solid">
        <x:fgColor rgb="FFFFF4CE"/>
      </x:patternFill>
    </x:fill>
    <x:fill>
      <x:patternFill patternType="solid">
        <x:fgColor rgb="FF2F6B8A"/>
      </x:patternFill>
    </x:fill>
    <x:fill>
      <x:patternFill patternType="solid">
        <x:fgColor rgb="FF183B56"/>
      </x:patternFill>
    </x:fill>
    <x:fill>
      <x:patternFill patternType="solid">
        <x:fgColor rgb="FFFFF4CE"/>
      </x:patternFill>
    </x:fill>
    <x:fill>
      <x:patternFill patternType="solid">
        <x:fgColor rgb="FF2F6B8A"/>
      </x:patternFill>
    </x:fill>
    <x:fill>
      <x:patternFill patternType="solid">
        <x:fgColor rgb="FF183B56"/>
      </x:patternFill>
    </x:fill>
    <x:fill>
      <x:patternFill patternType="solid">
        <x:fgColor rgb="FFFFF4CE"/>
      </x:patternFill>
    </x:fill>
    <x:fill>
      <x:patternFill patternType="solid">
        <x:fgColor rgb="FF2F6B8A"/>
      </x:patternFill>
    </x:fill>
  </x:fills>
  <x:borders count="2">
    <x:border/>
    <x:border/>
  </x:borders>
  <x:cellStyleXfs count="1">
    <x:xf numFmtId="0" fontId="0" fillId="0" borderId="1"/>
  </x:cellStyleXfs>
  <x:cellXfs count="206">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top" wrapText="1"/>
    </x:xf>
    <x:xf numFmtId="0" fontId="0" fillId="3" borderId="1" xfId="0"/>
    <x:xf numFmtId="0" fontId="2" fillId="3" borderId="1" xfId="0"/>
    <x:xf numFmtId="0" fontId="2" fillId="3" borderId="1" xfId="0" applyAlignment="1">
      <x:alignment wrapText="1"/>
    </x:xf>
    <x:xf numFmtId="0" fontId="2" fillId="3" borderId="1" xfId="0" applyAlignment="1">
      <x:alignment vertical="top"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applyAlignment="1">
      <x:alignment wrapText="1"/>
    </x:xf>
    <x:xf numFmtId="0" fontId="0" fillId="0" borderId="1" xfId="0" applyAlignment="1">
      <x:alignment wrapText="1"/>
    </x:xf>
    <x:xf numFmtId="164" fontId="0" fillId="0" borderId="0" xfId="0"/>
    <x:xf numFmtId="164" fontId="0" fillId="0" borderId="1" xfId="0"/>
    <x:xf numFmtId="1" fontId="0" fillId="0" borderId="0" xfId="0"/>
    <x:xf numFmtId="1" fontId="0" fillId="0" borderId="1" xfId="0"/>
    <x:xf numFmtId="165" fontId="0" fillId="0" borderId="0" xfId="0"/>
    <x:xf numFmtId="165" fontId="0" fillId="0" borderId="1" xfId="0"/>
    <x:xf numFmtId="0" fontId="0" fillId="5" borderId="0" xfId="0"/>
    <x:xf numFmtId="0" fontId="4" fillId="5" borderId="0" xfId="0"/>
    <x:xf numFmtId="0" fontId="4" fillId="5" borderId="0" xfId="0" applyAlignment="1">
      <x:alignment wrapText="1"/>
    </x:xf>
    <x:xf numFmtId="0" fontId="0" fillId="5" borderId="1" xfId="0"/>
    <x:xf numFmtId="0" fontId="4" fillId="5" borderId="1" xfId="0"/>
    <x:xf numFmtId="0" fontId="4" fillId="5" borderId="1" xfId="0" applyAlignment="1">
      <x:alignment wrapText="1"/>
    </x:xf>
    <x:xf numFmtId="1" fontId="0" fillId="0" borderId="0" xfId="0" applyAlignment="1">
      <x:alignment wrapText="1"/>
    </x:xf>
    <x:xf numFmtId="1" fontId="0" fillId="0" borderId="1" xfId="0" applyAlignment="1">
      <x:alignment wrapText="1"/>
    </x:xf>
    <x:xf numFmtId="0" fontId="0" fillId="0" borderId="0" xfId="0"/>
    <x:xf numFmtId="0" fontId="0" fillId="6" borderId="0" xfId="0"/>
    <x:xf numFmtId="0" fontId="3" fillId="6" borderId="0" xfId="0"/>
    <x:xf numFmtId="0" fontId="3" fillId="6" borderId="0" xfId="0" applyAlignment="1">
      <x:alignment wrapText="1"/>
    </x:xf>
    <x:xf numFmtId="0" fontId="3" fillId="6" borderId="0" xfId="0" applyAlignment="1">
      <x:alignment horizontal="center" wrapText="1"/>
    </x:xf>
    <x:xf numFmtId="0" fontId="3" fillId="6" borderId="0" xfId="0" applyAlignment="1">
      <x:alignment horizontal="center" vertical="center" wrapText="1"/>
    </x:xf>
    <x:xf numFmtId="0" fontId="0" fillId="7" borderId="0" xfId="0"/>
    <x:xf numFmtId="0" fontId="1" fillId="7" borderId="0" xfId="0"/>
    <x:xf numFmtId="0" fontId="1" fillId="7" borderId="0" xfId="0" applyAlignment="1">
      <x:alignment horizontal="left"/>
    </x:xf>
    <x:xf numFmtId="0" fontId="1" fillId="7" borderId="0" xfId="0" applyAlignment="1">
      <x:alignment horizontal="left" vertical="center"/>
    </x:xf>
    <x:xf numFmtId="0" fontId="0" fillId="8" borderId="0" xfId="0"/>
    <x:xf numFmtId="0" fontId="2" fillId="8" borderId="0" xfId="0"/>
    <x:xf numFmtId="0" fontId="2" fillId="8" borderId="0" xfId="0" applyAlignment="1">
      <x:alignment wrapText="1"/>
    </x:xf>
    <x:xf numFmtId="0" fontId="2" fillId="8" borderId="0" xfId="0" applyAlignment="1">
      <x:alignment vertical="top" wrapText="1"/>
    </x:xf>
    <x:xf numFmtId="49" fontId="0" fillId="0" borderId="0" xfId="0"/>
    <x:xf numFmtId="0" fontId="5" fillId="8" borderId="0" xfId="0"/>
    <x:xf numFmtId="0" fontId="5" fillId="8" borderId="0" xfId="0" applyAlignment="1">
      <x:alignment wrapText="1"/>
    </x:xf>
    <x:xf numFmtId="0" fontId="0" fillId="9" borderId="0" xfId="0"/>
    <x:xf numFmtId="0" fontId="4" fillId="9" borderId="0" xfId="0"/>
    <x:xf numFmtId="0" fontId="4" fillId="9" borderId="0" xfId="0" applyAlignment="1">
      <x:alignment wrapText="1"/>
    </x:xf>
    <x:xf numFmtId="0" fontId="5" fillId="3" borderId="0" xfId="0"/>
    <x:xf numFmtId="0" fontId="5" fillId="3" borderId="0" xfId="0" applyAlignment="1">
      <x:alignment wrapText="1"/>
    </x:xf>
    <x:xf numFmtId="0" fontId="1" fillId="10" borderId="0" xfId="0" applyAlignment="1">
      <x:alignment horizontal="left" vertical="center"/>
    </x:xf>
    <x:xf numFmtId="0" fontId="0" fillId="10" borderId="0" xfId="0"/>
    <x:xf numFmtId="0" fontId="6" fillId="10" borderId="0" xfId="0" applyAlignment="1">
      <x:alignment horizontal="left" vertical="center"/>
    </x:xf>
    <x:xf numFmtId="0" fontId="6" fillId="10" borderId="0" xfId="0"/>
    <x:xf numFmtId="0" fontId="6" fillId="10" borderId="0" xfId="0" applyAlignment="1">
      <x:alignment vertical="center"/>
    </x:xf>
    <x:xf numFmtId="0" fontId="3" fillId="10" borderId="0" xfId="0" applyAlignment="1">
      <x:alignment horizontal="center" vertical="center" wrapText="1"/>
    </x:xf>
    <x:xf numFmtId="0" fontId="3" fillId="10" borderId="0" xfId="0"/>
    <x:xf numFmtId="0" fontId="3" fillId="10" borderId="0" xfId="0" applyAlignment="1">
      <x:alignment wrapText="1"/>
    </x:xf>
    <x:xf numFmtId="0" fontId="3" fillId="10" borderId="0" xfId="0" applyAlignment="1">
      <x:alignment vertical="center" wrapText="1"/>
    </x:xf>
    <x:xf numFmtId="0" fontId="4" fillId="11" borderId="0" xfId="0" applyAlignment="1">
      <x:alignment wrapText="1"/>
    </x:xf>
    <x:xf numFmtId="0" fontId="0" fillId="11" borderId="0" xfId="0"/>
    <x:xf numFmtId="0" fontId="7" fillId="11" borderId="0" xfId="0" applyAlignment="1">
      <x:alignment wrapText="1"/>
    </x:xf>
    <x:xf numFmtId="0" fontId="8" fillId="11" borderId="0" xfId="0"/>
    <x:xf numFmtId="0" fontId="8" fillId="11" borderId="0" xfId="0" applyAlignment="1">
      <x:alignment wrapText="1"/>
    </x:xf>
    <x:xf numFmtId="0" fontId="6" fillId="10" borderId="0" xfId="0" applyAlignment="1">
      <x:alignment horizontal="left" vertical="center" wrapText="1"/>
    </x:xf>
    <x:xf numFmtId="0" fontId="6" fillId="10" borderId="0" xfId="0" applyAlignment="1">
      <x:alignment vertical="center" wrapText="1"/>
    </x:xf>
    <x:xf numFmtId="0" fontId="6" fillId="10" borderId="0" xfId="0" applyAlignment="1">
      <x:alignment horizontal="left" vertical="top" wrapText="1"/>
    </x:xf>
    <x:xf numFmtId="0" fontId="6" fillId="10" borderId="0" xfId="0" applyAlignment="1">
      <x:alignment vertical="top" wrapText="1"/>
    </x:xf>
    <x:xf numFmtId="0" fontId="7" fillId="11" borderId="0" xfId="0" applyAlignment="1">
      <x:alignment vertical="top" wrapText="1"/>
    </x:xf>
    <x:xf numFmtId="0" fontId="8" fillId="11" borderId="0" xfId="0" applyAlignment="1">
      <x:alignment vertical="top" wrapText="1"/>
    </x:xf>
    <x:xf numFmtId="0" fontId="0" fillId="0" borderId="0" xfId="0" applyAlignment="1">
      <x:alignment vertical="top" wrapText="1"/>
    </x:xf>
    <x:xf numFmtId="0" fontId="3" fillId="10" borderId="0" xfId="0" applyAlignment="1">
      <x:alignment horizontal="center" vertical="top" wrapText="1"/>
    </x:xf>
    <x:xf numFmtId="0" fontId="3" fillId="10" borderId="0" xfId="0" applyAlignment="1">
      <x:alignment vertical="top" wrapText="1"/>
    </x:xf>
    <x:xf numFmtId="1" fontId="0" fillId="0" borderId="0" xfId="0" applyAlignment="1">
      <x:alignment vertical="top" wrapText="1"/>
    </x:xf>
    <x:xf numFmtId="0" fontId="0" fillId="12" borderId="0" xfId="0"/>
    <x:xf numFmtId="0" fontId="9" fillId="12" borderId="0" xfId="0"/>
    <x:xf numFmtId="0" fontId="9" fillId="12" borderId="0" xfId="0" applyAlignment="1">
      <x:alignment wrapText="1"/>
    </x:xf>
    <x:xf numFmtId="0" fontId="0" fillId="11" borderId="0" xfId="0" applyAlignment="1">
      <x:alignment wrapText="1"/>
    </x:xf>
    <x:xf numFmtId="0" fontId="0" fillId="11" borderId="0" xfId="0" applyAlignment="1">
      <x:alignment vertical="top" wrapText="1"/>
    </x:xf>
    <x:xf numFmtId="0" fontId="9" fillId="12" borderId="0" xfId="0" applyAlignment="1">
      <x:alignment vertical="top" wrapText="1"/>
    </x:xf>
    <x:xf numFmtId="0" fontId="1" fillId="2" borderId="0" xfId="0" applyAlignment="1">
      <x:alignment horizontal="left" vertical="center" wrapText="1"/>
    </x:xf>
    <x:xf numFmtId="0" fontId="1" fillId="13" borderId="0" xfId="0" applyAlignment="1">
      <x:alignment horizontal="left" vertical="center" wrapText="1"/>
    </x:xf>
    <x:xf numFmtId="0" fontId="2" fillId="14" borderId="0" xfId="0" applyAlignment="1">
      <x:alignment vertical="top" wrapText="1"/>
    </x:xf>
    <x:xf numFmtId="0" fontId="3" fillId="15" borderId="0" xfId="0" applyAlignment="1">
      <x:alignment horizontal="center" vertical="center" wrapText="1"/>
    </x:xf>
    <x:xf numFmtId="49" fontId="3" fillId="4" borderId="0" xfId="0" applyAlignment="1">
      <x:alignment horizontal="center" vertical="center" wrapText="1"/>
    </x:xf>
    <x:xf numFmtId="49" fontId="0" fillId="0" borderId="0" xfId="0" applyAlignment="1">
      <x:alignment wrapText="1"/>
    </x:xf>
    <x:xf numFmtId="0" fontId="5" fillId="14" borderId="0" xfId="0" applyAlignment="1">
      <x:alignment wrapText="1"/>
    </x:xf>
    <x:xf numFmtId="0" fontId="0" fillId="15" borderId="0" xfId="0"/>
    <x:xf numFmtId="0" fontId="3" fillId="15" borderId="0" xfId="0"/>
    <x:xf numFmtId="0" fontId="3" fillId="15" borderId="0" xfId="0" applyAlignment="1">
      <x:alignment wrapText="1"/>
    </x:xf>
    <x:xf numFmtId="0" fontId="3" fillId="15" borderId="0" xfId="0" applyAlignment="1">
      <x:alignment horizontal="center" wrapText="1"/>
    </x:xf>
    <x:xf numFmtId="0" fontId="1" fillId="16" borderId="0" xfId="0" applyAlignment="1">
      <x:alignment horizontal="left" vertical="center" wrapText="1"/>
    </x:xf>
    <x:xf numFmtId="0" fontId="0" fillId="16" borderId="0" xfId="0"/>
    <x:xf numFmtId="0" fontId="1" fillId="16" borderId="0" xfId="0"/>
    <x:xf numFmtId="0" fontId="1" fillId="16" borderId="0" xfId="0" applyAlignment="1">
      <x:alignment horizontal="left"/>
    </x:xf>
    <x:xf numFmtId="0" fontId="1" fillId="16" borderId="0" xfId="0" applyAlignment="1">
      <x:alignment horizontal="left" vertical="center"/>
    </x:xf>
    <x:xf numFmtId="0" fontId="2" fillId="17" borderId="0" xfId="0" applyAlignment="1">
      <x:alignment vertical="top" wrapText="1"/>
    </x:xf>
    <x:xf numFmtId="0" fontId="0" fillId="17" borderId="0" xfId="0"/>
    <x:xf numFmtId="0" fontId="2" fillId="17" borderId="0" xfId="0"/>
    <x:xf numFmtId="0" fontId="2" fillId="17" borderId="0" xfId="0" applyAlignment="1">
      <x:alignment wrapText="1"/>
    </x:xf>
    <x:xf numFmtId="0" fontId="3" fillId="18" borderId="0" xfId="0" applyAlignment="1">
      <x:alignment horizontal="center" vertical="center" wrapText="1"/>
    </x:xf>
    <x:xf numFmtId="0" fontId="0" fillId="18" borderId="0" xfId="0"/>
    <x:xf numFmtId="0" fontId="3" fillId="18" borderId="0" xfId="0"/>
    <x:xf numFmtId="0" fontId="3" fillId="18" borderId="0" xfId="0" applyAlignment="1">
      <x:alignment wrapText="1"/>
    </x:xf>
    <x:xf numFmtId="0" fontId="3" fillId="18" borderId="0" xfId="0" applyAlignment="1">
      <x:alignment horizontal="center" wrapText="1"/>
    </x:xf>
    <x:xf numFmtId="0" fontId="1" fillId="19" borderId="0" xfId="0" applyAlignment="1">
      <x:alignment horizontal="left" vertical="center" wrapText="1"/>
    </x:xf>
    <x:xf numFmtId="0" fontId="1" fillId="19" borderId="0" xfId="0" applyAlignment="1">
      <x:alignment horizontal="left" vertical="center"/>
    </x:xf>
    <x:xf numFmtId="0" fontId="2" fillId="20" borderId="0" xfId="0" applyAlignment="1">
      <x:alignment vertical="top" wrapText="1"/>
    </x:xf>
    <x:xf numFmtId="0" fontId="3" fillId="21" borderId="0" xfId="0" applyAlignment="1">
      <x:alignment horizontal="center" vertical="center" wrapText="1"/>
    </x:xf>
    <x:xf numFmtId="0" fontId="0" fillId="21" borderId="0" xfId="0"/>
    <x:xf numFmtId="0" fontId="3" fillId="21" borderId="0" xfId="0"/>
    <x:xf numFmtId="0" fontId="3" fillId="21" borderId="0" xfId="0" applyAlignment="1">
      <x:alignment wrapText="1"/>
    </x:xf>
    <x:xf numFmtId="0" fontId="3" fillId="21" borderId="0" xfId="0" applyAlignment="1">
      <x:alignment horizontal="center" wrapText="1"/>
    </x:xf>
    <x:xf numFmtId="164" fontId="0" fillId="0" borderId="0" xfId="0" applyAlignment="1">
      <x:alignment wrapText="1"/>
    </x:xf>
    <x:xf numFmtId="165" fontId="0" fillId="0" borderId="0" xfId="0" applyAlignment="1">
      <x:alignment wrapText="1"/>
    </x:xf>
    <x:xf numFmtId="0" fontId="1" fillId="2" borderId="1" xfId="0" applyAlignment="1">
      <x:alignment horizontal="left" vertical="center" wrapText="1"/>
    </x:xf>
    <x:xf numFmtId="164" fontId="0" fillId="0" borderId="0" xfId="0" applyAlignment="1">
      <x:alignment wrapText="1"/>
    </x:xf>
    <x:xf numFmtId="1" fontId="0" fillId="0" borderId="0" xfId="0" applyAlignment="1">
      <x:alignment wrapText="1"/>
    </x:xf>
    <x:xf numFmtId="165" fontId="0" fillId="0" borderId="0" xfId="0" applyAlignment="1">
      <x:alignment wrapText="1"/>
    </x:xf>
    <x:xf numFmtId="164" fontId="0" fillId="0" borderId="0" xfId="0"/>
    <x:xf numFmtId="165" fontId="0" fillId="0" borderId="0" xfId="0"/>
    <x:xf numFmtId="164" fontId="0" fillId="0" borderId="1" xfId="0"/>
    <x:xf numFmtId="165" fontId="0" fillId="0" borderId="1" xfId="0"/>
    <x:xf numFmtId="0" fontId="6" fillId="10" borderId="1" xfId="0" applyAlignment="1">
      <x:alignment horizontal="left" vertical="top" wrapText="1"/>
    </x:xf>
    <x:xf numFmtId="0" fontId="7" fillId="11" borderId="1" xfId="0" applyAlignment="1">
      <x:alignment vertical="top" wrapText="1"/>
    </x:xf>
    <x:xf numFmtId="1" fontId="0" fillId="0" borderId="0" xfId="0" applyAlignment="1">
      <x:alignment vertical="top" wrapText="1"/>
    </x:xf>
    <x:xf numFmtId="49" fontId="0" fillId="0" borderId="0" xfId="0" applyAlignment="1">
      <x:alignment wrapText="1"/>
    </x:xf>
    <x:xf numFmtId="49" fontId="3" fillId="4" borderId="0" xfId="0" applyAlignment="1">
      <x:alignment horizontal="center" vertical="center" wrapText="1"/>
    </x:xf>
    <x:xf numFmtId="0" fontId="1" fillId="7" borderId="1" xfId="0" applyAlignment="1">
      <x:alignment horizontal="left" vertical="center"/>
    </x:xf>
    <x:xf numFmtId="0" fontId="6" fillId="10" borderId="1"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64" fontId="0" fillId="0" borderId="0" xfId="0" applyNumberFormat="1" applyFont="1" applyFill="1" applyBorder="1"/>
    <x:xf numFmtId="1" fontId="0" fillId="0" borderId="0" xfId="0" applyNumberFormat="1" applyFont="1" applyFill="1" applyBorder="1"/>
    <x:xf numFmtId="165"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1" fontId="0" fillId="0" borderId="0" xfId="0" applyNumberFormat="1" applyFont="1" applyFill="1" applyBorder="1" applyAlignment="1">
      <x:alignment wrapText="1"/>
    </x:xf>
    <x:xf numFmtId="49" fontId="0" fillId="0"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1" fillId="10" borderId="0" xfId="0" applyNumberFormat="1" applyFont="1" applyFill="1" applyBorder="1" applyAlignment="1">
      <x:alignment horizontal="left" vertical="center"/>
    </x:xf>
    <x:xf numFmtId="0" fontId="0" fillId="10" borderId="0" xfId="0" applyNumberFormat="1" applyFont="1" applyFill="1" applyBorder="1"/>
    <x:xf numFmtId="0" fontId="6" fillId="10" borderId="0" xfId="0" applyNumberFormat="1" applyFont="1" applyFill="1" applyBorder="1" applyAlignment="1">
      <x:alignment horizontal="left" vertical="center"/>
    </x:xf>
    <x:xf numFmtId="0" fontId="6" fillId="10" borderId="0" xfId="0" applyNumberFormat="1" applyFont="1" applyFill="1" applyBorder="1"/>
    <x:xf numFmtId="0" fontId="6" fillId="10" borderId="0" xfId="0" applyNumberFormat="1" applyFont="1" applyFill="1" applyBorder="1" applyAlignment="1">
      <x:alignment vertical="center"/>
    </x:xf>
    <x:xf numFmtId="0" fontId="3" fillId="10" borderId="0" xfId="0" applyNumberFormat="1" applyFont="1" applyFill="1" applyBorder="1" applyAlignment="1">
      <x:alignment horizontal="center"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4" fillId="11" borderId="0" xfId="0" applyNumberFormat="1" applyFont="1" applyFill="1" applyBorder="1" applyAlignment="1">
      <x:alignment wrapText="1"/>
    </x:xf>
    <x:xf numFmtId="0" fontId="0" fillId="11" borderId="0" xfId="0" applyNumberFormat="1" applyFont="1" applyFill="1" applyBorder="1"/>
    <x:xf numFmtId="0" fontId="7" fillId="11" borderId="0" xfId="0" applyNumberFormat="1" applyFont="1" applyFill="1" applyBorder="1" applyAlignment="1">
      <x:alignment wrapText="1"/>
    </x:xf>
    <x:xf numFmtId="0" fontId="8" fillId="11" borderId="0" xfId="0" applyNumberFormat="1" applyFont="1" applyFill="1" applyBorder="1"/>
    <x:xf numFmtId="0" fontId="8" fillId="11" borderId="0" xfId="0" applyNumberFormat="1" applyFont="1" applyFill="1" applyBorder="1" applyAlignment="1">
      <x:alignment wrapText="1"/>
    </x:xf>
    <x:xf numFmtId="0" fontId="6" fillId="10" borderId="0" xfId="0" applyNumberFormat="1" applyFont="1" applyFill="1" applyBorder="1" applyAlignment="1">
      <x:alignment horizontal="left" vertical="center" wrapText="1"/>
    </x:xf>
    <x:xf numFmtId="0" fontId="6" fillId="10" borderId="0" xfId="0" applyNumberFormat="1" applyFont="1" applyFill="1" applyBorder="1" applyAlignment="1">
      <x:alignment vertical="center" wrapText="1"/>
    </x:xf>
    <x:xf numFmtId="0" fontId="6" fillId="10" borderId="0" xfId="0" applyNumberFormat="1" applyFont="1" applyFill="1" applyBorder="1" applyAlignment="1">
      <x:alignment horizontal="left" vertical="top" wrapText="1"/>
    </x:xf>
    <x:xf numFmtId="0" fontId="6" fillId="10"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10" borderId="0" xfId="0" applyNumberFormat="1" applyFont="1" applyFill="1" applyBorder="1" applyAlignment="1">
      <x:alignment horizontal="center" vertical="top" wrapText="1"/>
    </x:xf>
    <x:xf numFmtId="0" fontId="3" fillId="1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49" fontId="3" fillId="4" borderId="0" xfId="0" applyNumberFormat="1" applyFont="1" applyFill="1" applyBorder="1" applyAlignment="1">
      <x:alignment horizontal="center" vertical="center" wrapText="1"/>
    </x:xf>
    <x:xf numFmtId="49"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cellXfs>
  <x:cellStyles count="1">
    <x:cellStyle name="Normal" xfId="0"/>
  </x:cellStyles>
  <x:dxfs count="1">
    <x:dxf>
      <x:font>
        <x:color rgb="FF9C0006"/>
      </x:font>
      <x:fill>
        <x:patternFill>
          <x:bgColor rgb="FFFDE9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8570787fc964222" /><Relationship Type="http://schemas.openxmlformats.org/officeDocument/2006/relationships/theme" Target="/xl/theme/theme1.xml" Id="R323b82cc654441bc" /><Relationship Type="http://schemas.openxmlformats.org/officeDocument/2006/relationships/sharedStrings" Target="/xl/sharedStrings.xml" Id="R1f40723f71af41a4" /><Relationship Type="http://schemas.openxmlformats.org/officeDocument/2006/relationships/worksheet" Target="/xl/worksheets/sheet1.xml" Id="R28ac1611a0f84e34" /><Relationship Type="http://schemas.openxmlformats.org/officeDocument/2006/relationships/worksheet" Target="/xl/worksheets/sheet2.xml" Id="Rba65e9dcbea74b69" /><Relationship Type="http://schemas.openxmlformats.org/officeDocument/2006/relationships/worksheet" Target="/xl/worksheets/sheet3.xml" Id="Ra500ee9158674b96" /><Relationship Type="http://schemas.openxmlformats.org/officeDocument/2006/relationships/worksheet" Target="/xl/worksheets/sheet4.xml" Id="R388e2f0c3e6447f3" /><Relationship Type="http://schemas.openxmlformats.org/officeDocument/2006/relationships/worksheet" Target="/xl/worksheets/sheet5.xml" Id="R785abe9bae754bac" /><Relationship Type="http://schemas.openxmlformats.org/officeDocument/2006/relationships/worksheet" Target="/xl/worksheets/sheet6.xml" Id="Rc20316602c604ea7" /><Relationship Type="http://schemas.openxmlformats.org/officeDocument/2006/relationships/worksheet" Target="/xl/worksheets/sheet7.xml" Id="Reff09e7ba9c24527" /></Relationships>
</file>

<file path=xl/tables/table1.xml><?xml version="1.0" encoding="utf-8"?>
<x:table xmlns:x="http://schemas.openxmlformats.org/spreadsheetml/2006/main" id="1" name="CityDensityTable" displayName="CityDensityTable" ref="A5:O305" headerRowCount="1" totalsRowCount="0" totalsRowShown="0">
  <x:tableColumns count="15">
    <x:tableColumn id="1" name="Rank"/>
    <x:tableColumn id="2" name="City"/>
    <x:tableColumn id="3" name="State"/>
    <x:tableColumn id="4" name="Land Area (sq mi)"/>
    <x:tableColumn id="5" name="Whole Foods"/>
    <x:tableColumn id="6" name="Sprouts"/>
    <x:tableColumn id="7" name="The Fresh Market"/>
    <x:tableColumn id="8" name="Fresh Thyme"/>
    <x:tableColumn id="9" name="Wegmans"/>
    <x:tableColumn id="10" name="Presence Floor"/>
    <x:tableColumn id="11" name="Proxy / Lower-Bound Stores"/>
    <x:tableColumn id="12" name="Stores per sq mi"/>
    <x:tableColumn id="13" name="Data Quality"/>
    <x:tableColumn id="14" name="Notes"/>
    <x:tableColumn id="15" name="County"/>
  </x:tableColumns>
  <x:tableStyleInfo name="TableStyleMedium2" showFirstColumn="0" showLastColumn="0" showRowStripes="1" showColumnStripes="0"/>
</x:table>
</file>

<file path=xl/tables/table2.xml><?xml version="1.0" encoding="utf-8"?>
<x:table xmlns:x="http://schemas.openxmlformats.org/spreadsheetml/2006/main" id="2" name="ChainCoverageTable" displayName="ChainCoverageTable" ref="A4:E39" headerRowCount="1" totalsRowCount="0" totalsRowShown="0">
  <x:tableColumns count="5">
    <x:tableColumn id="1" name="Chain"/>
    <x:tableColumn id="2" name="Indicative U.S. Stores"/>
    <x:tableColumn id="3" name="Footprint / positioning"/>
    <x:tableColumn id="4" name="Included in proxy columns?"/>
    <x:tableColumn id="5" name="Sourc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3:D13" headerRowCount="1" totalsRowCount="0" totalsRowShown="0">
  <x:tableColumns count="4">
    <x:tableColumn id="1" name="Dataset / Site"/>
    <x:tableColumn id="2" name="Use"/>
    <x:tableColumn id="3" name="URL"/>
    <x:tableColumn id="4" name="Caveat"/>
  </x:tableColumns>
  <x:tableStyleInfo name="TableStyleMedium2" showFirstColumn="0" showLastColumn="0" showRowStripes="1" showColumnStripes="0"/>
</x:table>
</file>

<file path=xl/tables/table4.xml><?xml version="1.0" encoding="utf-8"?>
<x:table xmlns:x="http://schemas.openxmlformats.org/spreadsheetml/2006/main" id="4" name="CountyDensityTable" displayName="CountyDensityTable" ref="A5:Q207" headerRowCount="1" totalsRowCount="0" totalsRowShown="0">
  <x:tableColumns count="17">
    <x:tableColumn id="1" name="Rank"/>
    <x:tableColumn id="2" name="County"/>
    <x:tableColumn id="3" name="State"/>
    <x:tableColumn id="4" name="County FIPS"/>
    <x:tableColumn id="5" name="Whole Foods"/>
    <x:tableColumn id="6" name="Sprouts"/>
    <x:tableColumn id="7" name="The Fresh Market"/>
    <x:tableColumn id="8" name="Fresh Thyme"/>
    <x:tableColumn id="9" name="Wegmans"/>
    <x:tableColumn id="10" name="Presence Floor"/>
    <x:tableColumn id="11" name="Proxy / Lower-Bound Stores"/>
    <x:tableColumn id="12" name="County Land Area (sq mi)"/>
    <x:tableColumn id="13" name="Stores per sq mi"/>
    <x:tableColumn id="14" name="Cities Represented"/>
    <x:tableColumn id="15" name="Data Quality"/>
    <x:tableColumn id="16" name="Notes"/>
    <x:tableColumn id="17" name="Area Bas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1e6c65927949e3" /></Relationships>
</file>

<file path=xl/worksheets/_rels/sheet2.xml.rels>&#65279;<?xml version="1.0" encoding="utf-8"?><Relationships xmlns="http://schemas.openxmlformats.org/package/2006/relationships"><Relationship Type="http://schemas.openxmlformats.org/officeDocument/2006/relationships/table" Target="/xl/tables/table2.xml" Id="R6f64266cc867433a" /></Relationships>
</file>

<file path=xl/worksheets/_rels/sheet4.xml.rels>&#65279;<?xml version="1.0" encoding="utf-8"?><Relationships xmlns="http://schemas.openxmlformats.org/package/2006/relationships"><Relationship Type="http://schemas.openxmlformats.org/officeDocument/2006/relationships/table" Target="/xl/tables/table3.xml" Id="R9513eacfc69b4fc9" /></Relationships>
</file>

<file path=xl/worksheets/_rels/sheet5.xml.rels>&#65279;<?xml version="1.0" encoding="utf-8"?><Relationships xmlns="http://schemas.openxmlformats.org/package/2006/relationships"><Relationship Type="http://schemas.openxmlformats.org/officeDocument/2006/relationships/table" Target="/xl/tables/table4.xml" Id="R995cea46474547b9" /></Relationships>
</file>

<file path=xl/worksheets/sheet1.xml><?xml version="1.0" encoding="utf-8"?>
<x:worksheet xmlns:x="http://schemas.openxmlformats.org/spreadsheetml/2006/main">
  <x:sheetFormatPr baseColWidth="8" defaultRowHeight="15"/>
  <x:cols>
    <x:col min="1" max="1" width="7" style="44" customWidth="1"/>
    <x:col min="2" max="2" width="22" style="44" customWidth="1"/>
    <x:col min="3" max="3" width="7" style="44" customWidth="1"/>
    <x:col min="4" max="4" width="15" style="44" customWidth="1"/>
    <x:col min="5" max="5" width="13" style="44" customWidth="1"/>
    <x:col min="6" max="6" width="10" style="44" customWidth="1"/>
    <x:col min="7" max="7" width="17" style="44" customWidth="1"/>
    <x:col min="8" max="8" width="13" style="44" customWidth="1"/>
    <x:col min="9" max="9" width="10" style="44" customWidth="1"/>
    <x:col min="10" max="10" width="14" style="44" customWidth="1"/>
    <x:col min="11" max="11" width="21" style="44" customWidth="1"/>
    <x:col min="12" max="12" width="16" style="44" customWidth="1"/>
    <x:col min="13" max="13" width="24" style="44" customWidth="1"/>
    <x:col min="14" max="14" width="50" style="44" customWidth="1"/>
    <x:col min="15" max="15" width="24" style="44" customWidth="1"/>
  </x:cols>
  <x:sheetData>
    <x:row r="1" s="44" customFormat="1" ht="28" customHeight="1">
      <x:c r="A1" s="131" t="str">
        <x:v>Specialty Grocery Density — 1,020-Municipality Screening</x:v>
      </x:c>
      <x:c r="B1" s="1" t="n"/>
      <x:c r="C1" s="1" t="n"/>
      <x:c r="D1" s="1" t="n"/>
      <x:c r="E1" s="1" t="n"/>
      <x:c r="F1" s="1" t="n"/>
      <x:c r="G1" s="1" t="n"/>
      <x:c r="H1" s="1" t="n"/>
      <x:c r="I1" s="1" t="n"/>
      <x:c r="J1" s="1" t="n"/>
      <x:c r="K1" s="1" t="n"/>
      <x:c r="L1" s="1" t="n"/>
      <x:c r="M1" s="1" t="n"/>
      <x:c r="N1" s="1" t="n"/>
      <x:c r="O1" s="28" t="n"/>
    </x:row>
    <x:row r="2" s="44" customFormat="1" ht="38" customHeight="1">
      <x:c r="A2" s="17" t="str">
        <x:v>Next-ten statewide expansion after removing the county-adjacency requirement: New London CT, Tolland CT, Chittenden VT, Litchfield CT, Middlesex CT, Broome NY, Centre PA, Tompkins NY, Grand Traverse MI, and Berrien MI. County floor remains &gt;=50,000 and municipal threshold remains &gt;=10,000.</x:v>
      </x:c>
      <x:c r="B2" s="1" t="n"/>
      <x:c r="C2" s="1" t="n"/>
      <x:c r="D2" s="1" t="n"/>
      <x:c r="E2" s="1" t="n"/>
      <x:c r="F2" s="1" t="n"/>
      <x:c r="G2" s="1" t="n"/>
      <x:c r="H2" s="1" t="n"/>
      <x:c r="I2" s="1" t="n"/>
      <x:c r="J2" s="1" t="n"/>
      <x:c r="K2" s="1" t="n"/>
      <x:c r="L2" s="1" t="n"/>
      <x:c r="M2" s="1" t="n"/>
      <x:c r="N2" s="1" t="n"/>
      <x:c r="O2" s="28" t="n"/>
    </x:row>
    <x:row r="3" s="44" customFormat="1" ht="30" customHeight="1">
      <x:c r="A3" s="17" t="str">
        <x:v>This pass adds 51 net-new municipalities. Rank values are recalculated across all 1,020 rows; expansion rows are appended rather than physically resorted because of spreadsheet-runtime limits. All new rows use the conservative one-store screening floor.</x:v>
      </x:c>
      <x:c r="B3" s="1" t="n"/>
      <x:c r="C3" s="1" t="n"/>
      <x:c r="D3" s="1" t="n"/>
      <x:c r="E3" s="1" t="n"/>
      <x:c r="F3" s="1" t="n"/>
      <x:c r="G3" s="1" t="n"/>
      <x:c r="H3" s="1" t="n"/>
      <x:c r="I3" s="1" t="n"/>
      <x:c r="J3" s="1" t="n"/>
      <x:c r="K3" s="1" t="n"/>
      <x:c r="L3" s="1" t="n"/>
      <x:c r="M3" s="1" t="n"/>
      <x:c r="N3" s="1" t="n"/>
      <x:c r="O3" s="28" t="n"/>
    </x:row>
    <x:row r="4">
      <x:c r="A4" s="28" t="n"/>
      <x:c r="B4" s="28" t="n"/>
      <x:c r="C4" s="28" t="n"/>
      <x:c r="D4" s="28" t="n"/>
      <x:c r="E4" s="28" t="n"/>
      <x:c r="F4" s="28" t="n"/>
      <x:c r="G4" s="28" t="n"/>
      <x:c r="H4" s="28" t="n"/>
      <x:c r="I4" s="28" t="n"/>
      <x:c r="J4" s="28" t="n"/>
      <x:c r="K4" s="28" t="n"/>
      <x:c r="L4" s="28" t="n"/>
      <x:c r="M4" s="28" t="n"/>
      <x:c r="N4" s="28" t="n"/>
      <x:c r="O4" s="28" t="n"/>
    </x:row>
    <x:row r="5" s="44" customFormat="1" ht="34" customHeight="1">
      <x:c r="A5" s="22" t="inlineStr">
        <x:is>
          <x:t xml:space="preserve">Rank</x:t>
        </x:is>
      </x:c>
      <x:c r="B5" s="22" t="inlineStr">
        <x:is>
          <x:t xml:space="preserve">City</x:t>
        </x:is>
      </x:c>
      <x:c r="C5" s="22" t="inlineStr">
        <x:is>
          <x:t xml:space="preserve">State</x:t>
        </x:is>
      </x:c>
      <x:c r="D5" s="22" t="inlineStr">
        <x:is>
          <x:t xml:space="preserve">Land Area (sq mi)</x:t>
        </x:is>
      </x:c>
      <x:c r="E5" s="22" t="inlineStr">
        <x:is>
          <x:t xml:space="preserve">Whole Foods</x:t>
        </x:is>
      </x:c>
      <x:c r="F5" s="22" t="inlineStr">
        <x:is>
          <x:t xml:space="preserve">Sprouts</x:t>
        </x:is>
      </x:c>
      <x:c r="G5" s="22" t="inlineStr">
        <x:is>
          <x:t xml:space="preserve">The Fresh Market</x:t>
        </x:is>
      </x:c>
      <x:c r="H5" s="22" t="inlineStr">
        <x:is>
          <x:t xml:space="preserve">Fresh Thyme</x:t>
        </x:is>
      </x:c>
      <x:c r="I5" s="22" t="inlineStr">
        <x:is>
          <x:t xml:space="preserve">Wegmans</x:t>
        </x:is>
      </x:c>
      <x:c r="J5" s="22" t="inlineStr">
        <x:is>
          <x:t xml:space="preserve">Presence Floor</x:t>
        </x:is>
      </x:c>
      <x:c r="K5" s="22" t="inlineStr">
        <x:is>
          <x:t xml:space="preserve">Proxy / Lower-Bound Stores</x:t>
        </x:is>
      </x:c>
      <x:c r="L5" s="22" t="inlineStr">
        <x:is>
          <x:t xml:space="preserve">Stores per sq mi</x:t>
        </x:is>
      </x:c>
      <x:c r="M5" s="22" t="inlineStr">
        <x:is>
          <x:t xml:space="preserve">Data Quality</x:t>
        </x:is>
      </x:c>
      <x:c r="N5" s="22" t="inlineStr">
        <x:is>
          <x:t xml:space="preserve">Notes</x:t>
        </x:is>
      </x:c>
      <x:c r="O5" s="22" t="inlineStr">
        <x:is>
          <x:t xml:space="preserve">County</x:t>
        </x:is>
      </x:c>
    </x:row>
    <x:row r="6">
      <x:c r="A6" s="28" t="n">
        <x:v>1</x:v>
      </x:c>
      <x:c r="B6" s="28" t="str">
        <x:v>Darby Borough</x:v>
      </x:c>
      <x:c r="C6" s="28" t="str">
        <x:v>PA</x:v>
      </x:c>
      <x:c r="D6" s="204" t="n">
        <x:v>0.842</x:v>
      </x:c>
      <x:c r="E6" s="133" t="n">
        <x:v>0</x:v>
      </x:c>
      <x:c r="F6" s="133" t="n">
        <x:v>0</x:v>
      </x:c>
      <x:c r="G6" s="133" t="n">
        <x:v>0</x:v>
      </x:c>
      <x:c r="H6" s="133" t="n">
        <x:v>0</x:v>
      </x:c>
      <x:c r="I6" s="133" t="n">
        <x:v>0</x:v>
      </x:c>
      <x:c r="J6" s="133" t="n">
        <x:v>1</x:v>
      </x:c>
      <x:c r="K6" s="133" t="n">
        <x:f>SUM(E6:J6)</x:f>
        <x:v>1</x:v>
      </x:c>
      <x:c r="L6" s="205" t="n">
        <x:f>IFERROR(K6/D6,0)</x:f>
        <x:v>1.187648456057007</x:v>
      </x:c>
      <x:c r="M6" s="160" t="str">
        <x:v>Presence-floor proxy only — 10k+ municipality completion</x:v>
      </x:c>
      <x:c r="N6" s="160" t="str">
        <x:v>Added under the 10k+ city-equivalent municipality rule: Census Vintage 2025 population &gt;=10,000; county population &gt;=500,000. Presence-floor proxy only — exact tracked-chain count requires municipal-boundary/GIS verification.</x:v>
      </x:c>
      <x:c r="O6" s="160" t="str">
        <x:v>Delaware County</x:v>
      </x:c>
    </x:row>
    <x:row r="7">
      <x:c r="A7" s="28" t="n">
        <x:v>2</x:v>
      </x:c>
      <x:c r="B7" s="28" t="str">
        <x:v>Fairview Borough</x:v>
      </x:c>
      <x:c r="C7" s="28" t="str">
        <x:v>NJ</x:v>
      </x:c>
      <x:c r="D7" s="204" t="n">
        <x:v>0.844</x:v>
      </x:c>
      <x:c r="E7" s="133" t="n">
        <x:v>0</x:v>
      </x:c>
      <x:c r="F7" s="133" t="n">
        <x:v>0</x:v>
      </x:c>
      <x:c r="G7" s="133" t="n">
        <x:v>0</x:v>
      </x:c>
      <x:c r="H7" s="133" t="n">
        <x:v>0</x:v>
      </x:c>
      <x:c r="I7" s="133" t="n">
        <x:v>0</x:v>
      </x:c>
      <x:c r="J7" s="133" t="n">
        <x:v>1</x:v>
      </x:c>
      <x:c r="K7" s="133" t="n">
        <x:f>SUM(E7:J7)</x:f>
        <x:v>1</x:v>
      </x:c>
      <x:c r="L7" s="205" t="n">
        <x:f>IFERROR(K7/D7,0)</x:f>
        <x:v>1.1848341232227488</x:v>
      </x:c>
      <x:c r="M7" s="160" t="str">
        <x:v>Presence-floor proxy only — 10k+ municipality completion</x:v>
      </x:c>
      <x:c r="N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 s="160" t="str">
        <x:v>Bergen County</x:v>
      </x:c>
    </x:row>
    <x:row r="8">
      <x:c r="A8" s="28" t="n">
        <x:v>3</x:v>
      </x:c>
      <x:c r="B8" s="28" t="str">
        <x:v>Edgewater Borough</x:v>
      </x:c>
      <x:c r="C8" s="28" t="str">
        <x:v>NJ</x:v>
      </x:c>
      <x:c r="D8" s="204" t="n">
        <x:v>0.971</x:v>
      </x:c>
      <x:c r="E8" s="133" t="n">
        <x:v>1</x:v>
      </x:c>
      <x:c r="F8" s="133" t="n">
        <x:v>0</x:v>
      </x:c>
      <x:c r="G8" s="133" t="n">
        <x:v>0</x:v>
      </x:c>
      <x:c r="H8" s="133" t="n">
        <x:v>0</x:v>
      </x:c>
      <x:c r="I8" s="133" t="n">
        <x:v>0</x:v>
      </x:c>
      <x:c r="J8" s="133" t="n">
        <x:v>0</x:v>
      </x:c>
      <x:c r="K8" s="133" t="n">
        <x:f>SUM(E8:J8)</x:f>
        <x:v>1</x:v>
      </x:c>
      <x:c r="L8" s="205" t="n">
        <x:f>IFERROR(K8/D8,0)</x:f>
        <x:v>1.0298661174047374</x:v>
      </x:c>
      <x:c r="M8" s="160" t="str">
        <x:v>Confirmed lower bound — official retailer store page</x:v>
      </x:c>
      <x:c r="N8" s="160" t="str">
        <x:v>Confirmed lower bound: 1 Whole Foods location verified by the retailer's official store page using a municipality-matching location name/address. Other tracked chains and nearby spillover omitted.</x:v>
      </x:c>
      <x:c r="O8" s="160" t="str">
        <x:v>Bergen County</x:v>
      </x:c>
    </x:row>
    <x:row r="9">
      <x:c r="A9" s="28" t="n">
        <x:v>4</x:v>
      </x:c>
      <x:c r="B9" s="28" t="str">
        <x:v>Wallington Borough</x:v>
      </x:c>
      <x:c r="C9" s="28" t="str">
        <x:v>NJ</x:v>
      </x:c>
      <x:c r="D9" s="204" t="n">
        <x:v>0.994</x:v>
      </x:c>
      <x:c r="E9" s="133" t="n">
        <x:v>0</x:v>
      </x:c>
      <x:c r="F9" s="133" t="n">
        <x:v>0</x:v>
      </x:c>
      <x:c r="G9" s="133" t="n">
        <x:v>0</x:v>
      </x:c>
      <x:c r="H9" s="133" t="n">
        <x:v>0</x:v>
      </x:c>
      <x:c r="I9" s="133" t="n">
        <x:v>0</x:v>
      </x:c>
      <x:c r="J9" s="133" t="n">
        <x:v>1</x:v>
      </x:c>
      <x:c r="K9" s="133" t="n">
        <x:f>SUM(E9:J9)</x:f>
        <x:v>1</x:v>
      </x:c>
      <x:c r="L9" s="205" t="n">
        <x:f>IFERROR(K9/D9,0)</x:f>
        <x:v>1.0060362173038229</x:v>
      </x:c>
      <x:c r="M9" s="160" t="str">
        <x:v>Presence-floor proxy only — 10k+ municipality completion</x:v>
      </x:c>
      <x:c r="N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9" s="160" t="str">
        <x:v>Bergen County</x:v>
      </x:c>
    </x:row>
    <x:row r="10">
      <x:c r="A10" s="28" t="n">
        <x:v>5</x:v>
      </x:c>
      <x:c r="B10" s="28" t="str">
        <x:v>Wood-Ridge Borough</x:v>
      </x:c>
      <x:c r="C10" s="28" t="str">
        <x:v>NJ</x:v>
      </x:c>
      <x:c r="D10" s="204" t="n">
        <x:v>1.114</x:v>
      </x:c>
      <x:c r="E10" s="133" t="n">
        <x:v>0</x:v>
      </x:c>
      <x:c r="F10" s="133" t="n">
        <x:v>0</x:v>
      </x:c>
      <x:c r="G10" s="133" t="n">
        <x:v>0</x:v>
      </x:c>
      <x:c r="H10" s="133" t="n">
        <x:v>0</x:v>
      </x:c>
      <x:c r="I10" s="133" t="n">
        <x:v>0</x:v>
      </x:c>
      <x:c r="J10" s="133" t="n">
        <x:v>1</x:v>
      </x:c>
      <x:c r="K10" s="133" t="n">
        <x:f>SUM(E10:J10)</x:f>
        <x:v>1</x:v>
      </x:c>
      <x:c r="L10" s="205" t="n">
        <x:f>IFERROR(K10/D10,0)</x:f>
        <x:v>0.8976660682226211</x:v>
      </x:c>
      <x:c r="M10" s="160" t="str">
        <x:v>Presence-floor proxy only — 10k+ municipality completion</x:v>
      </x:c>
      <x:c r="N1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0" s="160" t="str">
        <x:v>Bergen County</x:v>
      </x:c>
    </x:row>
    <x:row r="11">
      <x:c r="A11" s="28" t="n">
        <x:v>6</x:v>
      </x:c>
      <x:c r="B11" s="28" t="str">
        <x:v>Lansdowne Borough</x:v>
      </x:c>
      <x:c r="C11" s="28" t="str">
        <x:v>PA</x:v>
      </x:c>
      <x:c r="D11" s="204" t="n">
        <x:v>1.181</x:v>
      </x:c>
      <x:c r="E11" s="133" t="n">
        <x:v>0</x:v>
      </x:c>
      <x:c r="F11" s="133" t="n">
        <x:v>0</x:v>
      </x:c>
      <x:c r="G11" s="133" t="n">
        <x:v>0</x:v>
      </x:c>
      <x:c r="H11" s="133" t="n">
        <x:v>0</x:v>
      </x:c>
      <x:c r="I11" s="133" t="n">
        <x:v>0</x:v>
      </x:c>
      <x:c r="J11" s="133" t="n">
        <x:v>1</x:v>
      </x:c>
      <x:c r="K11" s="133" t="n">
        <x:f>SUM(E11:J11)</x:f>
        <x:v>1</x:v>
      </x:c>
      <x:c r="L11" s="205" t="n">
        <x:f>IFERROR(K11/D11,0)</x:f>
        <x:v>0.8467400508044031</x:v>
      </x:c>
      <x:c r="M11" s="160" t="str">
        <x:v>Presence-floor proxy only — 10k+ municipality completion</x:v>
      </x:c>
      <x:c r="N11" s="160" t="str">
        <x:v>Added under the 10k+ city-equivalent municipality rule: Census Vintage 2025 population &gt;=10,000; county population &gt;=500,000. Presence-floor proxy only — exact tracked-chain count requires municipal-boundary/GIS verification.</x:v>
      </x:c>
      <x:c r="O11" s="160" t="str">
        <x:v>Delaware County</x:v>
      </x:c>
    </x:row>
    <x:row r="12">
      <x:c r="A12" s="28" t="n">
        <x:v>7</x:v>
      </x:c>
      <x:c r="B12" s="28" t="str">
        <x:v>Palisades Park Borough</x:v>
      </x:c>
      <x:c r="C12" s="28" t="str">
        <x:v>NJ</x:v>
      </x:c>
      <x:c r="D12" s="204" t="n">
        <x:v>1.239</x:v>
      </x:c>
      <x:c r="E12" s="133" t="n">
        <x:v>0</x:v>
      </x:c>
      <x:c r="F12" s="133" t="n">
        <x:v>0</x:v>
      </x:c>
      <x:c r="G12" s="133" t="n">
        <x:v>0</x:v>
      </x:c>
      <x:c r="H12" s="133" t="n">
        <x:v>0</x:v>
      </x:c>
      <x:c r="I12" s="133" t="n">
        <x:v>0</x:v>
      </x:c>
      <x:c r="J12" s="133" t="n">
        <x:v>1</x:v>
      </x:c>
      <x:c r="K12" s="133" t="n">
        <x:f>SUM(E12:J12)</x:f>
        <x:v>1</x:v>
      </x:c>
      <x:c r="L12" s="205" t="n">
        <x:f>IFERROR(K12/D12,0)</x:f>
        <x:v>0.8071025020177562</x:v>
      </x:c>
      <x:c r="M12" s="160" t="str">
        <x:v>Presence-floor proxy only — 10k+ municipality completion</x:v>
      </x:c>
      <x:c r="N1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2" s="160" t="str">
        <x:v>Bergen County</x:v>
      </x:c>
    </x:row>
    <x:row r="13">
      <x:c r="A13" s="28" t="n">
        <x:v>8</x:v>
      </x:c>
      <x:c r="B13" s="28" t="str">
        <x:v>Maywood Borough</x:v>
      </x:c>
      <x:c r="C13" s="28" t="str">
        <x:v>NJ</x:v>
      </x:c>
      <x:c r="D13" s="204" t="n">
        <x:v>1.287</x:v>
      </x:c>
      <x:c r="E13" s="133" t="n">
        <x:v>0</x:v>
      </x:c>
      <x:c r="F13" s="133" t="n">
        <x:v>0</x:v>
      </x:c>
      <x:c r="G13" s="133" t="n">
        <x:v>0</x:v>
      </x:c>
      <x:c r="H13" s="133" t="n">
        <x:v>0</x:v>
      </x:c>
      <x:c r="I13" s="133" t="n">
        <x:v>0</x:v>
      </x:c>
      <x:c r="J13" s="133" t="n">
        <x:v>1</x:v>
      </x:c>
      <x:c r="K13" s="133" t="n">
        <x:f>SUM(E13:J13)</x:f>
        <x:v>1</x:v>
      </x:c>
      <x:c r="L13" s="205" t="n">
        <x:f>IFERROR(K13/D13,0)</x:f>
        <x:v>0.7770007770007771</x:v>
      </x:c>
      <x:c r="M13" s="160" t="str">
        <x:v>Presence-floor proxy only — 10k+ municipality completion</x:v>
      </x:c>
      <x:c r="N1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3" s="160" t="str">
        <x:v>Bergen County</x:v>
      </x:c>
    </x:row>
    <x:row r="14">
      <x:c r="A14" s="28" t="n">
        <x:v>9</x:v>
      </x:c>
      <x:c r="B14" s="28" t="str">
        <x:v>Asbury Park City</x:v>
      </x:c>
      <x:c r="C14" s="28" t="str">
        <x:v>NJ</x:v>
      </x:c>
      <x:c r="D14" s="204" t="n">
        <x:v>1.43</x:v>
      </x:c>
      <x:c r="E14" s="133" t="n">
        <x:v>0</x:v>
      </x:c>
      <x:c r="F14" s="133" t="n">
        <x:v>0</x:v>
      </x:c>
      <x:c r="G14" s="133" t="n">
        <x:v>0</x:v>
      </x:c>
      <x:c r="H14" s="133" t="n">
        <x:v>0</x:v>
      </x:c>
      <x:c r="I14" s="133" t="n">
        <x:v>0</x:v>
      </x:c>
      <x:c r="J14" s="133" t="n">
        <x:v>1</x:v>
      </x:c>
      <x:c r="K14" s="133" t="n">
        <x:f>SUM(E14:J14)</x:f>
        <x:v>1</x:v>
      </x:c>
      <x:c r="L14" s="205" t="n">
        <x:f>IFERROR(K14/D14,0)</x:f>
        <x:v>0.6993006993006994</x:v>
      </x:c>
      <x:c r="M14" s="160" t="str">
        <x:v>Presence-floor proxy only — 10k+ municipality completion</x:v>
      </x:c>
      <x:c r="N1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4" s="160" t="str">
        <x:v>Monmouth County</x:v>
      </x:c>
    </x:row>
    <x:row r="15">
      <x:c r="A15" s="28" t="n">
        <x:v>10</x:v>
      </x:c>
      <x:c r="B15" s="28" t="str">
        <x:v>Little Ferry Borough</x:v>
      </x:c>
      <x:c r="C15" s="28" t="str">
        <x:v>NJ</x:v>
      </x:c>
      <x:c r="D15" s="204" t="n">
        <x:v>1.477</x:v>
      </x:c>
      <x:c r="E15" s="133" t="n">
        <x:v>0</x:v>
      </x:c>
      <x:c r="F15" s="133" t="n">
        <x:v>0</x:v>
      </x:c>
      <x:c r="G15" s="133" t="n">
        <x:v>0</x:v>
      </x:c>
      <x:c r="H15" s="133" t="n">
        <x:v>0</x:v>
      </x:c>
      <x:c r="I15" s="133" t="n">
        <x:v>0</x:v>
      </x:c>
      <x:c r="J15" s="133" t="n">
        <x:v>1</x:v>
      </x:c>
      <x:c r="K15" s="133" t="n">
        <x:f>SUM(E15:J15)</x:f>
        <x:v>1</x:v>
      </x:c>
      <x:c r="L15" s="205" t="n">
        <x:f>IFERROR(K15/D15,0)</x:f>
        <x:v>0.6770480704129993</x:v>
      </x:c>
      <x:c r="M15" s="160" t="str">
        <x:v>Presence-floor proxy only — 10k+ municipality completion</x:v>
      </x:c>
      <x:c r="N1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5" s="160" t="str">
        <x:v>Bergen County</x:v>
      </x:c>
    </x:row>
    <x:row r="16">
      <x:c r="A16" s="28" t="n">
        <x:v>11</x:v>
      </x:c>
      <x:c r="B16" s="28" t="str">
        <x:v>Hasbrouck Heights Borough</x:v>
      </x:c>
      <x:c r="C16" s="28" t="str">
        <x:v>NJ</x:v>
      </x:c>
      <x:c r="D16" s="204" t="n">
        <x:v>1.523</x:v>
      </x:c>
      <x:c r="E16" s="133" t="n">
        <x:v>0</x:v>
      </x:c>
      <x:c r="F16" s="133" t="n">
        <x:v>0</x:v>
      </x:c>
      <x:c r="G16" s="133" t="n">
        <x:v>0</x:v>
      </x:c>
      <x:c r="H16" s="133" t="n">
        <x:v>0</x:v>
      </x:c>
      <x:c r="I16" s="133" t="n">
        <x:v>0</x:v>
      </x:c>
      <x:c r="J16" s="133" t="n">
        <x:v>1</x:v>
      </x:c>
      <x:c r="K16" s="133" t="n">
        <x:f>SUM(E16:J16)</x:f>
        <x:v>1</x:v>
      </x:c>
      <x:c r="L16" s="205" t="n">
        <x:f>IFERROR(K16/D16,0)</x:f>
        <x:v>0.6565988181221274</x:v>
      </x:c>
      <x:c r="M16" s="160" t="str">
        <x:v>Presence-floor proxy only — 10k+ municipality completion</x:v>
      </x:c>
      <x:c r="N1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6" s="160" t="str">
        <x:v>Bergen County</x:v>
      </x:c>
    </x:row>
    <x:row r="17">
      <x:c r="A17" s="28" t="n">
        <x:v>12</x:v>
      </x:c>
      <x:c r="B17" s="28" t="str">
        <x:v>Yeadon Borough</x:v>
      </x:c>
      <x:c r="C17" s="28" t="str">
        <x:v>PA</x:v>
      </x:c>
      <x:c r="D17" s="204" t="n">
        <x:v>1.598</x:v>
      </x:c>
      <x:c r="E17" s="133" t="n">
        <x:v>0</x:v>
      </x:c>
      <x:c r="F17" s="133" t="n">
        <x:v>0</x:v>
      </x:c>
      <x:c r="G17" s="133" t="n">
        <x:v>0</x:v>
      </x:c>
      <x:c r="H17" s="133" t="n">
        <x:v>0</x:v>
      </x:c>
      <x:c r="I17" s="133" t="n">
        <x:v>0</x:v>
      </x:c>
      <x:c r="J17" s="133" t="n">
        <x:v>1</x:v>
      </x:c>
      <x:c r="K17" s="133" t="n">
        <x:f>SUM(E17:J17)</x:f>
        <x:v>1</x:v>
      </x:c>
      <x:c r="L17" s="205" t="n">
        <x:f>IFERROR(K17/D17,0)</x:f>
        <x:v>0.6257822277847309</x:v>
      </x:c>
      <x:c r="M17" s="160" t="str">
        <x:v>Presence-floor proxy only — 10k+ municipality completion</x:v>
      </x:c>
      <x:c r="N17" s="160" t="str">
        <x:v>Added under the 10k+ city-equivalent municipality rule: Census Vintage 2025 population &gt;=10,000; county population &gt;=500,000. Presence-floor proxy only — exact tracked-chain count requires municipal-boundary/GIS verification.</x:v>
      </x:c>
      <x:c r="O17" s="160" t="str">
        <x:v>Delaware County</x:v>
      </x:c>
    </x:row>
    <x:row r="18">
      <x:c r="A18" s="28" t="n">
        <x:v>13</x:v>
      </x:c>
      <x:c r="B18" s="28" t="str">
        <x:v>Bound Brook Borough</x:v>
      </x:c>
      <x:c r="C18" s="28" t="str">
        <x:v>NJ</x:v>
      </x:c>
      <x:c r="D18" s="204" t="n">
        <x:v>1.661</x:v>
      </x:c>
      <x:c r="E18" s="133" t="n">
        <x:v>0</x:v>
      </x:c>
      <x:c r="F18" s="133" t="n">
        <x:v>0</x:v>
      </x:c>
      <x:c r="G18" s="133" t="n">
        <x:v>0</x:v>
      </x:c>
      <x:c r="H18" s="133" t="n">
        <x:v>0</x:v>
      </x:c>
      <x:c r="I18" s="133" t="n">
        <x:v>0</x:v>
      </x:c>
      <x:c r="J18" s="133" t="n">
        <x:v>1</x:v>
      </x:c>
      <x:c r="K18" s="133" t="n">
        <x:f>SUM(E18:J18)</x:f>
        <x:v>1</x:v>
      </x:c>
      <x:c r="L18" s="205" t="n">
        <x:f>IFERROR(K18/D18,0)</x:f>
        <x:v>0.6020469596628537</x:v>
      </x:c>
      <x:c r="M18" s="160" t="str">
        <x:v>Presence-floor proxy only — 10k+ municipality completion</x:v>
      </x:c>
      <x:c r="N1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18" s="160" t="str">
        <x:v>Somerset County</x:v>
      </x:c>
    </x:row>
    <x:row r="19">
      <x:c r="A19" s="28" t="n">
        <x:v>14</x:v>
      </x:c>
      <x:c r="B19" s="28" t="str">
        <x:v>Ridgefield Park Village</x:v>
      </x:c>
      <x:c r="C19" s="28" t="str">
        <x:v>NJ</x:v>
      </x:c>
      <x:c r="D19" s="204" t="n">
        <x:v>1.705</x:v>
      </x:c>
      <x:c r="E19" s="133" t="n">
        <x:v>0</x:v>
      </x:c>
      <x:c r="F19" s="133" t="n">
        <x:v>0</x:v>
      </x:c>
      <x:c r="G19" s="133" t="n">
        <x:v>0</x:v>
      </x:c>
      <x:c r="H19" s="133" t="n">
        <x:v>0</x:v>
      </x:c>
      <x:c r="I19" s="133" t="n">
        <x:v>0</x:v>
      </x:c>
      <x:c r="J19" s="133" t="n">
        <x:v>1</x:v>
      </x:c>
      <x:c r="K19" s="133" t="n">
        <x:f>SUM(E19:J19)</x:f>
        <x:v>1</x:v>
      </x:c>
      <x:c r="L19" s="205" t="n">
        <x:f>IFERROR(K19/D19,0)</x:f>
        <x:v>0.5865102639296187</x:v>
      </x:c>
      <x:c r="M19" s="160" t="str">
        <x:v>Presence-floor proxy only — 10k+ municipality completion</x:v>
      </x:c>
      <x:c r="N1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9" s="160" t="str">
        <x:v>Bergen County</x:v>
      </x:c>
    </x:row>
    <x:row r="20">
      <x:c r="A20" s="28" t="n">
        <x:v>15</x:v>
      </x:c>
      <x:c r="B20" s="28" t="str">
        <x:v>Red Bank Borough</x:v>
      </x:c>
      <x:c r="C20" s="28" t="str">
        <x:v>NJ</x:v>
      </x:c>
      <x:c r="D20" s="204" t="n">
        <x:v>1.746</x:v>
      </x:c>
      <x:c r="E20" s="133" t="n">
        <x:v>0</x:v>
      </x:c>
      <x:c r="F20" s="133" t="n">
        <x:v>0</x:v>
      </x:c>
      <x:c r="G20" s="133" t="n">
        <x:v>0</x:v>
      </x:c>
      <x:c r="H20" s="133" t="n">
        <x:v>0</x:v>
      </x:c>
      <x:c r="I20" s="133" t="n">
        <x:v>0</x:v>
      </x:c>
      <x:c r="J20" s="133" t="n">
        <x:v>1</x:v>
      </x:c>
      <x:c r="K20" s="133" t="n">
        <x:f>SUM(E20:J20)</x:f>
        <x:v>1</x:v>
      </x:c>
      <x:c r="L20" s="205" t="n">
        <x:f>IFERROR(K20/D20,0)</x:f>
        <x:v>0.572737686139748</x:v>
      </x:c>
      <x:c r="M20" s="160" t="str">
        <x:v>Presence-floor proxy only — 10k+ municipality completion</x:v>
      </x:c>
      <x:c r="N2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0" s="160" t="str">
        <x:v>Monmouth County</x:v>
      </x:c>
    </x:row>
    <x:row r="21">
      <x:c r="A21" s="28" t="n">
        <x:v>16</x:v>
      </x:c>
      <x:c r="B21" s="28" t="str">
        <x:v>Coatesville City</x:v>
      </x:c>
      <x:c r="C21" s="28" t="str">
        <x:v>PA</x:v>
      </x:c>
      <x:c r="D21" s="204" t="n">
        <x:v>1.808</x:v>
      </x:c>
      <x:c r="E21" s="133" t="n">
        <x:v>0</x:v>
      </x:c>
      <x:c r="F21" s="133" t="n">
        <x:v>0</x:v>
      </x:c>
      <x:c r="G21" s="133" t="n">
        <x:v>0</x:v>
      </x:c>
      <x:c r="H21" s="133" t="n">
        <x:v>0</x:v>
      </x:c>
      <x:c r="I21" s="133" t="n">
        <x:v>0</x:v>
      </x:c>
      <x:c r="J21" s="133" t="n">
        <x:v>1</x:v>
      </x:c>
      <x:c r="K21" s="133" t="n">
        <x:f>SUM(E21:J21)</x:f>
        <x:v>1</x:v>
      </x:c>
      <x:c r="L21" s="205" t="n">
        <x:f>IFERROR(K21/D21,0)</x:f>
        <x:v>0.5530973451327433</x:v>
      </x:c>
      <x:c r="M21" s="160" t="str">
        <x:v>Presence-floor proxy only — 10k+ municipality completion</x:v>
      </x:c>
      <x:c r="N21" s="160" t="str">
        <x:v>Added under the 10k+ city-equivalent municipality rule: Census Vintage 2025 population &gt;=10,000; county population &gt;=500,000. Presence-floor proxy only — exact tracked-chain count requires municipal-boundary/GIS verification.</x:v>
      </x:c>
      <x:c r="O21" s="160" t="str">
        <x:v>Chester County</x:v>
      </x:c>
    </x:row>
    <x:row r="22">
      <x:c r="A22" s="28" t="n">
        <x:v>17</x:v>
      </x:c>
      <x:c r="B22" s="28" t="str">
        <x:v>River Edge Borough</x:v>
      </x:c>
      <x:c r="C22" s="28" t="str">
        <x:v>NJ</x:v>
      </x:c>
      <x:c r="D22" s="204" t="n">
        <x:v>1.833</x:v>
      </x:c>
      <x:c r="E22" s="133" t="n">
        <x:v>0</x:v>
      </x:c>
      <x:c r="F22" s="133" t="n">
        <x:v>0</x:v>
      </x:c>
      <x:c r="G22" s="133" t="n">
        <x:v>0</x:v>
      </x:c>
      <x:c r="H22" s="133" t="n">
        <x:v>0</x:v>
      </x:c>
      <x:c r="I22" s="133" t="n">
        <x:v>0</x:v>
      </x:c>
      <x:c r="J22" s="133" t="n">
        <x:v>1</x:v>
      </x:c>
      <x:c r="K22" s="133" t="n">
        <x:f>SUM(E22:J22)</x:f>
        <x:v>1</x:v>
      </x:c>
      <x:c r="L22" s="205" t="n">
        <x:f>IFERROR(K22/D22,0)</x:f>
        <x:v>0.5455537370430987</x:v>
      </x:c>
      <x:c r="M22" s="160" t="str">
        <x:v>Presence-floor proxy only — 10k+ municipality completion</x:v>
      </x:c>
      <x:c r="N2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2" s="160" t="str">
        <x:v>Bergen County</x:v>
      </x:c>
    </x:row>
    <x:row r="23">
      <x:c r="A23" s="28" t="n">
        <x:v>18</x:v>
      </x:c>
      <x:c r="B23" s="28" t="str">
        <x:v>West Chester Borough</x:v>
      </x:c>
      <x:c r="C23" s="28" t="str">
        <x:v>PA</x:v>
      </x:c>
      <x:c r="D23" s="204" t="n">
        <x:v>1.846</x:v>
      </x:c>
      <x:c r="E23" s="133" t="n">
        <x:v>0</x:v>
      </x:c>
      <x:c r="F23" s="133" t="n">
        <x:v>0</x:v>
      </x:c>
      <x:c r="G23" s="133" t="n">
        <x:v>0</x:v>
      </x:c>
      <x:c r="H23" s="133" t="n">
        <x:v>0</x:v>
      </x:c>
      <x:c r="I23" s="133" t="n">
        <x:v>0</x:v>
      </x:c>
      <x:c r="J23" s="133" t="n">
        <x:v>1</x:v>
      </x:c>
      <x:c r="K23" s="133" t="n">
        <x:f>SUM(E23:J23)</x:f>
        <x:v>1</x:v>
      </x:c>
      <x:c r="L23" s="205" t="n">
        <x:f>IFERROR(K23/D23,0)</x:f>
        <x:v>0.5417118093174431</x:v>
      </x:c>
      <x:c r="M23" s="160" t="str">
        <x:v>Presence-floor proxy only — 10k+ municipality completion</x:v>
      </x:c>
      <x:c r="N23" s="160" t="str">
        <x:v>Added under the 10k+ city-equivalent municipality rule: Census Vintage 2025 population &gt;=10,000; county population &gt;=500,000. Presence-floor proxy only — exact tracked-chain count requires municipal-boundary/GIS verification.</x:v>
      </x:c>
      <x:c r="O23" s="160" t="str">
        <x:v>Chester County</x:v>
      </x:c>
    </x:row>
    <x:row r="24">
      <x:c r="A24" s="28" t="n">
        <x:v>19</x:v>
      </x:c>
      <x:c r="B24" s="28" t="str">
        <x:v>Freehold Borough</x:v>
      </x:c>
      <x:c r="C24" s="28" t="str">
        <x:v>NJ</x:v>
      </x:c>
      <x:c r="D24" s="204" t="n">
        <x:v>1.932</x:v>
      </x:c>
      <x:c r="E24" s="133" t="n">
        <x:v>0</x:v>
      </x:c>
      <x:c r="F24" s="133" t="n">
        <x:v>0</x:v>
      </x:c>
      <x:c r="G24" s="133" t="n">
        <x:v>0</x:v>
      </x:c>
      <x:c r="H24" s="133" t="n">
        <x:v>0</x:v>
      </x:c>
      <x:c r="I24" s="133" t="n">
        <x:v>0</x:v>
      </x:c>
      <x:c r="J24" s="133" t="n">
        <x:v>1</x:v>
      </x:c>
      <x:c r="K24" s="133" t="n">
        <x:f>SUM(E24:J24)</x:f>
        <x:v>1</x:v>
      </x:c>
      <x:c r="L24" s="205" t="n">
        <x:f>IFERROR(K24/D24,0)</x:f>
        <x:v>0.5175983436853002</x:v>
      </x:c>
      <x:c r="M24" s="160" t="str">
        <x:v>Presence-floor proxy only — 10k+ municipality completion</x:v>
      </x:c>
      <x:c r="N2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4" s="160" t="str">
        <x:v>Monmouth County</x:v>
      </x:c>
    </x:row>
    <x:row r="25">
      <x:c r="A25" s="28" t="n">
        <x:v>20</x:v>
      </x:c>
      <x:c r="B25" s="28" t="str">
        <x:v>Dumont Borough</x:v>
      </x:c>
      <x:c r="C25" s="28" t="str">
        <x:v>NJ</x:v>
      </x:c>
      <x:c r="D25" s="204" t="n">
        <x:v>1.951</x:v>
      </x:c>
      <x:c r="E25" s="133" t="n">
        <x:v>0</x:v>
      </x:c>
      <x:c r="F25" s="133" t="n">
        <x:v>0</x:v>
      </x:c>
      <x:c r="G25" s="133" t="n">
        <x:v>0</x:v>
      </x:c>
      <x:c r="H25" s="133" t="n">
        <x:v>0</x:v>
      </x:c>
      <x:c r="I25" s="133" t="n">
        <x:v>0</x:v>
      </x:c>
      <x:c r="J25" s="133" t="n">
        <x:v>1</x:v>
      </x:c>
      <x:c r="K25" s="133" t="n">
        <x:f>SUM(E25:J25)</x:f>
        <x:v>1</x:v>
      </x:c>
      <x:c r="L25" s="205" t="n">
        <x:f>IFERROR(K25/D25,0)</x:f>
        <x:v>0.5125576627370579</x:v>
      </x:c>
      <x:c r="M25" s="160" t="str">
        <x:v>Presence-floor proxy only — 10k+ municipality completion</x:v>
      </x:c>
      <x:c r="N2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5" s="160" t="str">
        <x:v>Bergen County</x:v>
      </x:c>
    </x:row>
    <x:row r="26">
      <x:c r="A26" s="28" t="n">
        <x:v>21</x:v>
      </x:c>
      <x:c r="B26" s="28" t="str">
        <x:v>Woodbury City</x:v>
      </x:c>
      <x:c r="C26" s="28" t="str">
        <x:v>NJ</x:v>
      </x:c>
      <x:c r="D26" s="204" t="n">
        <x:v>2.02</x:v>
      </x:c>
      <x:c r="E26" s="133" t="n">
        <x:v>0</x:v>
      </x:c>
      <x:c r="F26" s="133" t="n">
        <x:v>0</x:v>
      </x:c>
      <x:c r="G26" s="133" t="n">
        <x:v>0</x:v>
      </x:c>
      <x:c r="H26" s="133" t="n">
        <x:v>0</x:v>
      </x:c>
      <x:c r="I26" s="133" t="n">
        <x:v>0</x:v>
      </x:c>
      <x:c r="J26" s="133" t="n">
        <x:v>1</x:v>
      </x:c>
      <x:c r="K26" s="133" t="n">
        <x:f>SUM(E26:J26)</x:f>
        <x:v>1</x:v>
      </x:c>
      <x:c r="L26" s="205" t="n">
        <x:f>IFERROR(K26/D26,0)</x:f>
        <x:v>0.49504950495049505</x:v>
      </x:c>
      <x:c r="M26" s="160" t="str">
        <x:v>Presence-floor proxy only — 10k+ municipality completion</x:v>
      </x:c>
      <x:c r="N2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26" s="160" t="str">
        <x:v>Gloucester County</x:v>
      </x:c>
    </x:row>
    <x:row r="27">
      <x:c r="A27" s="28" t="n">
        <x:v>22</x:v>
      </x:c>
      <x:c r="B27" s="28" t="str">
        <x:v>Waldwick Borough</x:v>
      </x:c>
      <x:c r="C27" s="28" t="str">
        <x:v>NJ</x:v>
      </x:c>
      <x:c r="D27" s="204" t="n">
        <x:v>2.046</x:v>
      </x:c>
      <x:c r="E27" s="133" t="n">
        <x:v>0</x:v>
      </x:c>
      <x:c r="F27" s="133" t="n">
        <x:v>0</x:v>
      </x:c>
      <x:c r="G27" s="133" t="n">
        <x:v>0</x:v>
      </x:c>
      <x:c r="H27" s="133" t="n">
        <x:v>0</x:v>
      </x:c>
      <x:c r="I27" s="133" t="n">
        <x:v>0</x:v>
      </x:c>
      <x:c r="J27" s="133" t="n">
        <x:v>1</x:v>
      </x:c>
      <x:c r="K27" s="133" t="n">
        <x:f>SUM(E27:J27)</x:f>
        <x:v>1</x:v>
      </x:c>
      <x:c r="L27" s="205" t="n">
        <x:f>IFERROR(K27/D27,0)</x:f>
        <x:v>0.4887585532746824</x:v>
      </x:c>
      <x:c r="M27" s="160" t="str">
        <x:v>Presence-floor proxy only — 10k+ municipality completion</x:v>
      </x:c>
      <x:c r="N2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7" s="160" t="str">
        <x:v>Bergen County</x:v>
      </x:c>
    </x:row>
    <x:row r="28">
      <x:c r="A28" s="28" t="n">
        <x:v>23</x:v>
      </x:c>
      <x:c r="B28" s="28" t="str">
        <x:v>Garfield City</x:v>
      </x:c>
      <x:c r="C28" s="28" t="str">
        <x:v>NJ</x:v>
      </x:c>
      <x:c r="D28" s="204" t="n">
        <x:v>2.111</x:v>
      </x:c>
      <x:c r="E28" s="133" t="n">
        <x:v>0</x:v>
      </x:c>
      <x:c r="F28" s="133" t="n">
        <x:v>0</x:v>
      </x:c>
      <x:c r="G28" s="133" t="n">
        <x:v>0</x:v>
      </x:c>
      <x:c r="H28" s="133" t="n">
        <x:v>0</x:v>
      </x:c>
      <x:c r="I28" s="133" t="n">
        <x:v>0</x:v>
      </x:c>
      <x:c r="J28" s="133" t="n">
        <x:v>1</x:v>
      </x:c>
      <x:c r="K28" s="133" t="n">
        <x:f>SUM(E28:J28)</x:f>
        <x:v>1</x:v>
      </x:c>
      <x:c r="L28" s="205" t="n">
        <x:f>IFERROR(K28/D28,0)</x:f>
        <x:v>0.47370914258645186</x:v>
      </x:c>
      <x:c r="M28" s="160" t="str">
        <x:v>Presence-floor proxy only — 10k+ municipality completion</x:v>
      </x:c>
      <x:c r="N2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8" s="160" t="str">
        <x:v>Bergen County</x:v>
      </x:c>
    </x:row>
    <x:row r="29">
      <x:c r="A29" s="28" t="n">
        <x:v>24</x:v>
      </x:c>
      <x:c r="B29" s="28" t="str">
        <x:v>Kingston Borough</x:v>
      </x:c>
      <x:c r="C29" s="28" t="str">
        <x:v>PA</x:v>
      </x:c>
      <x:c r="D29" s="204" t="n">
        <x:v>2.146</x:v>
      </x:c>
      <x:c r="E29" s="133" t="n">
        <x:v>0</x:v>
      </x:c>
      <x:c r="F29" s="133" t="n">
        <x:v>0</x:v>
      </x:c>
      <x:c r="G29" s="133" t="n">
        <x:v>0</x:v>
      </x:c>
      <x:c r="H29" s="133" t="n">
        <x:v>0</x:v>
      </x:c>
      <x:c r="I29" s="133" t="n">
        <x:v>0</x:v>
      </x:c>
      <x:c r="J29" s="133" t="n">
        <x:v>1</x:v>
      </x:c>
      <x:c r="K29" s="133" t="n">
        <x:f>SUM(E29:J29)</x:f>
        <x:v>1</x:v>
      </x:c>
      <x:c r="L29" s="205" t="n">
        <x:f>IFERROR(K29/D29,0)</x:f>
        <x:v>0.4659832246039143</x:v>
      </x:c>
      <x:c r="M29" s="160" t="str">
        <x:v>Presence-floor proxy only — 10k+ municipality completion</x:v>
      </x:c>
      <x:c r="N29"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29" s="160" t="str">
        <x:v>Luzerne County</x:v>
      </x:c>
    </x:row>
    <x:row r="30">
      <x:c r="A30" s="28" t="n">
        <x:v>25</x:v>
      </x:c>
      <x:c r="B30" s="28" t="str">
        <x:v>Long Beach City</x:v>
      </x:c>
      <x:c r="C30" s="28" t="str">
        <x:v>NY</x:v>
      </x:c>
      <x:c r="D30" s="204" t="n">
        <x:v>2.218</x:v>
      </x:c>
      <x:c r="E30" s="133" t="n">
        <x:v>0</x:v>
      </x:c>
      <x:c r="F30" s="133" t="n">
        <x:v>0</x:v>
      </x:c>
      <x:c r="G30" s="133" t="n">
        <x:v>0</x:v>
      </x:c>
      <x:c r="H30" s="133" t="n">
        <x:v>0</x:v>
      </x:c>
      <x:c r="I30" s="133" t="n">
        <x:v>0</x:v>
      </x:c>
      <x:c r="J30" s="133" t="n">
        <x:v>1</x:v>
      </x:c>
      <x:c r="K30" s="133" t="n">
        <x:f>SUM(E30:J30)</x:f>
        <x:v>1</x:v>
      </x:c>
      <x:c r="L30" s="205" t="n">
        <x:f>IFERROR(K30/D30,0)</x:f>
        <x:v>0.4508566275924256</x:v>
      </x:c>
      <x:c r="M30" s="160" t="str">
        <x:v>Presence-floor proxy only — 10k+ municipality completion</x:v>
      </x:c>
      <x:c r="N30"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cities + towns avoids overlapping municipal units.</x:v>
      </x:c>
      <x:c r="O30" s="160" t="str">
        <x:v>Nassau County</x:v>
      </x:c>
    </x:row>
    <x:row r="31">
      <x:c r="A31" s="28" t="n">
        <x:v>26</x:v>
      </x:c>
      <x:c r="B31" s="28" t="str">
        <x:v>Westwood Borough</x:v>
      </x:c>
      <x:c r="C31" s="28" t="str">
        <x:v>NJ</x:v>
      </x:c>
      <x:c r="D31" s="204" t="n">
        <x:v>2.259</x:v>
      </x:c>
      <x:c r="E31" s="133" t="n">
        <x:v>0</x:v>
      </x:c>
      <x:c r="F31" s="133" t="n">
        <x:v>0</x:v>
      </x:c>
      <x:c r="G31" s="133" t="n">
        <x:v>0</x:v>
      </x:c>
      <x:c r="H31" s="133" t="n">
        <x:v>0</x:v>
      </x:c>
      <x:c r="I31" s="133" t="n">
        <x:v>0</x:v>
      </x:c>
      <x:c r="J31" s="133" t="n">
        <x:v>1</x:v>
      </x:c>
      <x:c r="K31" s="133" t="n">
        <x:f>SUM(E31:J31)</x:f>
        <x:v>1</x:v>
      </x:c>
      <x:c r="L31" s="205" t="n">
        <x:f>IFERROR(K31/D31,0)</x:f>
        <x:v>0.4426737494466578</x:v>
      </x:c>
      <x:c r="M31" s="160" t="str">
        <x:v>Presence-floor proxy only — 10k+ municipality completion</x:v>
      </x:c>
      <x:c r="N3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 s="160" t="str">
        <x:v>Bergen County</x:v>
      </x:c>
    </x:row>
    <x:row r="32">
      <x:c r="A32" s="28" t="n">
        <x:v>27</x:v>
      </x:c>
      <x:c r="B32" s="28" t="str">
        <x:v>Lodi Borough</x:v>
      </x:c>
      <x:c r="C32" s="28" t="str">
        <x:v>NJ</x:v>
      </x:c>
      <x:c r="D32" s="204" t="n">
        <x:v>2.272</x:v>
      </x:c>
      <x:c r="E32" s="133" t="n">
        <x:v>0</x:v>
      </x:c>
      <x:c r="F32" s="133" t="n">
        <x:v>0</x:v>
      </x:c>
      <x:c r="G32" s="133" t="n">
        <x:v>0</x:v>
      </x:c>
      <x:c r="H32" s="133" t="n">
        <x:v>0</x:v>
      </x:c>
      <x:c r="I32" s="133" t="n">
        <x:v>0</x:v>
      </x:c>
      <x:c r="J32" s="133" t="n">
        <x:v>1</x:v>
      </x:c>
      <x:c r="K32" s="133" t="n">
        <x:f>SUM(E32:J32)</x:f>
        <x:v>1</x:v>
      </x:c>
      <x:c r="L32" s="205" t="n">
        <x:f>IFERROR(K32/D32,0)</x:f>
        <x:v>0.44014084507042256</x:v>
      </x:c>
      <x:c r="M32" s="160" t="str">
        <x:v>Presence-floor proxy only — 10k+ municipality completion</x:v>
      </x:c>
      <x:c r="N3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2" s="160" t="str">
        <x:v>Bergen County</x:v>
      </x:c>
    </x:row>
    <x:row r="33">
      <x:c r="A33" s="28" t="n">
        <x:v>28</x:v>
      </x:c>
      <x:c r="B33" s="28" t="str">
        <x:v>New Milford Borough</x:v>
      </x:c>
      <x:c r="C33" s="28" t="str">
        <x:v>NJ</x:v>
      </x:c>
      <x:c r="D33" s="204" t="n">
        <x:v>2.283</x:v>
      </x:c>
      <x:c r="E33" s="133" t="n">
        <x:v>0</x:v>
      </x:c>
      <x:c r="F33" s="133" t="n">
        <x:v>0</x:v>
      </x:c>
      <x:c r="G33" s="133" t="n">
        <x:v>0</x:v>
      </x:c>
      <x:c r="H33" s="133" t="n">
        <x:v>0</x:v>
      </x:c>
      <x:c r="I33" s="133" t="n">
        <x:v>0</x:v>
      </x:c>
      <x:c r="J33" s="133" t="n">
        <x:v>1</x:v>
      </x:c>
      <x:c r="K33" s="133" t="n">
        <x:f>SUM(E33:J33)</x:f>
        <x:v>1</x:v>
      </x:c>
      <x:c r="L33" s="205" t="n">
        <x:f>IFERROR(K33/D33,0)</x:f>
        <x:v>0.43802014892685065</x:v>
      </x:c>
      <x:c r="M33" s="160" t="str">
        <x:v>Presence-floor proxy only — 10k+ municipality completion</x:v>
      </x:c>
      <x:c r="N3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3" s="160" t="str">
        <x:v>Bergen County</x:v>
      </x:c>
    </x:row>
    <x:row r="34">
      <x:c r="A34" s="28" t="n">
        <x:v>29</x:v>
      </x:c>
      <x:c r="B34" s="28" t="str">
        <x:v>Somerville Borough</x:v>
      </x:c>
      <x:c r="C34" s="28" t="str">
        <x:v>NJ</x:v>
      </x:c>
      <x:c r="D34" s="204" t="n">
        <x:v>2.338</x:v>
      </x:c>
      <x:c r="E34" s="133" t="n">
        <x:v>0</x:v>
      </x:c>
      <x:c r="F34" s="133" t="n">
        <x:v>0</x:v>
      </x:c>
      <x:c r="G34" s="133" t="n">
        <x:v>0</x:v>
      </x:c>
      <x:c r="H34" s="133" t="n">
        <x:v>0</x:v>
      </x:c>
      <x:c r="I34" s="133" t="n">
        <x:v>0</x:v>
      </x:c>
      <x:c r="J34" s="133" t="n">
        <x:v>1</x:v>
      </x:c>
      <x:c r="K34" s="133" t="n">
        <x:f>SUM(E34:J34)</x:f>
        <x:v>1</x:v>
      </x:c>
      <x:c r="L34" s="205" t="n">
        <x:f>IFERROR(K34/D34,0)</x:f>
        <x:v>0.42771599657827203</x:v>
      </x:c>
      <x:c r="M34" s="160" t="str">
        <x:v>Presence-floor proxy only — 10k+ municipality completion</x:v>
      </x:c>
      <x:c r="N3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34" s="160" t="str">
        <x:v>Somerset County</x:v>
      </x:c>
    </x:row>
    <x:row r="35">
      <x:c r="A35" s="28" t="n">
        <x:v>30</x:v>
      </x:c>
      <x:c r="B35" s="28" t="str">
        <x:v>Chatham Borough</x:v>
      </x:c>
      <x:c r="C35" s="28" t="str">
        <x:v>NJ</x:v>
      </x:c>
      <x:c r="D35" s="204" t="n">
        <x:v>2.343</x:v>
      </x:c>
      <x:c r="E35" s="133" t="n">
        <x:v>0</x:v>
      </x:c>
      <x:c r="F35" s="133" t="n">
        <x:v>0</x:v>
      </x:c>
      <x:c r="G35" s="133" t="n">
        <x:v>0</x:v>
      </x:c>
      <x:c r="H35" s="133" t="n">
        <x:v>0</x:v>
      </x:c>
      <x:c r="I35" s="133" t="n">
        <x:v>0</x:v>
      </x:c>
      <x:c r="J35" s="133" t="n">
        <x:v>1</x:v>
      </x:c>
      <x:c r="K35" s="133" t="n">
        <x:f>SUM(E35:J35)</x:f>
        <x:v>1</x:v>
      </x:c>
      <x:c r="L35" s="205" t="n">
        <x:f>IFERROR(K35/D35,0)</x:f>
        <x:v>0.42680324370465217</x:v>
      </x:c>
      <x:c r="M35" s="160" t="str">
        <x:v>Presence-floor proxy only — 10k+ municipality completion</x:v>
      </x:c>
      <x:c r="N3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5" s="160" t="str">
        <x:v>Morris County</x:v>
      </x:c>
    </x:row>
    <x:row r="36">
      <x:c r="A36" s="28" t="n">
        <x:v>31</x:v>
      </x:c>
      <x:c r="B36" s="28" t="str">
        <x:v>Manville Borough</x:v>
      </x:c>
      <x:c r="C36" s="28" t="str">
        <x:v>NJ</x:v>
      </x:c>
      <x:c r="D36" s="204" t="n">
        <x:v>2.361</x:v>
      </x:c>
      <x:c r="E36" s="133" t="n">
        <x:v>0</x:v>
      </x:c>
      <x:c r="F36" s="133" t="n">
        <x:v>0</x:v>
      </x:c>
      <x:c r="G36" s="133" t="n">
        <x:v>0</x:v>
      </x:c>
      <x:c r="H36" s="133" t="n">
        <x:v>0</x:v>
      </x:c>
      <x:c r="I36" s="133" t="n">
        <x:v>0</x:v>
      </x:c>
      <x:c r="J36" s="133" t="n">
        <x:v>1</x:v>
      </x:c>
      <x:c r="K36" s="133" t="n">
        <x:f>SUM(E36:J36)</x:f>
        <x:v>1</x:v>
      </x:c>
      <x:c r="L36" s="205" t="n">
        <x:f>IFERROR(K36/D36,0)</x:f>
        <x:v>0.4235493434985175</x:v>
      </x:c>
      <x:c r="M36" s="160" t="str">
        <x:v>Presence-floor proxy only — 10k+ municipality completion</x:v>
      </x:c>
      <x:c r="N3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36" s="160" t="str">
        <x:v>Somerset County</x:v>
      </x:c>
    </x:row>
    <x:row r="37">
      <x:c r="A37" s="28" t="n">
        <x:v>32</x:v>
      </x:c>
      <x:c r="B37" s="28" t="str">
        <x:v>North Arlington Borough</x:v>
      </x:c>
      <x:c r="C37" s="28" t="str">
        <x:v>NJ</x:v>
      </x:c>
      <x:c r="D37" s="204" t="n">
        <x:v>2.484</x:v>
      </x:c>
      <x:c r="E37" s="133" t="n">
        <x:v>0</x:v>
      </x:c>
      <x:c r="F37" s="133" t="n">
        <x:v>0</x:v>
      </x:c>
      <x:c r="G37" s="133" t="n">
        <x:v>0</x:v>
      </x:c>
      <x:c r="H37" s="133" t="n">
        <x:v>0</x:v>
      </x:c>
      <x:c r="I37" s="133" t="n">
        <x:v>0</x:v>
      </x:c>
      <x:c r="J37" s="133" t="n">
        <x:v>1</x:v>
      </x:c>
      <x:c r="K37" s="133" t="n">
        <x:f>SUM(E37:J37)</x:f>
        <x:v>1</x:v>
      </x:c>
      <x:c r="L37" s="205" t="n">
        <x:f>IFERROR(K37/D37,0)</x:f>
        <x:v>0.4025764895330113</x:v>
      </x:c>
      <x:c r="M37" s="160" t="str">
        <x:v>Presence-floor proxy only — 10k+ municipality completion</x:v>
      </x:c>
      <x:c r="N3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7" s="160" t="str">
        <x:v>Bergen County</x:v>
      </x:c>
    </x:row>
    <x:row r="38">
      <x:c r="A38" s="28" t="n">
        <x:v>33</x:v>
      </x:c>
      <x:c r="B38" s="28" t="str">
        <x:v>Fort Lee Borough</x:v>
      </x:c>
      <x:c r="C38" s="28" t="str">
        <x:v>NJ</x:v>
      </x:c>
      <x:c r="D38" s="204" t="n">
        <x:v>2.518</x:v>
      </x:c>
      <x:c r="E38" s="133" t="n">
        <x:v>0</x:v>
      </x:c>
      <x:c r="F38" s="133" t="n">
        <x:v>0</x:v>
      </x:c>
      <x:c r="G38" s="133" t="n">
        <x:v>0</x:v>
      </x:c>
      <x:c r="H38" s="133" t="n">
        <x:v>0</x:v>
      </x:c>
      <x:c r="I38" s="133" t="n">
        <x:v>0</x:v>
      </x:c>
      <x:c r="J38" s="133" t="n">
        <x:v>1</x:v>
      </x:c>
      <x:c r="K38" s="133" t="n">
        <x:f>SUM(E38:J38)</x:f>
        <x:v>1</x:v>
      </x:c>
      <x:c r="L38" s="205" t="n">
        <x:f>IFERROR(K38/D38,0)</x:f>
        <x:v>0.39714058776806993</x:v>
      </x:c>
      <x:c r="M38" s="160" t="str">
        <x:v>Presence-floor proxy only — 10k+ municipality completion</x:v>
      </x:c>
      <x:c r="N3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8" s="160" t="str">
        <x:v>Bergen County</x:v>
      </x:c>
    </x:row>
    <x:row r="39">
      <x:c r="A39" s="28" t="n">
        <x:v>34</x:v>
      </x:c>
      <x:c r="B39" s="28" t="str">
        <x:v>Willowick City</x:v>
      </x:c>
      <x:c r="C39" s="28" t="str">
        <x:v>OH</x:v>
      </x:c>
      <x:c r="D39" s="204" t="n">
        <x:v>2.537</x:v>
      </x:c>
      <x:c r="E39" s="133" t="n">
        <x:v>0</x:v>
      </x:c>
      <x:c r="F39" s="133" t="n">
        <x:v>0</x:v>
      </x:c>
      <x:c r="G39" s="133" t="n">
        <x:v>0</x:v>
      </x:c>
      <x:c r="H39" s="133" t="n">
        <x:v>0</x:v>
      </x:c>
      <x:c r="I39" s="133" t="n">
        <x:v>0</x:v>
      </x:c>
      <x:c r="J39" s="133" t="n">
        <x:v>1</x:v>
      </x:c>
      <x:c r="K39" s="133" t="n">
        <x:f>SUM(E39:J39)</x:f>
        <x:v>1</x:v>
      </x:c>
      <x:c r="L39" s="205" t="n">
        <x:f>IFERROR(K39/D39,0)</x:f>
        <x:v>0.3941663381947182</x:v>
      </x:c>
      <x:c r="M39" s="160" t="str">
        <x:v>Presence-floor proxy only — 10k+ municipality completion</x:v>
      </x:c>
      <x:c r="N39"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39" s="160" t="str">
        <x:v>Lake County</x:v>
      </x:c>
    </x:row>
    <x:row r="40">
      <x:c r="A40" s="28" t="n">
        <x:v>35</x:v>
      </x:c>
      <x:c r="B40" s="28" t="str">
        <x:v>Ridgefield Borough</x:v>
      </x:c>
      <x:c r="C40" s="28" t="str">
        <x:v>NJ</x:v>
      </x:c>
      <x:c r="D40" s="204" t="n">
        <x:v>2.543</x:v>
      </x:c>
      <x:c r="E40" s="133" t="n">
        <x:v>0</x:v>
      </x:c>
      <x:c r="F40" s="133" t="n">
        <x:v>0</x:v>
      </x:c>
      <x:c r="G40" s="133" t="n">
        <x:v>0</x:v>
      </x:c>
      <x:c r="H40" s="133" t="n">
        <x:v>0</x:v>
      </x:c>
      <x:c r="I40" s="133" t="n">
        <x:v>0</x:v>
      </x:c>
      <x:c r="J40" s="133" t="n">
        <x:v>1</x:v>
      </x:c>
      <x:c r="K40" s="133" t="n">
        <x:f>SUM(E40:J40)</x:f>
        <x:v>1</x:v>
      </x:c>
      <x:c r="L40" s="205" t="n">
        <x:f>IFERROR(K40/D40,0)</x:f>
        <x:v>0.39323633503735744</x:v>
      </x:c>
      <x:c r="M40" s="160" t="str">
        <x:v>Presence-floor proxy only — 10k+ municipality completion</x:v>
      </x:c>
      <x:c r="N4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0" s="160" t="str">
        <x:v>Bergen County</x:v>
      </x:c>
    </x:row>
    <x:row r="41">
      <x:c r="A41" s="28" t="n">
        <x:v>36</x:v>
      </x:c>
      <x:c r="B41" s="28" t="str">
        <x:v>Elmwood Park Borough</x:v>
      </x:c>
      <x:c r="C41" s="28" t="str">
        <x:v>NJ</x:v>
      </x:c>
      <x:c r="D41" s="204" t="n">
        <x:v>2.643</x:v>
      </x:c>
      <x:c r="E41" s="133" t="n">
        <x:v>0</x:v>
      </x:c>
      <x:c r="F41" s="133" t="n">
        <x:v>0</x:v>
      </x:c>
      <x:c r="G41" s="133" t="n">
        <x:v>0</x:v>
      </x:c>
      <x:c r="H41" s="133" t="n">
        <x:v>0</x:v>
      </x:c>
      <x:c r="I41" s="133" t="n">
        <x:v>0</x:v>
      </x:c>
      <x:c r="J41" s="133" t="n">
        <x:v>1</x:v>
      </x:c>
      <x:c r="K41" s="133" t="n">
        <x:f>SUM(E41:J41)</x:f>
        <x:v>1</x:v>
      </x:c>
      <x:c r="L41" s="205" t="n">
        <x:f>IFERROR(K41/D41,0)</x:f>
        <x:v>0.37835792659856227</x:v>
      </x:c>
      <x:c r="M41" s="160" t="str">
        <x:v>Presence-floor proxy only — 10k+ municipality completion</x:v>
      </x:c>
      <x:c r="N4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1" s="160" t="str">
        <x:v>Bergen County</x:v>
      </x:c>
    </x:row>
    <x:row r="42">
      <x:c r="A42" s="28" t="n">
        <x:v>37</x:v>
      </x:c>
      <x:c r="B42" s="28" t="str">
        <x:v>Dover Town</x:v>
      </x:c>
      <x:c r="C42" s="28" t="str">
        <x:v>NJ</x:v>
      </x:c>
      <x:c r="D42" s="204" t="n">
        <x:v>2.676</x:v>
      </x:c>
      <x:c r="E42" s="133" t="n">
        <x:v>0</x:v>
      </x:c>
      <x:c r="F42" s="133" t="n">
        <x:v>0</x:v>
      </x:c>
      <x:c r="G42" s="133" t="n">
        <x:v>0</x:v>
      </x:c>
      <x:c r="H42" s="133" t="n">
        <x:v>0</x:v>
      </x:c>
      <x:c r="I42" s="133" t="n">
        <x:v>0</x:v>
      </x:c>
      <x:c r="J42" s="133" t="n">
        <x:v>1</x:v>
      </x:c>
      <x:c r="K42" s="133" t="n">
        <x:f>SUM(E42:J42)</x:f>
        <x:v>1</x:v>
      </x:c>
      <x:c r="L42" s="205" t="n">
        <x:f>IFERROR(K42/D42,0)</x:f>
        <x:v>0.37369207772795215</x:v>
      </x:c>
      <x:c r="M42" s="160" t="str">
        <x:v>Presence-floor proxy only — 10k+ municipality completion</x:v>
      </x:c>
      <x:c r="N4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2" s="160" t="str">
        <x:v>Morris County</x:v>
      </x:c>
    </x:row>
    <x:row r="43">
      <x:c r="A43" s="28" t="n">
        <x:v>38</x:v>
      </x:c>
      <x:c r="B43" s="28" t="str">
        <x:v>Saddle Brook Township</x:v>
      </x:c>
      <x:c r="C43" s="28" t="str">
        <x:v>NJ</x:v>
      </x:c>
      <x:c r="D43" s="204" t="n">
        <x:v>2.692</x:v>
      </x:c>
      <x:c r="E43" s="133" t="n">
        <x:v>0</x:v>
      </x:c>
      <x:c r="F43" s="133" t="n">
        <x:v>0</x:v>
      </x:c>
      <x:c r="G43" s="133" t="n">
        <x:v>0</x:v>
      </x:c>
      <x:c r="H43" s="133" t="n">
        <x:v>0</x:v>
      </x:c>
      <x:c r="I43" s="133" t="n">
        <x:v>0</x:v>
      </x:c>
      <x:c r="J43" s="133" t="n">
        <x:v>1</x:v>
      </x:c>
      <x:c r="K43" s="133" t="n">
        <x:f>SUM(E43:J43)</x:f>
        <x:v>1</x:v>
      </x:c>
      <x:c r="L43" s="205" t="n">
        <x:f>IFERROR(K43/D43,0)</x:f>
        <x:v>0.3714710252600297</x:v>
      </x:c>
      <x:c r="M43" s="160" t="str">
        <x:v>Presence-floor proxy only — 10k+ municipality completion</x:v>
      </x:c>
      <x:c r="N4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3" s="160" t="str">
        <x:v>Bergen County</x:v>
      </x:c>
    </x:row>
    <x:row r="44">
      <x:c r="A44" s="28" t="n">
        <x:v>39</x:v>
      </x:c>
      <x:c r="B44" s="28" t="str">
        <x:v>Glen Rock Borough</x:v>
      </x:c>
      <x:c r="C44" s="28" t="str">
        <x:v>NJ</x:v>
      </x:c>
      <x:c r="D44" s="204" t="n">
        <x:v>2.703</x:v>
      </x:c>
      <x:c r="E44" s="133" t="n">
        <x:v>0</x:v>
      </x:c>
      <x:c r="F44" s="133" t="n">
        <x:v>0</x:v>
      </x:c>
      <x:c r="G44" s="133" t="n">
        <x:v>0</x:v>
      </x:c>
      <x:c r="H44" s="133" t="n">
        <x:v>0</x:v>
      </x:c>
      <x:c r="I44" s="133" t="n">
        <x:v>0</x:v>
      </x:c>
      <x:c r="J44" s="133" t="n">
        <x:v>1</x:v>
      </x:c>
      <x:c r="K44" s="133" t="n">
        <x:f>SUM(E44:J44)</x:f>
        <x:v>1</x:v>
      </x:c>
      <x:c r="L44" s="205" t="n">
        <x:f>IFERROR(K44/D44,0)</x:f>
        <x:v>0.3699593044765076</x:v>
      </x:c>
      <x:c r="M44" s="160" t="str">
        <x:v>Presence-floor proxy only — 10k+ municipality completion</x:v>
      </x:c>
      <x:c r="N4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4" s="160" t="str">
        <x:v>Bergen County</x:v>
      </x:c>
    </x:row>
    <x:row r="45">
      <x:c r="A45" s="28" t="n">
        <x:v>40</x:v>
      </x:c>
      <x:c r="B45" s="28" t="str">
        <x:v>Butler city</x:v>
      </x:c>
      <x:c r="C45" s="28" t="str">
        <x:v>PA</x:v>
      </x:c>
      <x:c r="D45" s="204" t="n">
        <x:v>2.72</x:v>
      </x:c>
      <x:c r="E45" s="133" t="n">
        <x:v>0</x:v>
      </x:c>
      <x:c r="F45" s="133" t="n">
        <x:v>0</x:v>
      </x:c>
      <x:c r="G45" s="133" t="n">
        <x:v>0</x:v>
      </x:c>
      <x:c r="H45" s="133" t="n">
        <x:v>0</x:v>
      </x:c>
      <x:c r="I45" s="133" t="n">
        <x:v>0</x:v>
      </x:c>
      <x:c r="J45" s="133" t="n">
        <x:v>1</x:v>
      </x:c>
      <x:c r="K45" s="133" t="n">
        <x:f>SUM(E45:J45)</x:f>
        <x:v>1</x:v>
      </x:c>
      <x:c r="L45" s="205" t="n">
        <x:f>IFERROR(K45/D45,0)</x:f>
        <x:v>0.3676470588235294</x:v>
      </x:c>
      <x:c r="M45" s="160" t="str">
        <x:v>Presence-floor proxy only — 10k+ municipality completion</x:v>
      </x:c>
      <x:c r="N45" s="160" t="str">
        <x:v>Added under the &gt;=50k-county expansion rule: Census Vintage 2025 municipality population &gt;=10,000; general-purpose city-equivalent municipality; direct Census adjacency. Presence-floor proxy only — exact tracked-chain count requires municipal-boundary/GIS verification.</x:v>
      </x:c>
      <x:c r="O45" s="160" t="str">
        <x:v>Butler County</x:v>
      </x:c>
    </x:row>
    <x:row r="46">
      <x:c r="A46" s="28" t="n">
        <x:v>41</x:v>
      </x:c>
      <x:c r="B46" s="28" t="str">
        <x:v>Rutherford Borough</x:v>
      </x:c>
      <x:c r="C46" s="28" t="str">
        <x:v>NJ</x:v>
      </x:c>
      <x:c r="D46" s="204" t="n">
        <x:v>2.781</x:v>
      </x:c>
      <x:c r="E46" s="133" t="n">
        <x:v>0</x:v>
      </x:c>
      <x:c r="F46" s="133" t="n">
        <x:v>0</x:v>
      </x:c>
      <x:c r="G46" s="133" t="n">
        <x:v>0</x:v>
      </x:c>
      <x:c r="H46" s="133" t="n">
        <x:v>0</x:v>
      </x:c>
      <x:c r="I46" s="133" t="n">
        <x:v>0</x:v>
      </x:c>
      <x:c r="J46" s="133" t="n">
        <x:v>1</x:v>
      </x:c>
      <x:c r="K46" s="133" t="n">
        <x:f>SUM(E46:J46)</x:f>
        <x:v>1</x:v>
      </x:c>
      <x:c r="L46" s="205" t="n">
        <x:f>IFERROR(K46/D46,0)</x:f>
        <x:v>0.3595828838547285</x:v>
      </x:c>
      <x:c r="M46" s="160" t="str">
        <x:v>Presence-floor proxy only — 10k+ municipality completion</x:v>
      </x:c>
      <x:c r="N4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6" s="160" t="str">
        <x:v>Bergen County</x:v>
      </x:c>
    </x:row>
    <x:row r="47">
      <x:c r="A47" s="28" t="n">
        <x:v>42</x:v>
      </x:c>
      <x:c r="B47" s="28" t="str">
        <x:v>North Plainfield Borough</x:v>
      </x:c>
      <x:c r="C47" s="28" t="str">
        <x:v>NJ</x:v>
      </x:c>
      <x:c r="D47" s="204" t="n">
        <x:v>2.807</x:v>
      </x:c>
      <x:c r="E47" s="133" t="n">
        <x:v>0</x:v>
      </x:c>
      <x:c r="F47" s="133" t="n">
        <x:v>0</x:v>
      </x:c>
      <x:c r="G47" s="133" t="n">
        <x:v>0</x:v>
      </x:c>
      <x:c r="H47" s="133" t="n">
        <x:v>0</x:v>
      </x:c>
      <x:c r="I47" s="133" t="n">
        <x:v>0</x:v>
      </x:c>
      <x:c r="J47" s="133" t="n">
        <x:v>1</x:v>
      </x:c>
      <x:c r="K47" s="133" t="n">
        <x:f>SUM(E47:J47)</x:f>
        <x:v>1</x:v>
      </x:c>
      <x:c r="L47" s="205" t="n">
        <x:f>IFERROR(K47/D47,0)</x:f>
        <x:v>0.3562522265764161</x:v>
      </x:c>
      <x:c r="M47" s="160" t="str">
        <x:v>Presence-floor proxy only — 10k+ municipality completion</x:v>
      </x:c>
      <x:c r="N47"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47" s="160" t="str">
        <x:v>Somerset County</x:v>
      </x:c>
    </x:row>
    <x:row r="48">
      <x:c r="A48" s="28" t="n">
        <x:v>43</x:v>
      </x:c>
      <x:c r="B48" s="28" t="str">
        <x:v>Mount Holly Township</x:v>
      </x:c>
      <x:c r="C48" s="28" t="str">
        <x:v>NJ</x:v>
      </x:c>
      <x:c r="D48" s="204" t="n">
        <x:v>2.831</x:v>
      </x:c>
      <x:c r="E48" s="133" t="n">
        <x:v>0</x:v>
      </x:c>
      <x:c r="F48" s="133" t="n">
        <x:v>0</x:v>
      </x:c>
      <x:c r="G48" s="133" t="n">
        <x:v>0</x:v>
      </x:c>
      <x:c r="H48" s="133" t="n">
        <x:v>0</x:v>
      </x:c>
      <x:c r="I48" s="133" t="n">
        <x:v>0</x:v>
      </x:c>
      <x:c r="J48" s="133" t="n">
        <x:v>1</x:v>
      </x:c>
      <x:c r="K48" s="133" t="n">
        <x:f>SUM(E48:J48)</x:f>
        <x:v>1</x:v>
      </x:c>
      <x:c r="L48" s="205" t="n">
        <x:f>IFERROR(K48/D48,0)</x:f>
        <x:v>0.3532320734722713</x:v>
      </x:c>
      <x:c r="M48" s="160" t="str">
        <x:v>Presence-floor proxy only — 10k+ municipality completion</x:v>
      </x:c>
      <x:c r="N4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48" s="160" t="str">
        <x:v>Burlington County</x:v>
      </x:c>
    </x:row>
    <x:row r="49">
      <x:c r="A49" s="28" t="n">
        <x:v>44</x:v>
      </x:c>
      <x:c r="B49" s="28" t="str">
        <x:v>Hillsdale Borough</x:v>
      </x:c>
      <x:c r="C49" s="28" t="str">
        <x:v>NJ</x:v>
      </x:c>
      <x:c r="D49" s="204" t="n">
        <x:v>2.902</x:v>
      </x:c>
      <x:c r="E49" s="133" t="n">
        <x:v>0</x:v>
      </x:c>
      <x:c r="F49" s="133" t="n">
        <x:v>0</x:v>
      </x:c>
      <x:c r="G49" s="133" t="n">
        <x:v>0</x:v>
      </x:c>
      <x:c r="H49" s="133" t="n">
        <x:v>0</x:v>
      </x:c>
      <x:c r="I49" s="133" t="n">
        <x:v>0</x:v>
      </x:c>
      <x:c r="J49" s="133" t="n">
        <x:v>1</x:v>
      </x:c>
      <x:c r="K49" s="133" t="n">
        <x:f>SUM(E49:J49)</x:f>
        <x:v>1</x:v>
      </x:c>
      <x:c r="L49" s="205" t="n">
        <x:f>IFERROR(K49/D49,0)</x:f>
        <x:v>0.34458993797381116</x:v>
      </x:c>
      <x:c r="M49" s="160" t="str">
        <x:v>Presence-floor proxy only — 10k+ municipality completion</x:v>
      </x:c>
      <x:c r="N4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9" s="160" t="str">
        <x:v>Bergen County</x:v>
      </x:c>
    </x:row>
    <x:row r="50">
      <x:c r="A50" s="28" t="n">
        <x:v>45</x:v>
      </x:c>
      <x:c r="B50" s="28" t="str">
        <x:v>Bergenfield Borough</x:v>
      </x:c>
      <x:c r="C50" s="28" t="str">
        <x:v>NJ</x:v>
      </x:c>
      <x:c r="D50" s="204" t="n">
        <x:v>2.904</x:v>
      </x:c>
      <x:c r="E50" s="133" t="n">
        <x:v>0</x:v>
      </x:c>
      <x:c r="F50" s="133" t="n">
        <x:v>0</x:v>
      </x:c>
      <x:c r="G50" s="133" t="n">
        <x:v>0</x:v>
      </x:c>
      <x:c r="H50" s="133" t="n">
        <x:v>0</x:v>
      </x:c>
      <x:c r="I50" s="133" t="n">
        <x:v>0</x:v>
      </x:c>
      <x:c r="J50" s="133" t="n">
        <x:v>1</x:v>
      </x:c>
      <x:c r="K50" s="133" t="n">
        <x:f>SUM(E50:J50)</x:f>
        <x:v>1</x:v>
      </x:c>
      <x:c r="L50" s="205" t="n">
        <x:f>IFERROR(K50/D50,0)</x:f>
        <x:v>0.34435261707988984</x:v>
      </x:c>
      <x:c r="M50" s="160" t="str">
        <x:v>Presence-floor proxy only — 10k+ municipality completion</x:v>
      </x:c>
      <x:c r="N5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0" s="160" t="str">
        <x:v>Bergen County</x:v>
      </x:c>
    </x:row>
    <x:row r="51">
      <x:c r="A51" s="28" t="n">
        <x:v>46</x:v>
      </x:c>
      <x:c r="B51" s="28" t="str">
        <x:v>Morristown Town</x:v>
      </x:c>
      <x:c r="C51" s="28" t="str">
        <x:v>NJ</x:v>
      </x:c>
      <x:c r="D51" s="204" t="n">
        <x:v>2.909</x:v>
      </x:c>
      <x:c r="E51" s="133" t="n">
        <x:v>1</x:v>
      </x:c>
      <x:c r="F51" s="133" t="n">
        <x:v>0</x:v>
      </x:c>
      <x:c r="G51" s="133" t="n">
        <x:v>0</x:v>
      </x:c>
      <x:c r="H51" s="133" t="n">
        <x:v>0</x:v>
      </x:c>
      <x:c r="I51" s="133" t="n">
        <x:v>0</x:v>
      </x:c>
      <x:c r="J51" s="133" t="n">
        <x:v>0</x:v>
      </x:c>
      <x:c r="K51" s="133" t="n">
        <x:f>SUM(E51:J51)</x:f>
        <x:v>1</x:v>
      </x:c>
      <x:c r="L51" s="205" t="n">
        <x:f>IFERROR(K51/D51,0)</x:f>
        <x:v>0.3437607425232039</x:v>
      </x:c>
      <x:c r="M51" s="160" t="str">
        <x:v>Confirmed lower bound — official retailer store page</x:v>
      </x:c>
      <x:c r="N51" s="160" t="str">
        <x:v>Confirmed lower bound: 1 Whole Foods location verified by the retailer's official store page using a municipality-matching location name/address. Other tracked chains and nearby spillover omitted.</x:v>
      </x:c>
      <x:c r="O51" s="160" t="str">
        <x:v>Morris County</x:v>
      </x:c>
    </x:row>
    <x:row r="52">
      <x:c r="A52" s="28" t="n">
        <x:v>47</x:v>
      </x:c>
      <x:c r="B52" s="28" t="str">
        <x:v>Washington City</x:v>
      </x:c>
      <x:c r="C52" s="28" t="str">
        <x:v>PA</x:v>
      </x:c>
      <x:c r="D52" s="204" t="n">
        <x:v>2.929</x:v>
      </x:c>
      <x:c r="E52" s="133" t="n">
        <x:v>0</x:v>
      </x:c>
      <x:c r="F52" s="133" t="n">
        <x:v>0</x:v>
      </x:c>
      <x:c r="G52" s="133" t="n">
        <x:v>0</x:v>
      </x:c>
      <x:c r="H52" s="133" t="n">
        <x:v>0</x:v>
      </x:c>
      <x:c r="I52" s="133" t="n">
        <x:v>0</x:v>
      </x:c>
      <x:c r="J52" s="133" t="n">
        <x:v>1</x:v>
      </x:c>
      <x:c r="K52" s="133" t="n">
        <x:f>SUM(E52:J52)</x:f>
        <x:v>1</x:v>
      </x:c>
      <x:c r="L52" s="205" t="n">
        <x:f>IFERROR(K52/D52,0)</x:f>
        <x:v>0.3414134516899966</x:v>
      </x:c>
      <x:c r="M52" s="160" t="str">
        <x:v>Presence-floor proxy only — 10k+ municipality completion</x:v>
      </x:c>
      <x:c r="N52"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South Strabane Township is excluded at V2025 population 9,672.</x:v>
      </x:c>
      <x:c r="O52" s="160" t="str">
        <x:v>Washington County</x:v>
      </x:c>
    </x:row>
    <x:row r="53">
      <x:c r="A53" s="28" t="n">
        <x:v>48</x:v>
      </x:c>
      <x:c r="B53" s="28" t="str">
        <x:v>Lansdale Borough</x:v>
      </x:c>
      <x:c r="C53" s="28" t="str">
        <x:v>PA</x:v>
      </x:c>
      <x:c r="D53" s="204" t="n">
        <x:v>2.993</x:v>
      </x:c>
      <x:c r="E53" s="133" t="n">
        <x:v>0</x:v>
      </x:c>
      <x:c r="F53" s="133" t="n">
        <x:v>0</x:v>
      </x:c>
      <x:c r="G53" s="133" t="n">
        <x:v>0</x:v>
      </x:c>
      <x:c r="H53" s="133" t="n">
        <x:v>0</x:v>
      </x:c>
      <x:c r="I53" s="133" t="n">
        <x:v>0</x:v>
      </x:c>
      <x:c r="J53" s="133" t="n">
        <x:v>1</x:v>
      </x:c>
      <x:c r="K53" s="133" t="n">
        <x:f>SUM(E53:J53)</x:f>
        <x:v>1</x:v>
      </x:c>
      <x:c r="L53" s="205" t="n">
        <x:f>IFERROR(K53/D53,0)</x:f>
        <x:v>0.3341129301703976</x:v>
      </x:c>
      <x:c r="M53" s="160" t="str">
        <x:v>Presence-floor proxy only — 10k+ municipality completion</x:v>
      </x:c>
      <x:c r="N5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3" s="160" t="str">
        <x:v>Montgomery County</x:v>
      </x:c>
    </x:row>
    <x:row r="54">
      <x:c r="A54" s="28" t="n">
        <x:v>49</x:v>
      </x:c>
      <x:c r="B54" s="28" t="str">
        <x:v>Huntington Park</x:v>
      </x:c>
      <x:c r="C54" s="28" t="str">
        <x:v>CA</x:v>
      </x:c>
      <x:c r="D54" s="204" t="n">
        <x:v>3.008</x:v>
      </x:c>
      <x:c r="E54" s="133" t="n">
        <x:v>0</x:v>
      </x:c>
      <x:c r="F54" s="133" t="n">
        <x:v>0</x:v>
      </x:c>
      <x:c r="G54" s="133" t="n">
        <x:v>0</x:v>
      </x:c>
      <x:c r="H54" s="133" t="n">
        <x:v>0</x:v>
      </x:c>
      <x:c r="I54" s="133" t="n">
        <x:v>0</x:v>
      </x:c>
      <x:c r="J54" s="133" t="n">
        <x:v>1</x:v>
      </x:c>
      <x:c r="K54" s="133" t="n">
        <x:f>SUM(E54:J54)</x:f>
        <x:v>1</x:v>
      </x:c>
      <x:c r="L54" s="205" t="n">
        <x:f>IFERROR(K54/D54,0)</x:f>
        <x:v>0.3324468085106383</x:v>
      </x:c>
      <x:c r="M54" s="160" t="str">
        <x:v>Presence-floor proxy only — 50k+ county completion</x:v>
      </x:c>
      <x:c r="N54" s="160" t="str">
        <x:v>Added to complete ≥50,000-population incorporated-place coverage in a top-5 store-count county using Census Vintage 2025 eligibility. One-store screening floor only; exact selected-chain count and 5-mile buffer require GIS verification.</x:v>
      </x:c>
      <x:c r="O54" s="160" t="str">
        <x:v>Los Angeles County</x:v>
      </x:c>
    </x:row>
    <x:row r="55">
      <x:c r="A55" s="28" t="n">
        <x:v>50</x:v>
      </x:c>
      <x:c r="B55" s="28" t="str">
        <x:v>Bel Air Town</x:v>
      </x:c>
      <x:c r="C55" s="28" t="str">
        <x:v>MD</x:v>
      </x:c>
      <x:c r="D55" s="204" t="n">
        <x:v>3.03</x:v>
      </x:c>
      <x:c r="E55" s="133" t="n">
        <x:v>0</x:v>
      </x:c>
      <x:c r="F55" s="133" t="n">
        <x:v>0</x:v>
      </x:c>
      <x:c r="G55" s="133" t="n">
        <x:v>0</x:v>
      </x:c>
      <x:c r="H55" s="133" t="n">
        <x:v>0</x:v>
      </x:c>
      <x:c r="I55" s="133" t="n">
        <x:v>0</x:v>
      </x:c>
      <x:c r="J55" s="133" t="n">
        <x:v>1</x:v>
      </x:c>
      <x:c r="K55" s="133" t="n">
        <x:f>SUM(E55:J55)</x:f>
        <x:v>1</x:v>
      </x:c>
      <x:c r="L55" s="205" t="n">
        <x:f>IFERROR(K55/D55,0)</x:f>
        <x:v>0.33003300330033003</x:v>
      </x:c>
      <x:c r="M55" s="160" t="str">
        <x:v>Presence-floor proxy only — 10k+ municipality completion</x:v>
      </x:c>
      <x:c r="N55"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Bel Air is addressed in Abingdon and remains county-level evidence only.</x:v>
      </x:c>
      <x:c r="O55" s="160" t="str">
        <x:v>Harford County</x:v>
      </x:c>
    </x:row>
    <x:row r="56">
      <x:c r="A56" s="28" t="n">
        <x:v>51</x:v>
      </x:c>
      <x:c r="B56" s="28" t="str">
        <x:v>Burlington City</x:v>
      </x:c>
      <x:c r="C56" s="28" t="str">
        <x:v>NJ</x:v>
      </x:c>
      <x:c r="D56" s="204" t="n">
        <x:v>3.035</x:v>
      </x:c>
      <x:c r="E56" s="133" t="n">
        <x:v>0</x:v>
      </x:c>
      <x:c r="F56" s="133" t="n">
        <x:v>0</x:v>
      </x:c>
      <x:c r="G56" s="133" t="n">
        <x:v>0</x:v>
      </x:c>
      <x:c r="H56" s="133" t="n">
        <x:v>0</x:v>
      </x:c>
      <x:c r="I56" s="133" t="n">
        <x:v>0</x:v>
      </x:c>
      <x:c r="J56" s="133" t="n">
        <x:v>1</x:v>
      </x:c>
      <x:c r="K56" s="133" t="n">
        <x:f>SUM(E56:J56)</x:f>
        <x:v>1</x:v>
      </x:c>
      <x:c r="L56" s="205" t="n">
        <x:f>IFERROR(K56/D56,0)</x:f>
        <x:v>0.32948929159802304</x:v>
      </x:c>
      <x:c r="M56" s="160" t="str">
        <x:v>Presence-floor proxy only — 10k+ municipality completion</x:v>
      </x:c>
      <x:c r="N5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56" s="160" t="str">
        <x:v>Burlington County</x:v>
      </x:c>
    </x:row>
    <x:row r="57">
      <x:c r="A57" s="28" t="n">
        <x:v>52</x:v>
      </x:c>
      <x:c r="B57" s="28" t="str">
        <x:v>Rochester</x:v>
      </x:c>
      <x:c r="C57" s="28" t="str">
        <x:v>NY</x:v>
      </x:c>
      <x:c r="D57" s="204" t="n">
        <x:v>35.781</x:v>
      </x:c>
      <x:c r="E57" s="133" t="n">
        <x:v>0</x:v>
      </x:c>
      <x:c r="F57" s="133" t="n">
        <x:v>0</x:v>
      </x:c>
      <x:c r="G57" s="133" t="n">
        <x:v>0</x:v>
      </x:c>
      <x:c r="H57" s="133" t="n">
        <x:v>0</x:v>
      </x:c>
      <x:c r="I57" s="133" t="n">
        <x:v>11</x:v>
      </x:c>
      <x:c r="J57" s="133" t="n">
        <x:v>0</x:v>
      </x:c>
      <x:c r="K57" s="133" t="n">
        <x:f>SUM(E57:J57)</x:f>
        <x:v>11</x:v>
      </x:c>
      <x:c r="L57" s="205" t="n">
        <x:f>IFERROR(K57/D57,0)</x:f>
        <x:v>0.3074257287387161</x:v>
      </x:c>
      <x:c r="M57" s="160" t="str">
        <x:v>Confirmed lower bound</x:v>
      </x:c>
      <x:c r="N57" s="160" t="str">
        <x:v>Verified public-directory count for ≥1 major chain; other selected chains and 5-mile spillover omitted.</x:v>
      </x:c>
      <x:c r="O57" s="160" t="str">
        <x:v>Monroe County</x:v>
      </x:c>
    </x:row>
    <x:row r="58">
      <x:c r="A58" s="28" t="n">
        <x:v>53</x:v>
      </x:c>
      <x:c r="B58" s="28" t="str">
        <x:v>Waynesboro borough</x:v>
      </x:c>
      <x:c r="C58" s="28" t="str">
        <x:v>PA</x:v>
      </x:c>
      <x:c r="D58" s="204" t="n">
        <x:v>3.41</x:v>
      </x:c>
      <x:c r="E58" s="133" t="n">
        <x:v>0</x:v>
      </x:c>
      <x:c r="F58" s="133" t="n">
        <x:v>0</x:v>
      </x:c>
      <x:c r="G58" s="133" t="n">
        <x:v>0</x:v>
      </x:c>
      <x:c r="H58" s="133" t="n">
        <x:v>0</x:v>
      </x:c>
      <x:c r="I58" s="133" t="n">
        <x:v>0</x:v>
      </x:c>
      <x:c r="J58" s="133" t="n">
        <x:v>1</x:v>
      </x:c>
      <x:c r="K58" s="133" t="n">
        <x:f>SUM(E58:J58)</x:f>
        <x:v>1</x:v>
      </x:c>
      <x:c r="L58" s="205" t="n">
        <x:f>IFERROR(K58/D58,0)</x:f>
        <x:v>0.29325513196480935</x:v>
      </x:c>
      <x:c r="M58" s="160" t="str">
        <x:v>Presence-floor proxy only — 10k+ municipality completion</x:v>
      </x:c>
      <x:c r="N58"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58" s="160" t="str">
        <x:v>Franklin County</x:v>
      </x:c>
    </x:row>
    <x:row r="59">
      <x:c r="A59" s="28" t="n">
        <x:v>54</x:v>
      </x:c>
      <x:c r="B59" s="28" t="str">
        <x:v>Nanticoke City</x:v>
      </x:c>
      <x:c r="C59" s="28" t="str">
        <x:v>PA</x:v>
      </x:c>
      <x:c r="D59" s="204" t="n">
        <x:v>3.457</x:v>
      </x:c>
      <x:c r="E59" s="133" t="n">
        <x:v>0</x:v>
      </x:c>
      <x:c r="F59" s="133" t="n">
        <x:v>0</x:v>
      </x:c>
      <x:c r="G59" s="133" t="n">
        <x:v>0</x:v>
      </x:c>
      <x:c r="H59" s="133" t="n">
        <x:v>0</x:v>
      </x:c>
      <x:c r="I59" s="133" t="n">
        <x:v>0</x:v>
      </x:c>
      <x:c r="J59" s="133" t="n">
        <x:v>1</x:v>
      </x:c>
      <x:c r="K59" s="133" t="n">
        <x:f>SUM(E59:J59)</x:f>
        <x:v>1</x:v>
      </x:c>
      <x:c r="L59" s="205" t="n">
        <x:f>IFERROR(K59/D59,0)</x:f>
        <x:v>0.2892681515765114</x:v>
      </x:c>
      <x:c r="M59" s="160" t="str">
        <x:v>Presence-floor proxy only — 10k+ municipality completion</x:v>
      </x:c>
      <x:c r="N59"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59" s="160" t="str">
        <x:v>Luzerne County</x:v>
      </x:c>
    </x:row>
    <x:row r="60">
      <x:c r="A60" s="28" t="n">
        <x:v>55</x:v>
      </x:c>
      <x:c r="B60" s="28" t="str">
        <x:v>Phoenixville Borough</x:v>
      </x:c>
      <x:c r="C60" s="28" t="str">
        <x:v>PA</x:v>
      </x:c>
      <x:c r="D60" s="204" t="n">
        <x:v>3.511</x:v>
      </x:c>
      <x:c r="E60" s="133" t="n">
        <x:v>0</x:v>
      </x:c>
      <x:c r="F60" s="133" t="n">
        <x:v>0</x:v>
      </x:c>
      <x:c r="G60" s="133" t="n">
        <x:v>0</x:v>
      </x:c>
      <x:c r="H60" s="133" t="n">
        <x:v>0</x:v>
      </x:c>
      <x:c r="I60" s="133" t="n">
        <x:v>0</x:v>
      </x:c>
      <x:c r="J60" s="133" t="n">
        <x:v>1</x:v>
      </x:c>
      <x:c r="K60" s="133" t="n">
        <x:f>SUM(E60:J60)</x:f>
        <x:v>1</x:v>
      </x:c>
      <x:c r="L60" s="205" t="n">
        <x:f>IFERROR(K60/D60,0)</x:f>
        <x:v>0.28481913984619767</x:v>
      </x:c>
      <x:c r="M60" s="160" t="str">
        <x:v>Presence-floor proxy only — 10k+ municipality completion</x:v>
      </x:c>
      <x:c r="N60" s="160" t="str">
        <x:v>Added under the 10k+ city-equivalent municipality rule: Census Vintage 2025 population &gt;=10,000; county population &gt;=500,000. Presence-floor proxy only — exact tracked-chain count requires municipal-boundary/GIS verification.</x:v>
      </x:c>
      <x:c r="O60" s="160" t="str">
        <x:v>Chester County</x:v>
      </x:c>
    </x:row>
    <x:row r="61">
      <x:c r="A61" s="28" t="n">
        <x:v>56</x:v>
      </x:c>
      <x:c r="B61" s="28" t="str">
        <x:v>Norristown Municipality</x:v>
      </x:c>
      <x:c r="C61" s="28" t="str">
        <x:v>PA</x:v>
      </x:c>
      <x:c r="D61" s="204" t="n">
        <x:v>3.515</x:v>
      </x:c>
      <x:c r="E61" s="133" t="n">
        <x:v>0</x:v>
      </x:c>
      <x:c r="F61" s="133" t="n">
        <x:v>0</x:v>
      </x:c>
      <x:c r="G61" s="133" t="n">
        <x:v>0</x:v>
      </x:c>
      <x:c r="H61" s="133" t="n">
        <x:v>0</x:v>
      </x:c>
      <x:c r="I61" s="133" t="n">
        <x:v>0</x:v>
      </x:c>
      <x:c r="J61" s="133" t="n">
        <x:v>1</x:v>
      </x:c>
      <x:c r="K61" s="133" t="n">
        <x:f>SUM(E61:J61)</x:f>
        <x:v>1</x:v>
      </x:c>
      <x:c r="L61" s="205" t="n">
        <x:f>IFERROR(K61/D61,0)</x:f>
        <x:v>0.28449502133712656</x:v>
      </x:c>
      <x:c r="M61" s="160" t="str">
        <x:v>Presence-floor proxy only — 10k+ municipality completion</x:v>
      </x:c>
      <x:c r="N6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61" s="160" t="str">
        <x:v>Montgomery County</x:v>
      </x:c>
    </x:row>
    <x:row r="62">
      <x:c r="A62" s="28" t="n">
        <x:v>57</x:v>
      </x:c>
      <x:c r="B62" s="28" t="str">
        <x:v>Hanover Borough</x:v>
      </x:c>
      <x:c r="C62" s="28" t="str">
        <x:v>PA</x:v>
      </x:c>
      <x:c r="D62" s="204" t="n">
        <x:v>3.696</x:v>
      </x:c>
      <x:c r="E62" s="133" t="n">
        <x:v>0</x:v>
      </x:c>
      <x:c r="F62" s="133" t="n">
        <x:v>0</x:v>
      </x:c>
      <x:c r="G62" s="133" t="n">
        <x:v>0</x:v>
      </x:c>
      <x:c r="H62" s="133" t="n">
        <x:v>0</x:v>
      </x:c>
      <x:c r="I62" s="133" t="n">
        <x:v>0</x:v>
      </x:c>
      <x:c r="J62" s="133" t="n">
        <x:v>1</x:v>
      </x:c>
      <x:c r="K62" s="133" t="n">
        <x:f>SUM(E62:J62)</x:f>
        <x:v>1</x:v>
      </x:c>
      <x:c r="L62" s="205" t="n">
        <x:f>IFERROR(K62/D62,0)</x:f>
        <x:v>0.27056277056277056</x:v>
      </x:c>
      <x:c r="M62" s="160" t="str">
        <x:v>Presence-floor proxy only — 10k+ municipality completion</x:v>
      </x:c>
      <x:c r="N6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62" s="160" t="str">
        <x:v>York County</x:v>
      </x:c>
    </x:row>
    <x:row r="63">
      <x:c r="A63" s="28" t="n">
        <x:v>58</x:v>
      </x:c>
      <x:c r="B63" s="28" t="str">
        <x:v>East Rutherford Borough</x:v>
      </x:c>
      <x:c r="C63" s="28" t="str">
        <x:v>NJ</x:v>
      </x:c>
      <x:c r="D63" s="204" t="n">
        <x:v>3.712</x:v>
      </x:c>
      <x:c r="E63" s="133" t="n">
        <x:v>0</x:v>
      </x:c>
      <x:c r="F63" s="133" t="n">
        <x:v>0</x:v>
      </x:c>
      <x:c r="G63" s="133" t="n">
        <x:v>0</x:v>
      </x:c>
      <x:c r="H63" s="133" t="n">
        <x:v>0</x:v>
      </x:c>
      <x:c r="I63" s="133" t="n">
        <x:v>0</x:v>
      </x:c>
      <x:c r="J63" s="133" t="n">
        <x:v>1</x:v>
      </x:c>
      <x:c r="K63" s="133" t="n">
        <x:f>SUM(E63:J63)</x:f>
        <x:v>1</x:v>
      </x:c>
      <x:c r="L63" s="205" t="n">
        <x:f>IFERROR(K63/D63,0)</x:f>
        <x:v>0.2693965517241379</x:v>
      </x:c>
      <x:c r="M63" s="160" t="str">
        <x:v>Presence-floor proxy only — 10k+ municipality completion</x:v>
      </x:c>
      <x:c r="N6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63" s="160" t="str">
        <x:v>Bergen County</x:v>
      </x:c>
    </x:row>
    <x:row r="64">
      <x:c r="A64" s="28" t="n">
        <x:v>59</x:v>
      </x:c>
      <x:c r="B64" s="28" t="str">
        <x:v>Newburgh City</x:v>
      </x:c>
      <x:c r="C64" s="28" t="str">
        <x:v>NY</x:v>
      </x:c>
      <x:c r="D64" s="204" t="n">
        <x:v>3.806</x:v>
      </x:c>
      <x:c r="E64" s="133" t="n">
        <x:v>0</x:v>
      </x:c>
      <x:c r="F64" s="133" t="n">
        <x:v>0</x:v>
      </x:c>
      <x:c r="G64" s="133" t="n">
        <x:v>0</x:v>
      </x:c>
      <x:c r="H64" s="133" t="n">
        <x:v>0</x:v>
      </x:c>
      <x:c r="I64" s="133" t="n">
        <x:v>0</x:v>
      </x:c>
      <x:c r="J64" s="133" t="n">
        <x:v>1</x:v>
      </x:c>
      <x:c r="K64" s="133" t="n">
        <x:f>SUM(E64:J64)</x:f>
        <x:v>1</x:v>
      </x:c>
      <x:c r="L64" s="205" t="n">
        <x:f>IFERROR(K64/D64,0)</x:f>
        <x:v>0.2627430373095113</x:v>
      </x:c>
      <x:c r="M64" s="160" t="str">
        <x:v>Presence-floor proxy only — 10k+ municipality completion</x:v>
      </x:c>
      <x:c r="N6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64" s="160" t="str">
        <x:v>Orange County</x:v>
      </x:c>
    </x:row>
    <x:row r="65">
      <x:c r="A65" s="28" t="n">
        <x:v>60</x:v>
      </x:c>
      <x:c r="B65" s="28" t="str">
        <x:v>Maple Shade Township</x:v>
      </x:c>
      <x:c r="C65" s="28" t="str">
        <x:v>NJ</x:v>
      </x:c>
      <x:c r="D65" s="204" t="n">
        <x:v>3.827</x:v>
      </x:c>
      <x:c r="E65" s="133" t="n">
        <x:v>0</x:v>
      </x:c>
      <x:c r="F65" s="133" t="n">
        <x:v>0</x:v>
      </x:c>
      <x:c r="G65" s="133" t="n">
        <x:v>0</x:v>
      </x:c>
      <x:c r="H65" s="133" t="n">
        <x:v>0</x:v>
      </x:c>
      <x:c r="I65" s="133" t="n">
        <x:v>0</x:v>
      </x:c>
      <x:c r="J65" s="133" t="n">
        <x:v>1</x:v>
      </x:c>
      <x:c r="K65" s="133" t="n">
        <x:f>SUM(E65:J65)</x:f>
        <x:v>1</x:v>
      </x:c>
      <x:c r="L65" s="205" t="n">
        <x:f>IFERROR(K65/D65,0)</x:f>
        <x:v>0.26130128037627387</x:v>
      </x:c>
      <x:c r="M65" s="160" t="str">
        <x:v>Presence-floor proxy only — 10k+ municipality completion</x:v>
      </x:c>
      <x:c r="N65"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65" s="160" t="str">
        <x:v>Burlington County</x:v>
      </x:c>
    </x:row>
    <x:row r="66">
      <x:c r="A66" s="28" t="n">
        <x:v>61</x:v>
      </x:c>
      <x:c r="B66" s="28" t="str">
        <x:v>Berwyn</x:v>
      </x:c>
      <x:c r="C66" s="28" t="str">
        <x:v>IL</x:v>
      </x:c>
      <x:c r="D66" s="204" t="n">
        <x:v>3.904</x:v>
      </x:c>
      <x:c r="E66" s="133" t="n">
        <x:v>0</x:v>
      </x:c>
      <x:c r="F66" s="133" t="n">
        <x:v>0</x:v>
      </x:c>
      <x:c r="G66" s="133" t="n">
        <x:v>0</x:v>
      </x:c>
      <x:c r="H66" s="133" t="n">
        <x:v>0</x:v>
      </x:c>
      <x:c r="I66" s="133" t="n">
        <x:v>0</x:v>
      </x:c>
      <x:c r="J66" s="133" t="n">
        <x:v>1</x:v>
      </x:c>
      <x:c r="K66" s="133" t="n">
        <x:f>SUM(E66:J66)</x:f>
        <x:v>1</x:v>
      </x:c>
      <x:c r="L66" s="205" t="n">
        <x:f>IFERROR(K66/D66,0)</x:f>
        <x:v>0.25614754098360654</x:v>
      </x:c>
      <x:c r="M66" s="160" t="str">
        <x:v>Presence-floor proxy only — 50k+ county completion</x:v>
      </x:c>
      <x:c r="N66" s="160" t="str">
        <x:v>Added to complete ≥50,000-population incorporated-place coverage in counties ranked 6–10 by store count under the same Census Vintage 2025 screen. One-store screening floor only; exact selected-chain count and 5-mile buffer require GIS verification.</x:v>
      </x:c>
      <x:c r="O66" s="160" t="str">
        <x:v>Cook County</x:v>
      </x:c>
    </x:row>
    <x:row r="67">
      <x:c r="A67" s="28" t="n">
        <x:v>62</x:v>
      </x:c>
      <x:c r="B67" s="28" t="str">
        <x:v>New Kensington City</x:v>
      </x:c>
      <x:c r="C67" s="28" t="str">
        <x:v>PA</x:v>
      </x:c>
      <x:c r="D67" s="204" t="n">
        <x:v>3.949</x:v>
      </x:c>
      <x:c r="E67" s="133" t="n">
        <x:v>0</x:v>
      </x:c>
      <x:c r="F67" s="133" t="n">
        <x:v>0</x:v>
      </x:c>
      <x:c r="G67" s="133" t="n">
        <x:v>0</x:v>
      </x:c>
      <x:c r="H67" s="133" t="n">
        <x:v>0</x:v>
      </x:c>
      <x:c r="I67" s="133" t="n">
        <x:v>0</x:v>
      </x:c>
      <x:c r="J67" s="133" t="n">
        <x:v>1</x:v>
      </x:c>
      <x:c r="K67" s="133" t="n">
        <x:f>SUM(E67:J67)</x:f>
        <x:v>1</x:v>
      </x:c>
      <x:c r="L67" s="205" t="n">
        <x:f>IFERROR(K67/D67,0)</x:f>
        <x:v>0.2532286654849329</x:v>
      </x:c>
      <x:c r="M67" s="160" t="str">
        <x:v>Presence-floor proxy only — 10k+ municipality completion</x:v>
      </x:c>
      <x:c r="N67"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67" s="160" t="str">
        <x:v>Westmoreland County</x:v>
      </x:c>
    </x:row>
    <x:row r="68">
      <x:c r="A68" s="28" t="n">
        <x:v>63</x:v>
      </x:c>
      <x:c r="B68" s="28" t="str">
        <x:v>Somers Point City</x:v>
      </x:c>
      <x:c r="C68" s="28" t="str">
        <x:v>NJ</x:v>
      </x:c>
      <x:c r="D68" s="204" t="n">
        <x:v>4.01</x:v>
      </x:c>
      <x:c r="E68" s="133" t="n">
        <x:v>0</x:v>
      </x:c>
      <x:c r="F68" s="133" t="n">
        <x:v>0</x:v>
      </x:c>
      <x:c r="G68" s="133" t="n">
        <x:v>0</x:v>
      </x:c>
      <x:c r="H68" s="133" t="n">
        <x:v>0</x:v>
      </x:c>
      <x:c r="I68" s="133" t="n">
        <x:v>0</x:v>
      </x:c>
      <x:c r="J68" s="133" t="n">
        <x:v>1</x:v>
      </x:c>
      <x:c r="K68" s="133" t="n">
        <x:f>SUM(E68:J68)</x:f>
        <x:v>1</x:v>
      </x:c>
      <x:c r="L68" s="205" t="n">
        <x:f>IFERROR(K68/D68,0)</x:f>
        <x:v>0.24937655860349128</x:v>
      </x:c>
      <x:c r="M68" s="160" t="str">
        <x:v>Presence-floor proxy only — 10k+ municipality completion</x:v>
      </x:c>
      <x:c r="N68"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68" s="160" t="str">
        <x:v>Atlantic County</x:v>
      </x:c>
    </x:row>
    <x:row r="69">
      <x:c r="A69" s="28" t="n">
        <x:v>64</x:v>
      </x:c>
      <x:c r="B69" s="28" t="str">
        <x:v>Greensburg City</x:v>
      </x:c>
      <x:c r="C69" s="28" t="str">
        <x:v>PA</x:v>
      </x:c>
      <x:c r="D69" s="204" t="n">
        <x:v>4.047</x:v>
      </x:c>
      <x:c r="E69" s="133" t="n">
        <x:v>0</x:v>
      </x:c>
      <x:c r="F69" s="133" t="n">
        <x:v>0</x:v>
      </x:c>
      <x:c r="G69" s="133" t="n">
        <x:v>0</x:v>
      </x:c>
      <x:c r="H69" s="133" t="n">
        <x:v>0</x:v>
      </x:c>
      <x:c r="I69" s="133" t="n">
        <x:v>0</x:v>
      </x:c>
      <x:c r="J69" s="133" t="n">
        <x:v>1</x:v>
      </x:c>
      <x:c r="K69" s="133" t="n">
        <x:f>SUM(E69:J69)</x:f>
        <x:v>1</x:v>
      </x:c>
      <x:c r="L69" s="205" t="n">
        <x:f>IFERROR(K69/D69,0)</x:f>
        <x:v>0.2470966147763776</x:v>
      </x:c>
      <x:c r="M69" s="160" t="str">
        <x:v>Presence-floor proxy only — 10k+ municipality completion</x:v>
      </x:c>
      <x:c r="N69"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69" s="160" t="str">
        <x:v>Westmoreland County</x:v>
      </x:c>
    </x:row>
    <x:row r="70">
      <x:c r="A70" s="28" t="n">
        <x:v>65</x:v>
      </x:c>
      <x:c r="B70" s="28" t="str">
        <x:v>Lebanon City</x:v>
      </x:c>
      <x:c r="C70" s="28" t="str">
        <x:v>PA</x:v>
      </x:c>
      <x:c r="D70" s="204" t="n">
        <x:v>4.167</x:v>
      </x:c>
      <x:c r="E70" s="133" t="n">
        <x:v>0</x:v>
      </x:c>
      <x:c r="F70" s="133" t="n">
        <x:v>0</x:v>
      </x:c>
      <x:c r="G70" s="133" t="n">
        <x:v>0</x:v>
      </x:c>
      <x:c r="H70" s="133" t="n">
        <x:v>0</x:v>
      </x:c>
      <x:c r="I70" s="133" t="n">
        <x:v>0</x:v>
      </x:c>
      <x:c r="J70" s="133" t="n">
        <x:v>1</x:v>
      </x:c>
      <x:c r="K70" s="133" t="n">
        <x:f>SUM(E70:J70)</x:f>
        <x:v>1</x:v>
      </x:c>
      <x:c r="L70" s="205" t="n">
        <x:f>IFERROR(K70/D70,0)</x:f>
        <x:v>0.23998080153587714</x:v>
      </x:c>
      <x:c r="M70" s="160" t="str">
        <x:v>Presence-floor proxy only — 10k+ municipality completion</x:v>
      </x:c>
      <x:c r="N70" s="160" t="str">
        <x:v>Added under the &gt;=50k-county expansion rule: Census Vintage 2025 municipality population &gt;=10,000; general-purpose city-equivalent municipality; direct Census adjacency. Presence-floor proxy only — exact tracked-chain count requires municipal-boundary/GIS verification. South Lebanon Township is V2025 10,735; North Cornwall and South Londonderry remain below 10,000.</x:v>
      </x:c>
      <x:c r="O70" s="160" t="str">
        <x:v>Lebanon County</x:v>
      </x:c>
    </x:row>
    <x:row r="71">
      <x:c r="A71" s="28" t="n">
        <x:v>66</x:v>
      </x:c>
      <x:c r="B71" s="28" t="str">
        <x:v>Hackensack City</x:v>
      </x:c>
      <x:c r="C71" s="28" t="str">
        <x:v>NJ</x:v>
      </x:c>
      <x:c r="D71" s="204" t="n">
        <x:v>4.191</x:v>
      </x:c>
      <x:c r="E71" s="133" t="n">
        <x:v>0</x:v>
      </x:c>
      <x:c r="F71" s="133" t="n">
        <x:v>0</x:v>
      </x:c>
      <x:c r="G71" s="133" t="n">
        <x:v>0</x:v>
      </x:c>
      <x:c r="H71" s="133" t="n">
        <x:v>0</x:v>
      </x:c>
      <x:c r="I71" s="133" t="n">
        <x:v>0</x:v>
      </x:c>
      <x:c r="J71" s="133" t="n">
        <x:v>1</x:v>
      </x:c>
      <x:c r="K71" s="133" t="n">
        <x:f>SUM(E71:J71)</x:f>
        <x:v>1</x:v>
      </x:c>
      <x:c r="L71" s="205" t="n">
        <x:f>IFERROR(K71/D71,0)</x:f>
        <x:v>0.23860653781913627</x:v>
      </x:c>
      <x:c r="M71" s="160" t="str">
        <x:v>Presence-floor proxy only — 10k+ municipality completion</x:v>
      </x:c>
      <x:c r="N7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1" s="160" t="str">
        <x:v>Bergen County</x:v>
      </x:c>
    </x:row>
    <x:row r="72">
      <x:c r="A72" s="28" t="n">
        <x:v>67</x:v>
      </x:c>
      <x:c r="B72" s="28" t="str">
        <x:v>Geneva city</x:v>
      </x:c>
      <x:c r="C72" s="28" t="str">
        <x:v>NY</x:v>
      </x:c>
      <x:c r="D72" s="204" t="n">
        <x:v>4.211</x:v>
      </x:c>
      <x:c r="E72" s="133" t="n">
        <x:v>0</x:v>
      </x:c>
      <x:c r="F72" s="133" t="n">
        <x:v>0</x:v>
      </x:c>
      <x:c r="G72" s="133" t="n">
        <x:v>0</x:v>
      </x:c>
      <x:c r="H72" s="133" t="n">
        <x:v>0</x:v>
      </x:c>
      <x:c r="I72" s="133" t="n">
        <x:v>1</x:v>
      </x:c>
      <x:c r="J72" s="133" t="n">
        <x:v>0</x:v>
      </x:c>
      <x:c r="K72" s="133" t="n">
        <x:f>SUM(E72:J72)</x:f>
        <x:v>1</x:v>
      </x:c>
      <x:c r="L72" s="205" t="n">
        <x:f>IFERROR(K72/D72,0)</x:f>
        <x:v>0.23747328425552125</x:v>
      </x:c>
      <x:c r="M72" s="160" t="str">
        <x:v>Confirmed lower bound — official retailer store page</x:v>
      </x:c>
      <x:c r="N72" s="160" t="str">
        <x:v>Confirmed lower bound: 1 Wegmans location verified on the retailer's official store page with a municipality-matching address; other tracked chains omitted. Manchester town (9,225) and Phelps town (6,559) are below the 10,000 threshold.</x:v>
      </x:c>
      <x:c r="O72" s="160" t="str">
        <x:v>Ontario County</x:v>
      </x:c>
    </x:row>
    <x:row r="73">
      <x:c r="A73" s="28" t="n">
        <x:v>68</x:v>
      </x:c>
      <x:c r="B73" s="28" t="str">
        <x:v>Madison Borough</x:v>
      </x:c>
      <x:c r="C73" s="28" t="str">
        <x:v>NJ</x:v>
      </x:c>
      <x:c r="D73" s="204" t="n">
        <x:v>4.312</x:v>
      </x:c>
      <x:c r="E73" s="133" t="n">
        <x:v>0</x:v>
      </x:c>
      <x:c r="F73" s="133" t="n">
        <x:v>0</x:v>
      </x:c>
      <x:c r="G73" s="133" t="n">
        <x:v>0</x:v>
      </x:c>
      <x:c r="H73" s="133" t="n">
        <x:v>0</x:v>
      </x:c>
      <x:c r="I73" s="133" t="n">
        <x:v>0</x:v>
      </x:c>
      <x:c r="J73" s="133" t="n">
        <x:v>1</x:v>
      </x:c>
      <x:c r="K73" s="133" t="n">
        <x:f>SUM(E73:J73)</x:f>
        <x:v>1</x:v>
      </x:c>
      <x:c r="L73" s="205" t="n">
        <x:f>IFERROR(K73/D73,0)</x:f>
        <x:v>0.23191094619666047</x:v>
      </x:c>
      <x:c r="M73" s="160" t="str">
        <x:v>Presence-floor proxy only — 10k+ municipality completion</x:v>
      </x:c>
      <x:c r="N7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3" s="160" t="str">
        <x:v>Morris County</x:v>
      </x:c>
    </x:row>
    <x:row r="74">
      <x:c r="A74" s="28" t="n">
        <x:v>69</x:v>
      </x:c>
      <x:c r="B74" s="28" t="str">
        <x:v>Canandaigua city</x:v>
      </x:c>
      <x:c r="C74" s="28" t="str">
        <x:v>NY</x:v>
      </x:c>
      <x:c r="D74" s="204" t="n">
        <x:v>4.567</x:v>
      </x:c>
      <x:c r="E74" s="133" t="n">
        <x:v>0</x:v>
      </x:c>
      <x:c r="F74" s="133" t="n">
        <x:v>0</x:v>
      </x:c>
      <x:c r="G74" s="133" t="n">
        <x:v>0</x:v>
      </x:c>
      <x:c r="H74" s="133" t="n">
        <x:v>0</x:v>
      </x:c>
      <x:c r="I74" s="133" t="n">
        <x:v>1</x:v>
      </x:c>
      <x:c r="J74" s="133" t="n">
        <x:v>0</x:v>
      </x:c>
      <x:c r="K74" s="133" t="n">
        <x:f>SUM(E74:J74)</x:f>
        <x:v>1</x:v>
      </x:c>
      <x:c r="L74" s="205" t="n">
        <x:f>IFERROR(K74/D74,0)</x:f>
        <x:v>0.21896211955331726</x:v>
      </x:c>
      <x:c r="M74" s="160" t="str">
        <x:v>Confirmed lower bound — official retailer store page</x:v>
      </x:c>
      <x:c r="N74" s="160" t="str">
        <x:v>Confirmed lower bound: 1 Wegmans location verified on the retailer's official store page with a municipality-matching address; other tracked chains omitted. Manchester town (9,225) and Phelps town (6,559) are below the 10,000 threshold.</x:v>
      </x:c>
      <x:c r="O74" s="160" t="str">
        <x:v>Ontario County</x:v>
      </x:c>
    </x:row>
    <x:row r="75">
      <x:c r="A75" s="28" t="n">
        <x:v>72</x:v>
      </x:c>
      <x:c r="B75" s="28" t="str">
        <x:v>Lyndhurst Township</x:v>
      </x:c>
      <x:c r="C75" s="28" t="str">
        <x:v>NJ</x:v>
      </x:c>
      <x:c r="D75" s="204" t="n">
        <x:v>4.584</x:v>
      </x:c>
      <x:c r="E75" s="133" t="n">
        <x:v>0</x:v>
      </x:c>
      <x:c r="F75" s="133" t="n">
        <x:v>0</x:v>
      </x:c>
      <x:c r="G75" s="133" t="n">
        <x:v>0</x:v>
      </x:c>
      <x:c r="H75" s="133" t="n">
        <x:v>0</x:v>
      </x:c>
      <x:c r="I75" s="133" t="n">
        <x:v>0</x:v>
      </x:c>
      <x:c r="J75" s="133" t="n">
        <x:v>1</x:v>
      </x:c>
      <x:c r="K75" s="133" t="n">
        <x:f>SUM(E75:J75)</x:f>
        <x:v>1</x:v>
      </x:c>
      <x:c r="L75" s="205" t="n">
        <x:f>IFERROR(K75/D75,0)</x:f>
        <x:v>0.21815008726003493</x:v>
      </x:c>
      <x:c r="M75" s="160" t="str">
        <x:v>Presence-floor proxy only — 10k+ municipality completion</x:v>
      </x:c>
      <x:c r="N7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5" s="160" t="str">
        <x:v>Bergen County</x:v>
      </x:c>
    </x:row>
    <x:row r="76">
      <x:c r="A76" s="28" t="n">
        <x:v>73</x:v>
      </x:c>
      <x:c r="B76" s="28" t="str">
        <x:v>Tenafly Borough</x:v>
      </x:c>
      <x:c r="C76" s="28" t="str">
        <x:v>NJ</x:v>
      </x:c>
      <x:c r="D76" s="204" t="n">
        <x:v>4.586</x:v>
      </x:c>
      <x:c r="E76" s="133" t="n">
        <x:v>0</x:v>
      </x:c>
      <x:c r="F76" s="133" t="n">
        <x:v>0</x:v>
      </x:c>
      <x:c r="G76" s="133" t="n">
        <x:v>0</x:v>
      </x:c>
      <x:c r="H76" s="133" t="n">
        <x:v>0</x:v>
      </x:c>
      <x:c r="I76" s="133" t="n">
        <x:v>0</x:v>
      </x:c>
      <x:c r="J76" s="133" t="n">
        <x:v>1</x:v>
      </x:c>
      <x:c r="K76" s="133" t="n">
        <x:f>SUM(E76:J76)</x:f>
        <x:v>1</x:v>
      </x:c>
      <x:c r="L76" s="205" t="n">
        <x:f>IFERROR(K76/D76,0)</x:f>
        <x:v>0.2180549498473615</x:v>
      </x:c>
      <x:c r="M76" s="160" t="str">
        <x:v>Presence-floor proxy only — 10k+ municipality completion</x:v>
      </x:c>
      <x:c r="N7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6" s="160" t="str">
        <x:v>Bergen County</x:v>
      </x:c>
    </x:row>
    <x:row r="77">
      <x:c r="A77" s="28" t="n">
        <x:v>74</x:v>
      </x:c>
      <x:c r="B77" s="28" t="str">
        <x:v>Wickliffe City</x:v>
      </x:c>
      <x:c r="C77" s="28" t="str">
        <x:v>OH</x:v>
      </x:c>
      <x:c r="D77" s="204" t="n">
        <x:v>4.609</x:v>
      </x:c>
      <x:c r="E77" s="133" t="n">
        <x:v>0</x:v>
      </x:c>
      <x:c r="F77" s="133" t="n">
        <x:v>0</x:v>
      </x:c>
      <x:c r="G77" s="133" t="n">
        <x:v>0</x:v>
      </x:c>
      <x:c r="H77" s="133" t="n">
        <x:v>0</x:v>
      </x:c>
      <x:c r="I77" s="133" t="n">
        <x:v>0</x:v>
      </x:c>
      <x:c r="J77" s="133" t="n">
        <x:v>1</x:v>
      </x:c>
      <x:c r="K77" s="133" t="n">
        <x:f>SUM(E77:J77)</x:f>
        <x:v>1</x:v>
      </x:c>
      <x:c r="L77" s="205" t="n">
        <x:f>IFERROR(K77/D77,0)</x:f>
        <x:v>0.21696680407897592</x:v>
      </x:c>
      <x:c r="M77" s="160" t="str">
        <x:v>Presence-floor proxy only — 10k+ municipality completion</x:v>
      </x:c>
      <x:c r="N77"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77" s="160" t="str">
        <x:v>Lake County</x:v>
      </x:c>
    </x:row>
    <x:row r="78">
      <x:c r="A78" s="28" t="n">
        <x:v>75</x:v>
      </x:c>
      <x:c r="B78" s="28" t="str">
        <x:v>Oak Park</x:v>
      </x:c>
      <x:c r="C78" s="28" t="str">
        <x:v>IL</x:v>
      </x:c>
      <x:c r="D78" s="204" t="n">
        <x:v>4.7</x:v>
      </x:c>
      <x:c r="E78" s="133" t="n">
        <x:v>0</x:v>
      </x:c>
      <x:c r="F78" s="133" t="n">
        <x:v>0</x:v>
      </x:c>
      <x:c r="G78" s="133" t="n">
        <x:v>0</x:v>
      </x:c>
      <x:c r="H78" s="133" t="n">
        <x:v>0</x:v>
      </x:c>
      <x:c r="I78" s="133" t="n">
        <x:v>0</x:v>
      </x:c>
      <x:c r="J78" s="133" t="n">
        <x:v>1</x:v>
      </x:c>
      <x:c r="K78" s="133" t="n">
        <x:f>SUM(E78:J78)</x:f>
        <x:v>1</x:v>
      </x:c>
      <x:c r="L78" s="205" t="n">
        <x:f>IFERROR(K78/D78,0)</x:f>
        <x:v>0.2127659574468085</x:v>
      </x:c>
      <x:c r="M78" s="160" t="str">
        <x:v>Presence-floor proxy only — 50k+ county completion</x:v>
      </x:c>
      <x:c r="N78" s="160" t="str">
        <x:v>Added to complete ≥50,000-population incorporated-place coverage in counties ranked 6–10 by store count under the same Census Vintage 2025 screen. One-store screening floor only; exact selected-chain count and 5-mile buffer require GIS verification.</x:v>
      </x:c>
      <x:c r="O78" s="160" t="str">
        <x:v>Cook County</x:v>
      </x:c>
    </x:row>
    <x:row r="79">
      <x:c r="A79" s="28" t="n">
        <x:v>76</x:v>
      </x:c>
      <x:c r="B79" s="28" t="str">
        <x:v>Nether Providence Township</x:v>
      </x:c>
      <x:c r="C79" s="28" t="str">
        <x:v>PA</x:v>
      </x:c>
      <x:c r="D79" s="204" t="n">
        <x:v>4.714</x:v>
      </x:c>
      <x:c r="E79" s="133" t="n">
        <x:v>0</x:v>
      </x:c>
      <x:c r="F79" s="133" t="n">
        <x:v>0</x:v>
      </x:c>
      <x:c r="G79" s="133" t="n">
        <x:v>0</x:v>
      </x:c>
      <x:c r="H79" s="133" t="n">
        <x:v>0</x:v>
      </x:c>
      <x:c r="I79" s="133" t="n">
        <x:v>0</x:v>
      </x:c>
      <x:c r="J79" s="133" t="n">
        <x:v>1</x:v>
      </x:c>
      <x:c r="K79" s="133" t="n">
        <x:f>SUM(E79:J79)</x:f>
        <x:v>1</x:v>
      </x:c>
      <x:c r="L79" s="205" t="n">
        <x:f>IFERROR(K79/D79,0)</x:f>
        <x:v>0.21213406873143825</x:v>
      </x:c>
      <x:c r="M79" s="160" t="str">
        <x:v>Presence-floor proxy only — 10k+ municipality completion</x:v>
      </x:c>
      <x:c r="N79" s="160" t="str">
        <x:v>Added under the 10k+ city-equivalent municipality rule: Census Vintage 2025 population &gt;=10,000; county population &gt;=500,000. Presence-floor proxy only — exact tracked-chain count requires municipal-boundary/GIS verification.</x:v>
      </x:c>
      <x:c r="O79" s="160" t="str">
        <x:v>Delaware County</x:v>
      </x:c>
    </x:row>
    <x:row r="80">
      <x:c r="A80" s="28" t="n">
        <x:v>77</x:v>
      </x:c>
      <x:c r="B80" s="28" t="str">
        <x:v>Paramount</x:v>
      </x:c>
      <x:c r="C80" s="28" t="str">
        <x:v>CA</x:v>
      </x:c>
      <x:c r="D80" s="204" t="n">
        <x:v>4.726</x:v>
      </x:c>
      <x:c r="E80" s="133" t="n">
        <x:v>0</x:v>
      </x:c>
      <x:c r="F80" s="133" t="n">
        <x:v>0</x:v>
      </x:c>
      <x:c r="G80" s="133" t="n">
        <x:v>0</x:v>
      </x:c>
      <x:c r="H80" s="133" t="n">
        <x:v>0</x:v>
      </x:c>
      <x:c r="I80" s="133" t="n">
        <x:v>0</x:v>
      </x:c>
      <x:c r="J80" s="133" t="n">
        <x:v>1</x:v>
      </x:c>
      <x:c r="K80" s="133" t="n">
        <x:f>SUM(E80:J80)</x:f>
        <x:v>1</x:v>
      </x:c>
      <x:c r="L80" s="205" t="n">
        <x:f>IFERROR(K80/D80,0)</x:f>
        <x:v>0.21159542953872196</x:v>
      </x:c>
      <x:c r="M80" s="160" t="str">
        <x:v>Presence-floor proxy only — 50k+ county completion</x:v>
      </x:c>
      <x:c r="N80" s="160" t="str">
        <x:v>Added to complete ≥50,000-population incorporated-place coverage in a top-5 store-count county using Census Vintage 2025 eligibility. One-store screening floor only; exact selected-chain count and 5-mile buffer require GIS verification.</x:v>
      </x:c>
      <x:c r="O80" s="160" t="str">
        <x:v>Los Angeles County</x:v>
      </x:c>
    </x:row>
    <x:row r="81">
      <x:c r="A81" s="28" t="n">
        <x:v>78</x:v>
      </x:c>
      <x:c r="B81" s="28" t="str">
        <x:v>Beacon City</x:v>
      </x:c>
      <x:c r="C81" s="28" t="str">
        <x:v>NY</x:v>
      </x:c>
      <x:c r="D81" s="204" t="n">
        <x:v>4.739</x:v>
      </x:c>
      <x:c r="E81" s="133" t="n">
        <x:v>0</x:v>
      </x:c>
      <x:c r="F81" s="133" t="n">
        <x:v>0</x:v>
      </x:c>
      <x:c r="G81" s="133" t="n">
        <x:v>0</x:v>
      </x:c>
      <x:c r="H81" s="133" t="n">
        <x:v>0</x:v>
      </x:c>
      <x:c r="I81" s="133" t="n">
        <x:v>0</x:v>
      </x:c>
      <x:c r="J81" s="133" t="n">
        <x:v>1</x:v>
      </x:c>
      <x:c r="K81" s="133" t="n">
        <x:f>SUM(E81:J81)</x:f>
        <x:v>1</x:v>
      </x:c>
      <x:c r="L81" s="205" t="n">
        <x:f>IFERROR(K81/D81,0)</x:f>
        <x:v>0.21101498206372654</x:v>
      </x:c>
      <x:c r="M81" s="160" t="str">
        <x:v>Presence-floor proxy only — 10k+ municipality completion</x:v>
      </x:c>
      <x:c r="N81"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81" s="160" t="str">
        <x:v>Dutchess County</x:v>
      </x:c>
    </x:row>
    <x:row r="82">
      <x:c r="A82" s="28" t="n">
        <x:v>79</x:v>
      </x:c>
      <x:c r="B82" s="28" t="str">
        <x:v>Chester City</x:v>
      </x:c>
      <x:c r="C82" s="28" t="str">
        <x:v>PA</x:v>
      </x:c>
      <x:c r="D82" s="204" t="n">
        <x:v>4.833</x:v>
      </x:c>
      <x:c r="E82" s="133" t="n">
        <x:v>0</x:v>
      </x:c>
      <x:c r="F82" s="133" t="n">
        <x:v>0</x:v>
      </x:c>
      <x:c r="G82" s="133" t="n">
        <x:v>0</x:v>
      </x:c>
      <x:c r="H82" s="133" t="n">
        <x:v>0</x:v>
      </x:c>
      <x:c r="I82" s="133" t="n">
        <x:v>0</x:v>
      </x:c>
      <x:c r="J82" s="133" t="n">
        <x:v>1</x:v>
      </x:c>
      <x:c r="K82" s="133" t="n">
        <x:f>SUM(E82:J82)</x:f>
        <x:v>1</x:v>
      </x:c>
      <x:c r="L82" s="205" t="n">
        <x:f>IFERROR(K82/D82,0)</x:f>
        <x:v>0.2069108214359611</x:v>
      </x:c>
      <x:c r="M82" s="160" t="str">
        <x:v>Presence-floor proxy only — 10k+ municipality completion</x:v>
      </x:c>
      <x:c r="N82" s="160" t="str">
        <x:v>Added under the 10k+ city-equivalent municipality rule: Census Vintage 2025 population &gt;=10,000; county population &gt;=500,000. Presence-floor proxy only — exact tracked-chain count requires municipal-boundary/GIS verification.</x:v>
      </x:c>
      <x:c r="O82" s="160" t="str">
        <x:v>Delaware County</x:v>
      </x:c>
    </x:row>
    <x:row r="83">
      <x:c r="A83" s="28" t="n">
        <x:v>80</x:v>
      </x:c>
      <x:c r="B83" s="28" t="str">
        <x:v>Lynwood</x:v>
      </x:c>
      <x:c r="C83" s="28" t="str">
        <x:v>CA</x:v>
      </x:c>
      <x:c r="D83" s="204" t="n">
        <x:v>4.841</x:v>
      </x:c>
      <x:c r="E83" s="133" t="n">
        <x:v>0</x:v>
      </x:c>
      <x:c r="F83" s="133" t="n">
        <x:v>0</x:v>
      </x:c>
      <x:c r="G83" s="133" t="n">
        <x:v>0</x:v>
      </x:c>
      <x:c r="H83" s="133" t="n">
        <x:v>0</x:v>
      </x:c>
      <x:c r="I83" s="133" t="n">
        <x:v>0</x:v>
      </x:c>
      <x:c r="J83" s="133" t="n">
        <x:v>1</x:v>
      </x:c>
      <x:c r="K83" s="133" t="n">
        <x:f>SUM(E83:J83)</x:f>
        <x:v>1</x:v>
      </x:c>
      <x:c r="L83" s="205" t="n">
        <x:f>IFERROR(K83/D83,0)</x:f>
        <x:v>0.2065688907250568</x:v>
      </x:c>
      <x:c r="M83" s="160" t="str">
        <x:v>Presence-floor proxy only — 50k+ county completion</x:v>
      </x:c>
      <x:c r="N83" s="160" t="str">
        <x:v>Added to complete ≥50,000-population incorporated-place coverage in a top-5 store-count county using Census Vintage 2025 eligibility. One-store screening floor only; exact selected-chain count and 5-mile buffer require GIS verification.</x:v>
      </x:c>
      <x:c r="O83" s="160" t="str">
        <x:v>Los Angeles County</x:v>
      </x:c>
    </x:row>
    <x:row r="84">
      <x:c r="A84" s="28" t="n">
        <x:v>81</x:v>
      </x:c>
      <x:c r="B84" s="28" t="str">
        <x:v>Pottstown Borough</x:v>
      </x:c>
      <x:c r="C84" s="28" t="str">
        <x:v>PA</x:v>
      </x:c>
      <x:c r="D84" s="204" t="n">
        <x:v>4.852</x:v>
      </x:c>
      <x:c r="E84" s="133" t="n">
        <x:v>0</x:v>
      </x:c>
      <x:c r="F84" s="133" t="n">
        <x:v>0</x:v>
      </x:c>
      <x:c r="G84" s="133" t="n">
        <x:v>0</x:v>
      </x:c>
      <x:c r="H84" s="133" t="n">
        <x:v>0</x:v>
      </x:c>
      <x:c r="I84" s="133" t="n">
        <x:v>0</x:v>
      </x:c>
      <x:c r="J84" s="133" t="n">
        <x:v>1</x:v>
      </x:c>
      <x:c r="K84" s="133" t="n">
        <x:f>SUM(E84:J84)</x:f>
        <x:v>1</x:v>
      </x:c>
      <x:c r="L84" s="205" t="n">
        <x:f>IFERROR(K84/D84,0)</x:f>
        <x:v>0.2061005770816158</x:v>
      </x:c>
      <x:c r="M84" s="160" t="str">
        <x:v>Presence-floor proxy only — 10k+ municipality completion</x:v>
      </x:c>
      <x:c r="N8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84" s="160" t="str">
        <x:v>Montgomery County</x:v>
      </x:c>
    </x:row>
    <x:row r="85">
      <x:c r="A85" s="28" t="n">
        <x:v>82</x:v>
      </x:c>
      <x:c r="B85" s="28" t="str">
        <x:v>Englewood City</x:v>
      </x:c>
      <x:c r="C85" s="28" t="str">
        <x:v>NJ</x:v>
      </x:c>
      <x:c r="D85" s="204" t="n">
        <x:v>4.925</x:v>
      </x:c>
      <x:c r="E85" s="133" t="n">
        <x:v>0</x:v>
      </x:c>
      <x:c r="F85" s="133" t="n">
        <x:v>0</x:v>
      </x:c>
      <x:c r="G85" s="133" t="n">
        <x:v>0</x:v>
      </x:c>
      <x:c r="H85" s="133" t="n">
        <x:v>0</x:v>
      </x:c>
      <x:c r="I85" s="133" t="n">
        <x:v>0</x:v>
      </x:c>
      <x:c r="J85" s="133" t="n">
        <x:v>1</x:v>
      </x:c>
      <x:c r="K85" s="133" t="n">
        <x:f>SUM(E85:J85)</x:f>
        <x:v>1</x:v>
      </x:c>
      <x:c r="L85" s="205" t="n">
        <x:f>IFERROR(K85/D85,0)</x:f>
        <x:v>0.20304568527918782</x:v>
      </x:c>
      <x:c r="M85" s="160" t="str">
        <x:v>Presence-floor proxy only — 10k+ municipality completion</x:v>
      </x:c>
      <x:c r="N8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85" s="160" t="str">
        <x:v>Bergen County</x:v>
      </x:c>
    </x:row>
    <x:row r="86">
      <x:c r="A86" s="28" t="n">
        <x:v>83</x:v>
      </x:c>
      <x:c r="B86" s="28" t="str">
        <x:v>Ridley Township</x:v>
      </x:c>
      <x:c r="C86" s="28" t="str">
        <x:v>PA</x:v>
      </x:c>
      <x:c r="D86" s="204" t="n">
        <x:v>5.115</x:v>
      </x:c>
      <x:c r="E86" s="133" t="n">
        <x:v>0</x:v>
      </x:c>
      <x:c r="F86" s="133" t="n">
        <x:v>0</x:v>
      </x:c>
      <x:c r="G86" s="133" t="n">
        <x:v>0</x:v>
      </x:c>
      <x:c r="H86" s="133" t="n">
        <x:v>0</x:v>
      </x:c>
      <x:c r="I86" s="133" t="n">
        <x:v>0</x:v>
      </x:c>
      <x:c r="J86" s="133" t="n">
        <x:v>1</x:v>
      </x:c>
      <x:c r="K86" s="133" t="n">
        <x:f>SUM(E86:J86)</x:f>
        <x:v>1</x:v>
      </x:c>
      <x:c r="L86" s="205" t="n">
        <x:f>IFERROR(K86/D86,0)</x:f>
        <x:v>0.19550342130987292</x:v>
      </x:c>
      <x:c r="M86" s="160" t="str">
        <x:v>Presence-floor proxy only — 10k+ municipality completion</x:v>
      </x:c>
      <x:c r="N86" s="160" t="str">
        <x:v>Added under the 10k+ city-equivalent municipality rule: Census Vintage 2025 population &gt;=10,000; county population &gt;=500,000. Presence-floor proxy only — exact tracked-chain count requires municipal-boundary/GIS verification.</x:v>
      </x:c>
      <x:c r="O86" s="160" t="str">
        <x:v>Delaware County</x:v>
      </x:c>
    </x:row>
    <x:row r="87">
      <x:c r="A87" s="28" t="n">
        <x:v>84</x:v>
      </x:c>
      <x:c r="B87" s="28" t="str">
        <x:v>Long Branch City</x:v>
      </x:c>
      <x:c r="C87" s="28" t="str">
        <x:v>NJ</x:v>
      </x:c>
      <x:c r="D87" s="204" t="n">
        <x:v>5.124</x:v>
      </x:c>
      <x:c r="E87" s="133" t="n">
        <x:v>0</x:v>
      </x:c>
      <x:c r="F87" s="133" t="n">
        <x:v>0</x:v>
      </x:c>
      <x:c r="G87" s="133" t="n">
        <x:v>0</x:v>
      </x:c>
      <x:c r="H87" s="133" t="n">
        <x:v>0</x:v>
      </x:c>
      <x:c r="I87" s="133" t="n">
        <x:v>0</x:v>
      </x:c>
      <x:c r="J87" s="133" t="n">
        <x:v>1</x:v>
      </x:c>
      <x:c r="K87" s="133" t="n">
        <x:f>SUM(E87:J87)</x:f>
        <x:v>1</x:v>
      </x:c>
      <x:c r="L87" s="205" t="n">
        <x:f>IFERROR(K87/D87,0)</x:f>
        <x:v>0.19516003122560502</x:v>
      </x:c>
      <x:c r="M87" s="160" t="str">
        <x:v>Presence-floor proxy only — 10k+ municipality completion</x:v>
      </x:c>
      <x:c r="N8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87" s="160" t="str">
        <x:v>Monmouth County</x:v>
      </x:c>
    </x:row>
    <x:row r="88">
      <x:c r="A88" s="28" t="n">
        <x:v>85</x:v>
      </x:c>
      <x:c r="B88" s="28" t="str">
        <x:v>Fair Lawn Borough</x:v>
      </x:c>
      <x:c r="C88" s="28" t="str">
        <x:v>NJ</x:v>
      </x:c>
      <x:c r="D88" s="204" t="n">
        <x:v>5.135</x:v>
      </x:c>
      <x:c r="E88" s="133" t="n">
        <x:v>0</x:v>
      </x:c>
      <x:c r="F88" s="133" t="n">
        <x:v>0</x:v>
      </x:c>
      <x:c r="G88" s="133" t="n">
        <x:v>0</x:v>
      </x:c>
      <x:c r="H88" s="133" t="n">
        <x:v>0</x:v>
      </x:c>
      <x:c r="I88" s="133" t="n">
        <x:v>0</x:v>
      </x:c>
      <x:c r="J88" s="133" t="n">
        <x:v>1</x:v>
      </x:c>
      <x:c r="K88" s="133" t="n">
        <x:f>SUM(E88:J88)</x:f>
        <x:v>1</x:v>
      </x:c>
      <x:c r="L88" s="205" t="n">
        <x:f>IFERROR(K88/D88,0)</x:f>
        <x:v>0.19474196689386564</x:v>
      </x:c>
      <x:c r="M88" s="160" t="str">
        <x:v>Presence-floor proxy only — 10k+ municipality completion</x:v>
      </x:c>
      <x:c r="N8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88" s="160" t="str">
        <x:v>Bergen County</x:v>
      </x:c>
    </x:row>
    <x:row r="89">
      <x:c r="A89" s="28" t="n">
        <x:v>86</x:v>
      </x:c>
      <x:c r="B89" s="28" t="str">
        <x:v>Poughkeepsie City</x:v>
      </x:c>
      <x:c r="C89" s="28" t="str">
        <x:v>NY</x:v>
      </x:c>
      <x:c r="D89" s="204" t="n">
        <x:v>5.145</x:v>
      </x:c>
      <x:c r="E89" s="133" t="n">
        <x:v>0</x:v>
      </x:c>
      <x:c r="F89" s="133" t="n">
        <x:v>0</x:v>
      </x:c>
      <x:c r="G89" s="133" t="n">
        <x:v>0</x:v>
      </x:c>
      <x:c r="H89" s="133" t="n">
        <x:v>0</x:v>
      </x:c>
      <x:c r="I89" s="133" t="n">
        <x:v>0</x:v>
      </x:c>
      <x:c r="J89" s="133" t="n">
        <x:v>1</x:v>
      </x:c>
      <x:c r="K89" s="133" t="n">
        <x:f>SUM(E89:J89)</x:f>
        <x:v>1</x:v>
      </x:c>
      <x:c r="L89" s="205" t="n">
        <x:f>IFERROR(K89/D89,0)</x:f>
        <x:v>0.19436345966958213</x:v>
      </x:c>
      <x:c r="M89" s="160" t="str">
        <x:v>Presence-floor proxy only — 10k+ municipality completion</x:v>
      </x:c>
      <x:c r="N89"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89" s="160" t="str">
        <x:v>Dutchess County</x:v>
      </x:c>
    </x:row>
    <x:row r="90">
      <x:c r="A90" s="28" t="n">
        <x:v>87</x:v>
      </x:c>
      <x:c r="B90" s="28" t="str">
        <x:v>York City</x:v>
      </x:c>
      <x:c r="C90" s="28" t="str">
        <x:v>PA</x:v>
      </x:c>
      <x:c r="D90" s="204" t="n">
        <x:v>5.292</x:v>
      </x:c>
      <x:c r="E90" s="133" t="n">
        <x:v>0</x:v>
      </x:c>
      <x:c r="F90" s="133" t="n">
        <x:v>0</x:v>
      </x:c>
      <x:c r="G90" s="133" t="n">
        <x:v>0</x:v>
      </x:c>
      <x:c r="H90" s="133" t="n">
        <x:v>0</x:v>
      </x:c>
      <x:c r="I90" s="133" t="n">
        <x:v>0</x:v>
      </x:c>
      <x:c r="J90" s="133" t="n">
        <x:v>1</x:v>
      </x:c>
      <x:c r="K90" s="133" t="n">
        <x:f>SUM(E90:J90)</x:f>
        <x:v>1</x:v>
      </x:c>
      <x:c r="L90" s="205" t="n">
        <x:f>IFERROR(K90/D90,0)</x:f>
        <x:v>0.1889644746787604</x:v>
      </x:c>
      <x:c r="M90" s="160" t="str">
        <x:v>Presence-floor proxy only — 10k+ municipality completion</x:v>
      </x:c>
      <x:c r="N9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90" s="160" t="str">
        <x:v>York County</x:v>
      </x:c>
    </x:row>
    <x:row r="91">
      <x:c r="A91" s="28" t="n">
        <x:v>88</x:v>
      </x:c>
      <x:c r="B91" s="28" t="str">
        <x:v>Loveland City</x:v>
      </x:c>
      <x:c r="C91" s="28" t="str">
        <x:v>OH</x:v>
      </x:c>
      <x:c r="D91" s="204" t="n">
        <x:v>5.3</x:v>
      </x:c>
      <x:c r="E91" s="133" t="n">
        <x:v>0</x:v>
      </x:c>
      <x:c r="F91" s="133" t="n">
        <x:v>0</x:v>
      </x:c>
      <x:c r="G91" s="133" t="n">
        <x:v>0</x:v>
      </x:c>
      <x:c r="H91" s="133" t="n">
        <x:v>0</x:v>
      </x:c>
      <x:c r="I91" s="133" t="n">
        <x:v>0</x:v>
      </x:c>
      <x:c r="J91" s="133" t="n">
        <x:v>1</x:v>
      </x:c>
      <x:c r="K91" s="133" t="n">
        <x:f>SUM(E91:J91)</x:f>
        <x:v>1</x:v>
      </x:c>
      <x:c r="L91" s="205" t="n">
        <x:f>IFERROR(K91/D91,0)</x:f>
        <x:v>0.18867924528301888</x:v>
      </x:c>
      <x:c r="M91" s="160" t="str">
        <x:v>Presence-floor proxy only — 10k+ municipality completion</x:v>
      </x:c>
      <x:c r="N91" s="160" t="str">
        <x:v>Added under the &gt;=50k-county expansion rule: Census Vintage 2025 municipality population &gt;=10,000; general-purpose city-equivalent municipality; direct Census adjacency. Presence-floor proxy only — exact tracked-chain count requires municipal-boundary/GIS verification. Loveland spans multiple counties and is canonically assigned to Clermont County for this expansion; full Census place land area is used. Jungle Jim's Eastgate provides strong county specialty-grocery evidence but is not one of the five tracked proxy chains.</x:v>
      </x:c>
      <x:c r="O91" s="160" t="str">
        <x:v>Clermont County</x:v>
      </x:c>
    </x:row>
    <x:row r="92">
      <x:c r="A92" s="28" t="n">
        <x:v>89</x:v>
      </x:c>
      <x:c r="B92" s="28" t="str">
        <x:v>Middletown City</x:v>
      </x:c>
      <x:c r="C92" s="28" t="str">
        <x:v>NY</x:v>
      </x:c>
      <x:c r="D92" s="204" t="n">
        <x:v>5.306</x:v>
      </x:c>
      <x:c r="E92" s="133" t="n">
        <x:v>0</x:v>
      </x:c>
      <x:c r="F92" s="133" t="n">
        <x:v>0</x:v>
      </x:c>
      <x:c r="G92" s="133" t="n">
        <x:v>0</x:v>
      </x:c>
      <x:c r="H92" s="133" t="n">
        <x:v>0</x:v>
      </x:c>
      <x:c r="I92" s="133" t="n">
        <x:v>0</x:v>
      </x:c>
      <x:c r="J92" s="133" t="n">
        <x:v>1</x:v>
      </x:c>
      <x:c r="K92" s="133" t="n">
        <x:f>SUM(E92:J92)</x:f>
        <x:v>1</x:v>
      </x:c>
      <x:c r="L92" s="205" t="n">
        <x:f>IFERROR(K92/D92,0)</x:f>
        <x:v>0.18846588767433095</x:v>
      </x:c>
      <x:c r="M92" s="160" t="str">
        <x:v>Presence-floor proxy only — 10k+ municipality completion</x:v>
      </x:c>
      <x:c r="N9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92" s="160" t="str">
        <x:v>Orange County</x:v>
      </x:c>
    </x:row>
    <x:row r="93">
      <x:c r="A93" s="28" t="n">
        <x:v>91</x:v>
      </x:c>
      <x:c r="B93" s="28" t="str">
        <x:v>Carlisle Borough</x:v>
      </x:c>
      <x:c r="C93" s="28" t="str">
        <x:v>PA</x:v>
      </x:c>
      <x:c r="D93" s="204" t="n">
        <x:v>5.43</x:v>
      </x:c>
      <x:c r="E93" s="133" t="n">
        <x:v>0</x:v>
      </x:c>
      <x:c r="F93" s="133" t="n">
        <x:v>0</x:v>
      </x:c>
      <x:c r="G93" s="133" t="n">
        <x:v>0</x:v>
      </x:c>
      <x:c r="H93" s="133" t="n">
        <x:v>0</x:v>
      </x:c>
      <x:c r="I93" s="133" t="n">
        <x:v>0</x:v>
      </x:c>
      <x:c r="J93" s="133" t="n">
        <x:v>1</x:v>
      </x:c>
      <x:c r="K93" s="133" t="n">
        <x:f>SUM(E93:J93)</x:f>
        <x:v>1</x:v>
      </x:c>
      <x:c r="L93" s="205" t="n">
        <x:f>IFERROR(K93/D93,0)</x:f>
        <x:v>0.1841620626151013</x:v>
      </x:c>
      <x:c r="M93" s="160" t="str">
        <x:v>Presence-floor proxy only — 10k+ municipality completion</x:v>
      </x:c>
      <x:c r="N93"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93" s="160" t="str">
        <x:v>Cumberland County</x:v>
      </x:c>
    </x:row>
    <x:row r="94">
      <x:c r="A94" s="28" t="n">
        <x:v>92</x:v>
      </x:c>
      <x:c r="B94" s="28" t="str">
        <x:v>Aberdeen Township</x:v>
      </x:c>
      <x:c r="C94" s="28" t="str">
        <x:v>NJ</x:v>
      </x:c>
      <x:c r="D94" s="204" t="n">
        <x:v>5.441</x:v>
      </x:c>
      <x:c r="E94" s="133" t="n">
        <x:v>0</x:v>
      </x:c>
      <x:c r="F94" s="133" t="n">
        <x:v>0</x:v>
      </x:c>
      <x:c r="G94" s="133" t="n">
        <x:v>0</x:v>
      </x:c>
      <x:c r="H94" s="133" t="n">
        <x:v>0</x:v>
      </x:c>
      <x:c r="I94" s="133" t="n">
        <x:v>0</x:v>
      </x:c>
      <x:c r="J94" s="133" t="n">
        <x:v>1</x:v>
      </x:c>
      <x:c r="K94" s="133" t="n">
        <x:f>SUM(E94:J94)</x:f>
        <x:v>1</x:v>
      </x:c>
      <x:c r="L94" s="205" t="n">
        <x:f>IFERROR(K94/D94,0)</x:f>
        <x:v>0.1837897445322551</x:v>
      </x:c>
      <x:c r="M94" s="160" t="str">
        <x:v>Presence-floor proxy only — 10k+ municipality completion</x:v>
      </x:c>
      <x:c r="N9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94" s="160" t="str">
        <x:v>Monmouth County</x:v>
      </x:c>
    </x:row>
    <x:row r="95">
      <x:c r="A95" s="28" t="n">
        <x:v>93</x:v>
      </x:c>
      <x:c r="B95" s="28" t="str">
        <x:v>Ramsey Borough</x:v>
      </x:c>
      <x:c r="C95" s="28" t="str">
        <x:v>NJ</x:v>
      </x:c>
      <x:c r="D95" s="204" t="n">
        <x:v>5.503</x:v>
      </x:c>
      <x:c r="E95" s="133" t="n">
        <x:v>0</x:v>
      </x:c>
      <x:c r="F95" s="133" t="n">
        <x:v>0</x:v>
      </x:c>
      <x:c r="G95" s="133" t="n">
        <x:v>0</x:v>
      </x:c>
      <x:c r="H95" s="133" t="n">
        <x:v>0</x:v>
      </x:c>
      <x:c r="I95" s="133" t="n">
        <x:v>0</x:v>
      </x:c>
      <x:c r="J95" s="133" t="n">
        <x:v>1</x:v>
      </x:c>
      <x:c r="K95" s="133" t="n">
        <x:f>SUM(E95:J95)</x:f>
        <x:v>1</x:v>
      </x:c>
      <x:c r="L95" s="205" t="n">
        <x:f>IFERROR(K95/D95,0)</x:f>
        <x:v>0.1817190623296384</x:v>
      </x:c>
      <x:c r="M95" s="160" t="str">
        <x:v>Presence-floor proxy only — 10k+ municipality completion</x:v>
      </x:c>
      <x:c r="N9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95" s="160" t="str">
        <x:v>Bergen County</x:v>
      </x:c>
    </x:row>
    <x:row r="96">
      <x:c r="A96" s="28" t="n">
        <x:v>94</x:v>
      </x:c>
      <x:c r="B96" s="28" t="str">
        <x:v>Hazlet Township</x:v>
      </x:c>
      <x:c r="C96" s="28" t="str">
        <x:v>NJ</x:v>
      </x:c>
      <x:c r="D96" s="204" t="n">
        <x:v>5.569</x:v>
      </x:c>
      <x:c r="E96" s="133" t="n">
        <x:v>0</x:v>
      </x:c>
      <x:c r="F96" s="133" t="n">
        <x:v>0</x:v>
      </x:c>
      <x:c r="G96" s="133" t="n">
        <x:v>0</x:v>
      </x:c>
      <x:c r="H96" s="133" t="n">
        <x:v>0</x:v>
      </x:c>
      <x:c r="I96" s="133" t="n">
        <x:v>0</x:v>
      </x:c>
      <x:c r="J96" s="133" t="n">
        <x:v>1</x:v>
      </x:c>
      <x:c r="K96" s="133" t="n">
        <x:f>SUM(E96:J96)</x:f>
        <x:v>1</x:v>
      </x:c>
      <x:c r="L96" s="205" t="n">
        <x:f>IFERROR(K96/D96,0)</x:f>
        <x:v>0.1795654516071108</x:v>
      </x:c>
      <x:c r="M96" s="160" t="str">
        <x:v>Presence-floor proxy only — 10k+ municipality completion</x:v>
      </x:c>
      <x:c r="N9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96" s="160" t="str">
        <x:v>Monmouth County</x:v>
      </x:c>
    </x:row>
    <x:row r="97">
      <x:c r="A97" s="28" t="n">
        <x:v>96</x:v>
      </x:c>
      <x:c r="B97" s="28" t="str">
        <x:v>Ravenna City</x:v>
      </x:c>
      <x:c r="C97" s="28" t="str">
        <x:v>OH</x:v>
      </x:c>
      <x:c r="D97" s="204" t="n">
        <x:v>5.617</x:v>
      </x:c>
      <x:c r="E97" s="133" t="n">
        <x:v>0</x:v>
      </x:c>
      <x:c r="F97" s="133" t="n">
        <x:v>0</x:v>
      </x:c>
      <x:c r="G97" s="133" t="n">
        <x:v>0</x:v>
      </x:c>
      <x:c r="H97" s="133" t="n">
        <x:v>0</x:v>
      </x:c>
      <x:c r="I97" s="133" t="n">
        <x:v>0</x:v>
      </x:c>
      <x:c r="J97" s="133" t="n">
        <x:v>1</x:v>
      </x:c>
      <x:c r="K97" s="133" t="n">
        <x:f>SUM(E97:J97)</x:f>
        <x:v>1</x:v>
      </x:c>
      <x:c r="L97" s="205" t="n">
        <x:f>IFERROR(K97/D97,0)</x:f>
        <x:v>0.17803097739006588</x:v>
      </x:c>
      <x:c r="M97" s="160" t="str">
        <x:v>Presence-floor proxy only — 10k+ municipality completion</x:v>
      </x:c>
      <x:c r="N97" s="160" t="str">
        <x:v>Added under the &gt;=50k-county expansion rule: Census Vintage 2025 municipality population &gt;=10,000; general-purpose city-equivalent municipality; direct Census adjacency. Presence-floor proxy only — exact tracked-chain count requires municipal-boundary/GIS verification. Kent Natural Foods Co-op and Haymaker Farmers' Market provide county specialty-grocery evidence; Ravenna Township remains below 10,000.</x:v>
      </x:c>
      <x:c r="O97" s="160" t="str">
        <x:v>Portage County</x:v>
      </x:c>
    </x:row>
    <x:row r="98">
      <x:c r="A98" s="28" t="n">
        <x:v>97</x:v>
      </x:c>
      <x:c r="B98" s="28" t="str">
        <x:v>Pleasantville City</x:v>
      </x:c>
      <x:c r="C98" s="28" t="str">
        <x:v>NJ</x:v>
      </x:c>
      <x:c r="D98" s="204" t="n">
        <x:v>5.721</x:v>
      </x:c>
      <x:c r="E98" s="133" t="n">
        <x:v>0</x:v>
      </x:c>
      <x:c r="F98" s="133" t="n">
        <x:v>0</x:v>
      </x:c>
      <x:c r="G98" s="133" t="n">
        <x:v>0</x:v>
      </x:c>
      <x:c r="H98" s="133" t="n">
        <x:v>0</x:v>
      </x:c>
      <x:c r="I98" s="133" t="n">
        <x:v>0</x:v>
      </x:c>
      <x:c r="J98" s="133" t="n">
        <x:v>1</x:v>
      </x:c>
      <x:c r="K98" s="133" t="n">
        <x:f>SUM(E98:J98)</x:f>
        <x:v>1</x:v>
      </x:c>
      <x:c r="L98" s="205" t="n">
        <x:f>IFERROR(K98/D98,0)</x:f>
        <x:v>0.17479461632581716</x:v>
      </x:c>
      <x:c r="M98" s="160" t="str">
        <x:v>Presence-floor proxy only — 10k+ municipality completion</x:v>
      </x:c>
      <x:c r="N98"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98" s="160" t="str">
        <x:v>Atlantic County</x:v>
      </x:c>
    </x:row>
    <x:row r="99">
      <x:c r="A99" s="28" t="n">
        <x:v>98</x:v>
      </x:c>
      <x:c r="B99" s="28" t="str">
        <x:v>Grand Haven City</x:v>
      </x:c>
      <x:c r="C99" s="28" t="str">
        <x:v>MI</x:v>
      </x:c>
      <x:c r="D99" s="204" t="n">
        <x:v>5.724</x:v>
      </x:c>
      <x:c r="E99" s="133" t="n">
        <x:v>0</x:v>
      </x:c>
      <x:c r="F99" s="133" t="n">
        <x:v>0</x:v>
      </x:c>
      <x:c r="G99" s="133" t="n">
        <x:v>0</x:v>
      </x:c>
      <x:c r="H99" s="133" t="n">
        <x:v>0</x:v>
      </x:c>
      <x:c r="I99" s="133" t="n">
        <x:v>0</x:v>
      </x:c>
      <x:c r="J99" s="133" t="n">
        <x:v>1</x:v>
      </x:c>
      <x:c r="K99" s="133" t="n">
        <x:f>SUM(E99:J99)</x:f>
        <x:v>1</x:v>
      </x:c>
      <x:c r="L99" s="205" t="n">
        <x:f>IFERROR(K99/D99,0)</x:f>
        <x:v>0.17470300489168414</x:v>
      </x:c>
      <x:c r="M99" s="160" t="str">
        <x:v>Presence-floor proxy only — 10k+ municipality completion</x:v>
      </x:c>
      <x:c r="N99"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99" s="160" t="str">
        <x:v>Ottawa County</x:v>
      </x:c>
    </x:row>
    <x:row r="100">
      <x:c r="A100" s="28" t="n">
        <x:v>99</x:v>
      </x:c>
      <x:c r="B100" s="28" t="str">
        <x:v>Ridgewood Village</x:v>
      </x:c>
      <x:c r="C100" s="28" t="str">
        <x:v>NJ</x:v>
      </x:c>
      <x:c r="D100" s="204" t="n">
        <x:v>5.742</x:v>
      </x:c>
      <x:c r="E100" s="133" t="n">
        <x:v>1</x:v>
      </x:c>
      <x:c r="F100" s="133" t="n">
        <x:v>0</x:v>
      </x:c>
      <x:c r="G100" s="133" t="n">
        <x:v>0</x:v>
      </x:c>
      <x:c r="H100" s="133" t="n">
        <x:v>0</x:v>
      </x:c>
      <x:c r="I100" s="133" t="n">
        <x:v>0</x:v>
      </x:c>
      <x:c r="J100" s="133" t="n">
        <x:v>0</x:v>
      </x:c>
      <x:c r="K100" s="133" t="n">
        <x:f>SUM(E100:J100)</x:f>
        <x:v>1</x:v>
      </x:c>
      <x:c r="L100" s="205" t="n">
        <x:f>IFERROR(K100/D100,0)</x:f>
        <x:v>0.17415534656913967</x:v>
      </x:c>
      <x:c r="M100" s="160" t="str">
        <x:v>Confirmed lower bound — official retailer store page</x:v>
      </x:c>
      <x:c r="N100" s="160" t="str">
        <x:v>Confirmed lower bound: 1 Whole Foods location verified by the retailer's official store page using a municipality-matching location name/address. Other tracked chains and nearby spillover omitted.</x:v>
      </x:c>
      <x:c r="O100" s="160" t="str">
        <x:v>Bergen County</x:v>
      </x:c>
    </x:row>
    <x:row r="101">
      <x:c r="A101" s="28" t="n">
        <x:v>101</x:v>
      </x:c>
      <x:c r="B101" s="28" t="str">
        <x:v>Gardena</x:v>
      </x:c>
      <x:c r="C101" s="28" t="str">
        <x:v>CA</x:v>
      </x:c>
      <x:c r="D101" s="204" t="n">
        <x:v>5.829</x:v>
      </x:c>
      <x:c r="E101" s="133" t="n">
        <x:v>0</x:v>
      </x:c>
      <x:c r="F101" s="133" t="n">
        <x:v>0</x:v>
      </x:c>
      <x:c r="G101" s="133" t="n">
        <x:v>0</x:v>
      </x:c>
      <x:c r="H101" s="133" t="n">
        <x:v>0</x:v>
      </x:c>
      <x:c r="I101" s="133" t="n">
        <x:v>0</x:v>
      </x:c>
      <x:c r="J101" s="133" t="n">
        <x:v>1</x:v>
      </x:c>
      <x:c r="K101" s="133" t="n">
        <x:f>SUM(E101:J101)</x:f>
        <x:v>1</x:v>
      </x:c>
      <x:c r="L101" s="205" t="n">
        <x:f>IFERROR(K101/D101,0)</x:f>
        <x:v>0.171556013038257</x:v>
      </x:c>
      <x:c r="M101" s="160" t="str">
        <x:v>Presence-floor proxy only — 50k+ county completion</x:v>
      </x:c>
      <x:c r="N101" s="160" t="str">
        <x:v>Added to complete ≥50,000-population incorporated-place coverage in a top-5 store-count county using Census Vintage 2025 eligibility. One-store screening floor only; exact selected-chain count and 5-mile buffer require GIS verification.</x:v>
      </x:c>
      <x:c r="O101" s="160" t="str">
        <x:v>Los Angeles County</x:v>
      </x:c>
    </x:row>
    <x:row r="102">
      <x:c r="A102" s="28" t="n">
        <x:v>102</x:v>
      </x:c>
      <x:c r="B102" s="28" t="str">
        <x:v>Powell City</x:v>
      </x:c>
      <x:c r="C102" s="28" t="str">
        <x:v>OH</x:v>
      </x:c>
      <x:c r="D102" s="204" t="n">
        <x:v>5.832</x:v>
      </x:c>
      <x:c r="E102" s="133" t="n">
        <x:v>0</x:v>
      </x:c>
      <x:c r="F102" s="133" t="n">
        <x:v>0</x:v>
      </x:c>
      <x:c r="G102" s="133" t="n">
        <x:v>0</x:v>
      </x:c>
      <x:c r="H102" s="133" t="n">
        <x:v>0</x:v>
      </x:c>
      <x:c r="I102" s="133" t="n">
        <x:v>0</x:v>
      </x:c>
      <x:c r="J102" s="133" t="n">
        <x:v>1</x:v>
      </x:c>
      <x:c r="K102" s="133" t="n">
        <x:f>SUM(E102:J102)</x:f>
        <x:v>1</x:v>
      </x:c>
      <x:c r="L102" s="205" t="n">
        <x:f>IFERROR(K102/D102,0)</x:f>
        <x:v>0.17146776406035666</x:v>
      </x:c>
      <x:c r="M102" s="160" t="str">
        <x:v>Presence-floor proxy only — 10k+ municipality completion</x:v>
      </x:c>
      <x:c r="N102" s="160" t="str">
        <x:v>Added under the &gt;=50k-county expansion rule: Census Vintage 2025 municipality population &gt;=10,000; general-purpose city-equivalent municipality; direct Census adjacency. Presence-floor proxy only — exact tracked-chain count requires municipal-boundary/GIS verification.</x:v>
      </x:c>
      <x:c r="O102" s="160" t="str">
        <x:v>Delaware County</x:v>
      </x:c>
    </x:row>
    <x:row r="103">
      <x:c r="A103" s="28" t="n">
        <x:v>103</x:v>
      </x:c>
      <x:c r="B103" s="28" t="str">
        <x:v>Eatontown Borough</x:v>
      </x:c>
      <x:c r="C103" s="28" t="str">
        <x:v>NJ</x:v>
      </x:c>
      <x:c r="D103" s="204" t="n">
        <x:v>5.841</x:v>
      </x:c>
      <x:c r="E103" s="133" t="n">
        <x:v>0</x:v>
      </x:c>
      <x:c r="F103" s="133" t="n">
        <x:v>0</x:v>
      </x:c>
      <x:c r="G103" s="133" t="n">
        <x:v>0</x:v>
      </x:c>
      <x:c r="H103" s="133" t="n">
        <x:v>0</x:v>
      </x:c>
      <x:c r="I103" s="133" t="n">
        <x:v>0</x:v>
      </x:c>
      <x:c r="J103" s="133" t="n">
        <x:v>1</x:v>
      </x:c>
      <x:c r="K103" s="133" t="n">
        <x:f>SUM(E103:J103)</x:f>
        <x:v>1</x:v>
      </x:c>
      <x:c r="L103" s="205" t="n">
        <x:f>IFERROR(K103/D103,0)</x:f>
        <x:v>0.1712035610340695</x:v>
      </x:c>
      <x:c r="M103" s="160" t="str">
        <x:v>Presence-floor proxy only — 10k+ municipality completion</x:v>
      </x:c>
      <x:c r="N10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03" s="160" t="str">
        <x:v>Monmouth County</x:v>
      </x:c>
    </x:row>
    <x:row r="104">
      <x:c r="A104" s="28" t="n">
        <x:v>104</x:v>
      </x:c>
      <x:c r="B104" s="28" t="str">
        <x:v>Aston Township</x:v>
      </x:c>
      <x:c r="C104" s="28" t="str">
        <x:v>PA</x:v>
      </x:c>
      <x:c r="D104" s="204" t="n">
        <x:v>5.841</x:v>
      </x:c>
      <x:c r="E104" s="133" t="n">
        <x:v>0</x:v>
      </x:c>
      <x:c r="F104" s="133" t="n">
        <x:v>0</x:v>
      </x:c>
      <x:c r="G104" s="133" t="n">
        <x:v>0</x:v>
      </x:c>
      <x:c r="H104" s="133" t="n">
        <x:v>0</x:v>
      </x:c>
      <x:c r="I104" s="133" t="n">
        <x:v>0</x:v>
      </x:c>
      <x:c r="J104" s="133" t="n">
        <x:v>1</x:v>
      </x:c>
      <x:c r="K104" s="133" t="n">
        <x:f>SUM(E104:J104)</x:f>
        <x:v>1</x:v>
      </x:c>
      <x:c r="L104" s="205" t="n">
        <x:f>IFERROR(K104/D104,0)</x:f>
        <x:v>0.1712035610340695</x:v>
      </x:c>
      <x:c r="M104" s="160" t="str">
        <x:v>Presence-floor proxy only — 10k+ municipality completion</x:v>
      </x:c>
      <x:c r="N104" s="160" t="str">
        <x:v>Added under the 10k+ city-equivalent municipality rule: Census Vintage 2025 population &gt;=10,000; county population &gt;=500,000. Presence-floor proxy only — exact tracked-chain count requires municipal-boundary/GIS verification.</x:v>
      </x:c>
      <x:c r="O104" s="160" t="str">
        <x:v>Delaware County</x:v>
      </x:c>
    </x:row>
    <x:row r="105">
      <x:c r="A105" s="28" t="n">
        <x:v>105</x:v>
      </x:c>
      <x:c r="B105" s="28" t="str">
        <x:v>San Francisco</x:v>
      </x:c>
      <x:c r="C105" s="28" t="str">
        <x:v>CA</x:v>
      </x:c>
      <x:c r="D105" s="204" t="n">
        <x:v>46.873</x:v>
      </x:c>
      <x:c r="E105" s="133" t="n">
        <x:v>8</x:v>
      </x:c>
      <x:c r="F105" s="133" t="n">
        <x:v>0</x:v>
      </x:c>
      <x:c r="G105" s="133" t="n">
        <x:v>0</x:v>
      </x:c>
      <x:c r="H105" s="133" t="n">
        <x:v>0</x:v>
      </x:c>
      <x:c r="I105" s="133" t="n">
        <x:v>0</x:v>
      </x:c>
      <x:c r="J105" s="133" t="n">
        <x:v>0</x:v>
      </x:c>
      <x:c r="K105" s="133" t="n">
        <x:f>SUM(E105:J105)</x:f>
        <x:v>8</x:v>
      </x:c>
      <x:c r="L105" s="205" t="n">
        <x:f>IFERROR(K105/D105,0)</x:f>
        <x:v>0.17067394875514688</x:v>
      </x:c>
      <x:c r="M105" s="160" t="str">
        <x:v>Confirmed lower bound</x:v>
      </x:c>
      <x:c r="N105" s="160" t="str">
        <x:v>Verified public-directory count for ≥1 major chain; other selected chains and 5-mile spillover omitted.</x:v>
      </x:c>
      <x:c r="O105" s="160" t="str">
        <x:v>San Francisco County</x:v>
      </x:c>
    </x:row>
    <x:row r="106">
      <x:c r="A106" s="28" t="n">
        <x:v>106</x:v>
      </x:c>
      <x:c r="B106" s="28" t="str">
        <x:v>Havre de Grace City</x:v>
      </x:c>
      <x:c r="C106" s="28" t="str">
        <x:v>MD</x:v>
      </x:c>
      <x:c r="D106" s="204" t="n">
        <x:v>5.86</x:v>
      </x:c>
      <x:c r="E106" s="133" t="n">
        <x:v>0</x:v>
      </x:c>
      <x:c r="F106" s="133" t="n">
        <x:v>0</x:v>
      </x:c>
      <x:c r="G106" s="133" t="n">
        <x:v>0</x:v>
      </x:c>
      <x:c r="H106" s="133" t="n">
        <x:v>0</x:v>
      </x:c>
      <x:c r="I106" s="133" t="n">
        <x:v>0</x:v>
      </x:c>
      <x:c r="J106" s="133" t="n">
        <x:v>1</x:v>
      </x:c>
      <x:c r="K106" s="133" t="n">
        <x:f>SUM(E106:J106)</x:f>
        <x:v>1</x:v>
      </x:c>
      <x:c r="L106" s="205" t="n">
        <x:f>IFERROR(K106/D106,0)</x:f>
        <x:v>0.1706484641638225</x:v>
      </x:c>
      <x:c r="M106" s="160" t="str">
        <x:v>Presence-floor proxy only — 10k+ municipality completion</x:v>
      </x:c>
      <x:c r="N106"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Bel Air is addressed in Abingdon and remains county-level evidence only.</x:v>
      </x:c>
      <x:c r="O106" s="160" t="str">
        <x:v>Harford County</x:v>
      </x:c>
    </x:row>
    <x:row r="107">
      <x:c r="A107" s="28" t="n">
        <x:v>107</x:v>
      </x:c>
      <x:c r="B107" s="28" t="str">
        <x:v>Cicero</x:v>
      </x:c>
      <x:c r="C107" s="28" t="str">
        <x:v>IL</x:v>
      </x:c>
      <x:c r="D107" s="204" t="n">
        <x:v>5.865</x:v>
      </x:c>
      <x:c r="E107" s="133" t="n">
        <x:v>0</x:v>
      </x:c>
      <x:c r="F107" s="133" t="n">
        <x:v>0</x:v>
      </x:c>
      <x:c r="G107" s="133" t="n">
        <x:v>0</x:v>
      </x:c>
      <x:c r="H107" s="133" t="n">
        <x:v>0</x:v>
      </x:c>
      <x:c r="I107" s="133" t="n">
        <x:v>0</x:v>
      </x:c>
      <x:c r="J107" s="133" t="n">
        <x:v>1</x:v>
      </x:c>
      <x:c r="K107" s="133" t="n">
        <x:f>SUM(E107:J107)</x:f>
        <x:v>1</x:v>
      </x:c>
      <x:c r="L107" s="205" t="n">
        <x:f>IFERROR(K107/D107,0)</x:f>
        <x:v>0.17050298380221654</x:v>
      </x:c>
      <x:c r="M107" s="160" t="str">
        <x:v>Presence-floor proxy only — 50k+ county completion</x:v>
      </x:c>
      <x:c r="N107" s="160" t="str">
        <x:v>Added to complete ≥50,000-population incorporated-place coverage in counties ranked 6–10 by store count under the same Census Vintage 2025 screen. One-store screening floor only; exact selected-chain count and 5-mile buffer require GIS verification.</x:v>
      </x:c>
      <x:c r="O107" s="160" t="str">
        <x:v>Cook County</x:v>
      </x:c>
    </x:row>
    <x:row r="108">
      <x:c r="A108" s="28" t="n">
        <x:v>108</x:v>
      </x:c>
      <x:c r="B108" s="28" t="str">
        <x:v>West Norriton Township</x:v>
      </x:c>
      <x:c r="C108" s="28" t="str">
        <x:v>PA</x:v>
      </x:c>
      <x:c r="D108" s="204" t="n">
        <x:v>5.89</x:v>
      </x:c>
      <x:c r="E108" s="133" t="n">
        <x:v>0</x:v>
      </x:c>
      <x:c r="F108" s="133" t="n">
        <x:v>0</x:v>
      </x:c>
      <x:c r="G108" s="133" t="n">
        <x:v>0</x:v>
      </x:c>
      <x:c r="H108" s="133" t="n">
        <x:v>0</x:v>
      </x:c>
      <x:c r="I108" s="133" t="n">
        <x:v>0</x:v>
      </x:c>
      <x:c r="J108" s="133" t="n">
        <x:v>1</x:v>
      </x:c>
      <x:c r="K108" s="133" t="n">
        <x:f>SUM(E108:J108)</x:f>
        <x:v>1</x:v>
      </x:c>
      <x:c r="L108" s="205" t="n">
        <x:f>IFERROR(K108/D108,0)</x:f>
        <x:v>0.16977928692699493</x:v>
      </x:c>
      <x:c r="M108" s="160" t="str">
        <x:v>Presence-floor proxy only — 10k+ municipality completion</x:v>
      </x:c>
      <x:c r="N10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08" s="160" t="str">
        <x:v>Montgomery County</x:v>
      </x:c>
    </x:row>
    <x:row r="109">
      <x:c r="A109" s="28" t="n">
        <x:v>109</x:v>
      </x:c>
      <x:c r="B109" s="28" t="str">
        <x:v>Hazleton City</x:v>
      </x:c>
      <x:c r="C109" s="28" t="str">
        <x:v>PA</x:v>
      </x:c>
      <x:c r="D109" s="204" t="n">
        <x:v>5.972</x:v>
      </x:c>
      <x:c r="E109" s="133" t="n">
        <x:v>0</x:v>
      </x:c>
      <x:c r="F109" s="133" t="n">
        <x:v>0</x:v>
      </x:c>
      <x:c r="G109" s="133" t="n">
        <x:v>0</x:v>
      </x:c>
      <x:c r="H109" s="133" t="n">
        <x:v>0</x:v>
      </x:c>
      <x:c r="I109" s="133" t="n">
        <x:v>0</x:v>
      </x:c>
      <x:c r="J109" s="133" t="n">
        <x:v>1</x:v>
      </x:c>
      <x:c r="K109" s="133" t="n">
        <x:f>SUM(E109:J109)</x:f>
        <x:v>1</x:v>
      </x:c>
      <x:c r="L109" s="205" t="n">
        <x:f>IFERROR(K109/D109,0)</x:f>
        <x:v>0.16744809109176154</x:v>
      </x:c>
      <x:c r="M109" s="160" t="str">
        <x:v>Presence-floor proxy only — 10k+ municipality completion</x:v>
      </x:c>
      <x:c r="N109"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109" s="160" t="str">
        <x:v>Luzerne County</x:v>
      </x:c>
    </x:row>
    <x:row r="110">
      <x:c r="A110" s="28" t="n">
        <x:v>110</x:v>
      </x:c>
      <x:c r="B110" s="28" t="str">
        <x:v>Teaneck Township</x:v>
      </x:c>
      <x:c r="C110" s="28" t="str">
        <x:v>NJ</x:v>
      </x:c>
      <x:c r="D110" s="204" t="n">
        <x:v>6.041</x:v>
      </x:c>
      <x:c r="E110" s="133" t="n">
        <x:v>0</x:v>
      </x:c>
      <x:c r="F110" s="133" t="n">
        <x:v>0</x:v>
      </x:c>
      <x:c r="G110" s="133" t="n">
        <x:v>0</x:v>
      </x:c>
      <x:c r="H110" s="133" t="n">
        <x:v>0</x:v>
      </x:c>
      <x:c r="I110" s="133" t="n">
        <x:v>0</x:v>
      </x:c>
      <x:c r="J110" s="133" t="n">
        <x:v>1</x:v>
      </x:c>
      <x:c r="K110" s="133" t="n">
        <x:f>SUM(E110:J110)</x:f>
        <x:v>1</x:v>
      </x:c>
      <x:c r="L110" s="205" t="n">
        <x:f>IFERROR(K110/D110,0)</x:f>
        <x:v>0.16553550736633008</x:v>
      </x:c>
      <x:c r="M110" s="160" t="str">
        <x:v>Presence-floor proxy only — 10k+ municipality completion</x:v>
      </x:c>
      <x:c r="N11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10" s="160" t="str">
        <x:v>Bergen County</x:v>
      </x:c>
    </x:row>
    <x:row r="111">
      <x:c r="A111" s="28" t="n">
        <x:v>111</x:v>
      </x:c>
      <x:c r="B111" s="28" t="str">
        <x:v>East Norriton Township</x:v>
      </x:c>
      <x:c r="C111" s="28" t="str">
        <x:v>PA</x:v>
      </x:c>
      <x:c r="D111" s="204" t="n">
        <x:v>6.056</x:v>
      </x:c>
      <x:c r="E111" s="133" t="n">
        <x:v>0</x:v>
      </x:c>
      <x:c r="F111" s="133" t="n">
        <x:v>0</x:v>
      </x:c>
      <x:c r="G111" s="133" t="n">
        <x:v>0</x:v>
      </x:c>
      <x:c r="H111" s="133" t="n">
        <x:v>0</x:v>
      </x:c>
      <x:c r="I111" s="133" t="n">
        <x:v>0</x:v>
      </x:c>
      <x:c r="J111" s="133" t="n">
        <x:v>1</x:v>
      </x:c>
      <x:c r="K111" s="133" t="n">
        <x:f>SUM(E111:J111)</x:f>
        <x:v>1</x:v>
      </x:c>
      <x:c r="L111" s="205" t="n">
        <x:f>IFERROR(K111/D111,0)</x:f>
        <x:v>0.16512549537648613</x:v>
      </x:c>
      <x:c r="M111" s="160" t="str">
        <x:v>Presence-floor proxy only — 10k+ municipality completion</x:v>
      </x:c>
      <x:c r="N11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11" s="160" t="str">
        <x:v>Montgomery County</x:v>
      </x:c>
    </x:row>
    <x:row r="112">
      <x:c r="A112" s="28" t="n">
        <x:v>112</x:v>
      </x:c>
      <x:c r="B112" s="28" t="str">
        <x:v>Hawthorne</x:v>
      </x:c>
      <x:c r="C112" s="28" t="str">
        <x:v>CA</x:v>
      </x:c>
      <x:c r="D112" s="204" t="n">
        <x:v>6.087</x:v>
      </x:c>
      <x:c r="E112" s="133" t="n">
        <x:v>0</x:v>
      </x:c>
      <x:c r="F112" s="133" t="n">
        <x:v>0</x:v>
      </x:c>
      <x:c r="G112" s="133" t="n">
        <x:v>0</x:v>
      </x:c>
      <x:c r="H112" s="133" t="n">
        <x:v>0</x:v>
      </x:c>
      <x:c r="I112" s="133" t="n">
        <x:v>0</x:v>
      </x:c>
      <x:c r="J112" s="133" t="n">
        <x:v>1</x:v>
      </x:c>
      <x:c r="K112" s="133" t="n">
        <x:f>SUM(E112:J112)</x:f>
        <x:v>1</x:v>
      </x:c>
      <x:c r="L112" s="205" t="n">
        <x:f>IFERROR(K112/D112,0)</x:f>
        <x:v>0.1642845408247084</x:v>
      </x:c>
      <x:c r="M112" s="160" t="str">
        <x:v>Presence-floor proxy only — 50k+ county completion</x:v>
      </x:c>
      <x:c r="N112" s="160" t="str">
        <x:v>Added to complete ≥50,000-population incorporated-place coverage in a top-5 store-count county using Census Vintage 2025 eligibility. One-store screening floor only; exact selected-chain count and 5-mile buffer require GIS verification.</x:v>
      </x:c>
      <x:c r="O112" s="160" t="str">
        <x:v>Los Angeles County</x:v>
      </x:c>
    </x:row>
    <x:row r="113">
      <x:c r="A113" s="28" t="n">
        <x:v>113</x:v>
      </x:c>
      <x:c r="B113" s="28" t="str">
        <x:v>Bellflower</x:v>
      </x:c>
      <x:c r="C113" s="28" t="str">
        <x:v>CA</x:v>
      </x:c>
      <x:c r="D113" s="204" t="n">
        <x:v>6.117</x:v>
      </x:c>
      <x:c r="E113" s="133" t="n">
        <x:v>0</x:v>
      </x:c>
      <x:c r="F113" s="133" t="n">
        <x:v>0</x:v>
      </x:c>
      <x:c r="G113" s="133" t="n">
        <x:v>0</x:v>
      </x:c>
      <x:c r="H113" s="133" t="n">
        <x:v>0</x:v>
      </x:c>
      <x:c r="I113" s="133" t="n">
        <x:v>0</x:v>
      </x:c>
      <x:c r="J113" s="133" t="n">
        <x:v>1</x:v>
      </x:c>
      <x:c r="K113" s="133" t="n">
        <x:f>SUM(E113:J113)</x:f>
        <x:v>1</x:v>
      </x:c>
      <x:c r="L113" s="205" t="n">
        <x:f>IFERROR(K113/D113,0)</x:f>
        <x:v>0.16347882949158085</x:v>
      </x:c>
      <x:c r="M113" s="160" t="str">
        <x:v>Presence-floor proxy only — 50k+ county completion</x:v>
      </x:c>
      <x:c r="N113" s="160" t="str">
        <x:v>Added to complete ≥50,000-population incorporated-place coverage in a top-5 store-count county using Census Vintage 2025 eligibility. One-store screening floor only; exact selected-chain count and 5-mile buffer require GIS verification.</x:v>
      </x:c>
      <x:c r="O113" s="160" t="str">
        <x:v>Los Angeles County</x:v>
      </x:c>
    </x:row>
    <x:row r="114">
      <x:c r="A114" s="28" t="n">
        <x:v>114</x:v>
      </x:c>
      <x:c r="B114" s="28" t="str">
        <x:v>Warren Town</x:v>
      </x:c>
      <x:c r="C114" s="28" t="str">
        <x:v>RI</x:v>
      </x:c>
      <x:c r="D114" s="204" t="n">
        <x:v>6.158</x:v>
      </x:c>
      <x:c r="E114" s="133" t="n">
        <x:v>0</x:v>
      </x:c>
      <x:c r="F114" s="133" t="n">
        <x:v>0</x:v>
      </x:c>
      <x:c r="G114" s="133" t="n">
        <x:v>0</x:v>
      </x:c>
      <x:c r="H114" s="133" t="n">
        <x:v>0</x:v>
      </x:c>
      <x:c r="I114" s="133" t="n">
        <x:v>0</x:v>
      </x:c>
      <x:c r="J114" s="133" t="n">
        <x:v>1</x:v>
      </x:c>
      <x:c r="K114" s="133" t="n">
        <x:f>SUM(E114:J114)</x:f>
        <x:v>1</x:v>
      </x:c>
      <x:c r="L114" s="205" t="n">
        <x:f>IFERROR(K114/D114,0)</x:f>
        <x:v>0.16239038648911983</x:v>
      </x:c>
      <x:c r="M114" s="160" t="str">
        <x:v>Presence-floor proxy only — 10k+ municipality completion</x:v>
      </x:c>
      <x:c r="N114" s="160" t="str">
        <x:v>Added under the &gt;=50k-county expansion rule: Census Vintage 2025 municipality population &gt;=10,000; general-purpose city-equivalent municipality; direct Census adjacency. Presence-floor proxy only — exact tracked-chain count requires municipal-boundary/GIS verification. Bristol County is a threshold-edge county at V2025 population 50,001; all three towns exceed 10,000.</x:v>
      </x:c>
      <x:c r="O114" s="160" t="str">
        <x:v>Bristol County</x:v>
      </x:c>
    </x:row>
    <x:row r="115">
      <x:c r="A115" s="28" t="n">
        <x:v>115</x:v>
      </x:c>
      <x:c r="B115" s="28" t="str">
        <x:v>Redondo Beach</x:v>
      </x:c>
      <x:c r="C115" s="28" t="str">
        <x:v>CA</x:v>
      </x:c>
      <x:c r="D115" s="204" t="n">
        <x:v>6.198</x:v>
      </x:c>
      <x:c r="E115" s="133" t="n">
        <x:v>0</x:v>
      </x:c>
      <x:c r="F115" s="133" t="n">
        <x:v>0</x:v>
      </x:c>
      <x:c r="G115" s="133" t="n">
        <x:v>0</x:v>
      </x:c>
      <x:c r="H115" s="133" t="n">
        <x:v>0</x:v>
      </x:c>
      <x:c r="I115" s="133" t="n">
        <x:v>0</x:v>
      </x:c>
      <x:c r="J115" s="133" t="n">
        <x:v>1</x:v>
      </x:c>
      <x:c r="K115" s="133" t="n">
        <x:f>SUM(E115:J115)</x:f>
        <x:v>1</x:v>
      </x:c>
      <x:c r="L115" s="205" t="n">
        <x:f>IFERROR(K115/D115,0)</x:f>
        <x:v>0.16134236850596967</x:v>
      </x:c>
      <x:c r="M115" s="160" t="str">
        <x:v>Presence-floor proxy only — 50k+ county completion</x:v>
      </x:c>
      <x:c r="N115" s="160" t="str">
        <x:v>Added to complete ≥50,000-population incorporated-place coverage in a top-5 store-count county using Census Vintage 2025 eligibility. One-store screening floor only; exact selected-chain count and 5-mile buffer require GIS verification.</x:v>
      </x:c>
      <x:c r="O115" s="160" t="str">
        <x:v>Los Angeles County</x:v>
      </x:c>
    </x:row>
    <x:row r="116">
      <x:c r="A116" s="28" t="n">
        <x:v>116</x:v>
      </x:c>
      <x:c r="B116" s="28" t="str">
        <x:v>Cambridge</x:v>
      </x:c>
      <x:c r="C116" s="28" t="str">
        <x:v>MA</x:v>
      </x:c>
      <x:c r="D116" s="204" t="n">
        <x:v>6.39</x:v>
      </x:c>
      <x:c r="E116" s="133" t="n">
        <x:v>0</x:v>
      </x:c>
      <x:c r="F116" s="133" t="n">
        <x:v>0</x:v>
      </x:c>
      <x:c r="G116" s="133" t="n">
        <x:v>0</x:v>
      </x:c>
      <x:c r="H116" s="133" t="n">
        <x:v>0</x:v>
      </x:c>
      <x:c r="I116" s="133" t="n">
        <x:v>0</x:v>
      </x:c>
      <x:c r="J116" s="133" t="n">
        <x:v>1</x:v>
      </x:c>
      <x:c r="K116" s="133" t="n">
        <x:f>SUM(E116:J116)</x:f>
        <x:v>1</x:v>
      </x:c>
      <x:c r="L116" s="205" t="n">
        <x:f>IFERROR(K116/D116,0)</x:f>
        <x:v>0.1564945226917058</x:v>
      </x:c>
      <x:c r="M116" s="160" t="str">
        <x:v>Presence-floor proxy only</x:v>
      </x:c>
      <x:c r="N116" s="160" t="str">
        <x:v>One-store screening floor only; exact selected-chain count and 5-mile buffer require GIS verification.</x:v>
      </x:c>
      <x:c r="O116" s="160" t="str">
        <x:v>Middlesex County</x:v>
      </x:c>
    </x:row>
    <x:row r="117">
      <x:c r="A117" s="28" t="n">
        <x:v>117</x:v>
      </x:c>
      <x:c r="B117" s="28" t="str">
        <x:v>Lincoln Park Borough</x:v>
      </x:c>
      <x:c r="C117" s="28" t="str">
        <x:v>NJ</x:v>
      </x:c>
      <x:c r="D117" s="204" t="n">
        <x:v>6.398</x:v>
      </x:c>
      <x:c r="E117" s="133" t="n">
        <x:v>0</x:v>
      </x:c>
      <x:c r="F117" s="133" t="n">
        <x:v>0</x:v>
      </x:c>
      <x:c r="G117" s="133" t="n">
        <x:v>0</x:v>
      </x:c>
      <x:c r="H117" s="133" t="n">
        <x:v>0</x:v>
      </x:c>
      <x:c r="I117" s="133" t="n">
        <x:v>0</x:v>
      </x:c>
      <x:c r="J117" s="133" t="n">
        <x:v>1</x:v>
      </x:c>
      <x:c r="K117" s="133" t="n">
        <x:f>SUM(E117:J117)</x:f>
        <x:v>1</x:v>
      </x:c>
      <x:c r="L117" s="205" t="n">
        <x:f>IFERROR(K117/D117,0)</x:f>
        <x:v>0.15629884338855893</x:v>
      </x:c>
      <x:c r="M117" s="160" t="str">
        <x:v>Presence-floor proxy only — 10k+ municipality completion</x:v>
      </x:c>
      <x:c r="N11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17" s="160" t="str">
        <x:v>Morris County</x:v>
      </x:c>
    </x:row>
    <x:row r="118">
      <x:c r="A118" s="28" t="n">
        <x:v>118</x:v>
      </x:c>
      <x:c r="B118" s="28" t="str">
        <x:v>Eastlake City</x:v>
      </x:c>
      <x:c r="C118" s="28" t="str">
        <x:v>OH</x:v>
      </x:c>
      <x:c r="D118" s="204" t="n">
        <x:v>6.407</x:v>
      </x:c>
      <x:c r="E118" s="133" t="n">
        <x:v>0</x:v>
      </x:c>
      <x:c r="F118" s="133" t="n">
        <x:v>0</x:v>
      </x:c>
      <x:c r="G118" s="133" t="n">
        <x:v>0</x:v>
      </x:c>
      <x:c r="H118" s="133" t="n">
        <x:v>0</x:v>
      </x:c>
      <x:c r="I118" s="133" t="n">
        <x:v>0</x:v>
      </x:c>
      <x:c r="J118" s="133" t="n">
        <x:v>1</x:v>
      </x:c>
      <x:c r="K118" s="133" t="n">
        <x:f>SUM(E118:J118)</x:f>
        <x:v>1</x:v>
      </x:c>
      <x:c r="L118" s="205" t="n">
        <x:f>IFERROR(K118/D118,0)</x:f>
        <x:v>0.15607928827844544</x:v>
      </x:c>
      <x:c r="M118" s="160" t="str">
        <x:v>Presence-floor proxy only — 10k+ municipality completion</x:v>
      </x:c>
      <x:c r="N118"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118" s="160" t="str">
        <x:v>Lake County</x:v>
      </x:c>
    </x:row>
    <x:row r="119">
      <x:c r="A119" s="28" t="n">
        <x:v>119</x:v>
      </x:c>
      <x:c r="B119" s="28" t="str">
        <x:v>Smyrna town</x:v>
      </x:c>
      <x:c r="C119" s="28" t="str">
        <x:v>DE</x:v>
      </x:c>
      <x:c r="D119" s="204" t="n">
        <x:v>6.473</x:v>
      </x:c>
      <x:c r="E119" s="133" t="n">
        <x:v>0</x:v>
      </x:c>
      <x:c r="F119" s="133" t="n">
        <x:v>0</x:v>
      </x:c>
      <x:c r="G119" s="133" t="n">
        <x:v>0</x:v>
      </x:c>
      <x:c r="H119" s="133" t="n">
        <x:v>0</x:v>
      </x:c>
      <x:c r="I119" s="133" t="n">
        <x:v>0</x:v>
      </x:c>
      <x:c r="J119" s="133" t="n">
        <x:v>1</x:v>
      </x:c>
      <x:c r="K119" s="133" t="n">
        <x:f>SUM(E119:J119)</x:f>
        <x:v>1</x:v>
      </x:c>
      <x:c r="L119" s="205" t="n">
        <x:f>IFERROR(K119/D119,0)</x:f>
        <x:v>0.1544878727019929</x:v>
      </x:c>
      <x:c r="M119" s="160" t="str">
        <x:v>Presence-floor proxy only — 10k+ municipality completion</x:v>
      </x:c>
      <x:c r="N119" s="160" t="str">
        <x:v>Added under the &gt;=50k-county expansion rule: Census Vintage 2025 municipality population &gt;=10,000; general-purpose city-equivalent municipality; direct Census adjacency. Presence-floor proxy only — exact tracked-chain count requires municipal-boundary/GIS verification. Fifer's Farm Store and Delaware Department of Agriculture market listings provide Kent County specialty-food evidence. Smyrna town spans county boundaries and is canonically assigned to Kent County for this expansion.</x:v>
      </x:c>
      <x:c r="O119" s="160" t="str">
        <x:v>Kent County</x:v>
      </x:c>
    </x:row>
    <x:row r="120">
      <x:c r="A120" s="28" t="n">
        <x:v>120</x:v>
      </x:c>
      <x:c r="B120" s="28" t="str">
        <x:v>Wyckoff Township</x:v>
      </x:c>
      <x:c r="C120" s="28" t="str">
        <x:v>NJ</x:v>
      </x:c>
      <x:c r="D120" s="204" t="n">
        <x:v>6.591</x:v>
      </x:c>
      <x:c r="E120" s="133" t="n">
        <x:v>0</x:v>
      </x:c>
      <x:c r="F120" s="133" t="n">
        <x:v>0</x:v>
      </x:c>
      <x:c r="G120" s="133" t="n">
        <x:v>0</x:v>
      </x:c>
      <x:c r="H120" s="133" t="n">
        <x:v>0</x:v>
      </x:c>
      <x:c r="I120" s="133" t="n">
        <x:v>0</x:v>
      </x:c>
      <x:c r="J120" s="133" t="n">
        <x:v>1</x:v>
      </x:c>
      <x:c r="K120" s="133" t="n">
        <x:f>SUM(E120:J120)</x:f>
        <x:v>1</x:v>
      </x:c>
      <x:c r="L120" s="205" t="n">
        <x:f>IFERROR(K120/D120,0)</x:f>
        <x:v>0.15172204521316948</x:v>
      </x:c>
      <x:c r="M120" s="160" t="str">
        <x:v>Presence-floor proxy only — 10k+ municipality completion</x:v>
      </x:c>
      <x:c r="N12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20" s="160" t="str">
        <x:v>Bergen County</x:v>
      </x:c>
    </x:row>
    <x:row r="121">
      <x:c r="A121" s="28" t="n">
        <x:v>121</x:v>
      </x:c>
      <x:c r="B121" s="28" t="str">
        <x:v>Aberdeen City</x:v>
      </x:c>
      <x:c r="C121" s="28" t="str">
        <x:v>MD</x:v>
      </x:c>
      <x:c r="D121" s="204" t="n">
        <x:v>6.6</x:v>
      </x:c>
      <x:c r="E121" s="133" t="n">
        <x:v>0</x:v>
      </x:c>
      <x:c r="F121" s="133" t="n">
        <x:v>0</x:v>
      </x:c>
      <x:c r="G121" s="133" t="n">
        <x:v>0</x:v>
      </x:c>
      <x:c r="H121" s="133" t="n">
        <x:v>0</x:v>
      </x:c>
      <x:c r="I121" s="133" t="n">
        <x:v>0</x:v>
      </x:c>
      <x:c r="J121" s="133" t="n">
        <x:v>1</x:v>
      </x:c>
      <x:c r="K121" s="133" t="n">
        <x:f>SUM(E121:J121)</x:f>
        <x:v>1</x:v>
      </x:c>
      <x:c r="L121" s="205" t="n">
        <x:f>IFERROR(K121/D121,0)</x:f>
        <x:v>0.15151515151515152</x:v>
      </x:c>
      <x:c r="M121" s="160" t="str">
        <x:v>Presence-floor proxy only — 10k+ municipality completion</x:v>
      </x:c>
      <x:c r="N121"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Bel Air is addressed in Abingdon and remains county-level evidence only.</x:v>
      </x:c>
      <x:c r="O121" s="160" t="str">
        <x:v>Harford County</x:v>
      </x:c>
    </x:row>
    <x:row r="122">
      <x:c r="A122" s="28" t="n">
        <x:v>122</x:v>
      </x:c>
      <x:c r="B122" s="28" t="str">
        <x:v>Upper Southampton Township</x:v>
      </x:c>
      <x:c r="C122" s="28" t="str">
        <x:v>PA</x:v>
      </x:c>
      <x:c r="D122" s="204" t="n">
        <x:v>6.62</x:v>
      </x:c>
      <x:c r="E122" s="133" t="n">
        <x:v>0</x:v>
      </x:c>
      <x:c r="F122" s="133" t="n">
        <x:v>0</x:v>
      </x:c>
      <x:c r="G122" s="133" t="n">
        <x:v>0</x:v>
      </x:c>
      <x:c r="H122" s="133" t="n">
        <x:v>0</x:v>
      </x:c>
      <x:c r="I122" s="133" t="n">
        <x:v>0</x:v>
      </x:c>
      <x:c r="J122" s="133" t="n">
        <x:v>1</x:v>
      </x:c>
      <x:c r="K122" s="133" t="n">
        <x:f>SUM(E122:J122)</x:f>
        <x:v>1</x:v>
      </x:c>
      <x:c r="L122" s="205" t="n">
        <x:f>IFERROR(K122/D122,0)</x:f>
        <x:v>0.1510574018126888</x:v>
      </x:c>
      <x:c r="M122" s="160" t="str">
        <x:v>Presence-floor proxy only — 10k+ municipality completion</x:v>
      </x:c>
      <x:c r="N12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22" s="160" t="str">
        <x:v>Bucks County</x:v>
      </x:c>
    </x:row>
    <x:row r="123">
      <x:c r="A123" s="28" t="n">
        <x:v>123</x:v>
      </x:c>
      <x:c r="B123" s="28" t="str">
        <x:v>Placentia</x:v>
      </x:c>
      <x:c r="C123" s="28" t="str">
        <x:v>CA</x:v>
      </x:c>
      <x:c r="D123" s="204" t="n">
        <x:v>6.63</x:v>
      </x:c>
      <x:c r="E123" s="133" t="n">
        <x:v>0</x:v>
      </x:c>
      <x:c r="F123" s="133" t="n">
        <x:v>0</x:v>
      </x:c>
      <x:c r="G123" s="133" t="n">
        <x:v>0</x:v>
      </x:c>
      <x:c r="H123" s="133" t="n">
        <x:v>0</x:v>
      </x:c>
      <x:c r="I123" s="133" t="n">
        <x:v>0</x:v>
      </x:c>
      <x:c r="J123" s="133" t="n">
        <x:v>1</x:v>
      </x:c>
      <x:c r="K123" s="133" t="n">
        <x:f>SUM(E123:J123)</x:f>
        <x:v>1</x:v>
      </x:c>
      <x:c r="L123" s="205" t="n">
        <x:f>IFERROR(K123/D123,0)</x:f>
        <x:v>0.15082956259426847</x:v>
      </x:c>
      <x:c r="M123" s="160" t="str">
        <x:v>Presence-floor proxy only — 50k+ county completion</x:v>
      </x:c>
      <x:c r="N123"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123" s="160" t="str">
        <x:v>Orange County</x:v>
      </x:c>
    </x:row>
    <x:row r="124">
      <x:c r="A124" s="28" t="n">
        <x:v>124</x:v>
      </x:c>
      <x:c r="B124" s="28" t="str">
        <x:v>Delran Township</x:v>
      </x:c>
      <x:c r="C124" s="28" t="str">
        <x:v>NJ</x:v>
      </x:c>
      <x:c r="D124" s="204" t="n">
        <x:v>6.63</x:v>
      </x:c>
      <x:c r="E124" s="133" t="n">
        <x:v>0</x:v>
      </x:c>
      <x:c r="F124" s="133" t="n">
        <x:v>0</x:v>
      </x:c>
      <x:c r="G124" s="133" t="n">
        <x:v>0</x:v>
      </x:c>
      <x:c r="H124" s="133" t="n">
        <x:v>0</x:v>
      </x:c>
      <x:c r="I124" s="133" t="n">
        <x:v>0</x:v>
      </x:c>
      <x:c r="J124" s="133" t="n">
        <x:v>1</x:v>
      </x:c>
      <x:c r="K124" s="133" t="n">
        <x:f>SUM(E124:J124)</x:f>
        <x:v>1</x:v>
      </x:c>
      <x:c r="L124" s="205" t="n">
        <x:f>IFERROR(K124/D124,0)</x:f>
        <x:v>0.15082956259426847</x:v>
      </x:c>
      <x:c r="M124" s="160" t="str">
        <x:v>Presence-floor proxy only — 10k+ municipality completion</x:v>
      </x:c>
      <x:c r="N12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124" s="160" t="str">
        <x:v>Burlington County</x:v>
      </x:c>
    </x:row>
    <x:row r="125">
      <x:c r="A125" s="28" t="n">
        <x:v>125</x:v>
      </x:c>
      <x:c r="B125" s="28" t="str">
        <x:v>Baldwin Park</x:v>
      </x:c>
      <x:c r="C125" s="28" t="str">
        <x:v>CA</x:v>
      </x:c>
      <x:c r="D125" s="204" t="n">
        <x:v>6.632</x:v>
      </x:c>
      <x:c r="E125" s="133" t="n">
        <x:v>0</x:v>
      </x:c>
      <x:c r="F125" s="133" t="n">
        <x:v>0</x:v>
      </x:c>
      <x:c r="G125" s="133" t="n">
        <x:v>0</x:v>
      </x:c>
      <x:c r="H125" s="133" t="n">
        <x:v>0</x:v>
      </x:c>
      <x:c r="I125" s="133" t="n">
        <x:v>0</x:v>
      </x:c>
      <x:c r="J125" s="133" t="n">
        <x:v>1</x:v>
      </x:c>
      <x:c r="K125" s="133" t="n">
        <x:f>SUM(E125:J125)</x:f>
        <x:v>1</x:v>
      </x:c>
      <x:c r="L125" s="205" t="n">
        <x:f>IFERROR(K125/D125,0)</x:f>
        <x:v>0.15078407720144754</x:v>
      </x:c>
      <x:c r="M125" s="160" t="str">
        <x:v>Presence-floor proxy only — 50k+ county completion</x:v>
      </x:c>
      <x:c r="N125" s="160" t="str">
        <x:v>Added to complete ≥50,000-population incorporated-place coverage in a top-5 store-count county using Census Vintage 2025 eligibility. One-store screening floor only; exact selected-chain count and 5-mile buffer require GIS verification.</x:v>
      </x:c>
      <x:c r="O125" s="160" t="str">
        <x:v>Los Angeles County</x:v>
      </x:c>
    </x:row>
    <x:row r="126">
      <x:c r="A126" s="28" t="n">
        <x:v>126</x:v>
      </x:c>
      <x:c r="B126" s="28" t="str">
        <x:v>Glen Cove City</x:v>
      </x:c>
      <x:c r="C126" s="28" t="str">
        <x:v>NY</x:v>
      </x:c>
      <x:c r="D126" s="204" t="n">
        <x:v>6.658</x:v>
      </x:c>
      <x:c r="E126" s="133" t="n">
        <x:v>0</x:v>
      </x:c>
      <x:c r="F126" s="133" t="n">
        <x:v>0</x:v>
      </x:c>
      <x:c r="G126" s="133" t="n">
        <x:v>0</x:v>
      </x:c>
      <x:c r="H126" s="133" t="n">
        <x:v>0</x:v>
      </x:c>
      <x:c r="I126" s="133" t="n">
        <x:v>0</x:v>
      </x:c>
      <x:c r="J126" s="133" t="n">
        <x:v>1</x:v>
      </x:c>
      <x:c r="K126" s="133" t="n">
        <x:f>SUM(E126:J126)</x:f>
        <x:v>1</x:v>
      </x:c>
      <x:c r="L126" s="205" t="n">
        <x:f>IFERROR(K126/D126,0)</x:f>
        <x:v>0.15019525382997898</x:v>
      </x:c>
      <x:c r="M126" s="160" t="str">
        <x:v>Presence-floor proxy only — 10k+ municipality completion</x:v>
      </x:c>
      <x:c r="N126"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cities + towns avoids overlapping municipal units.</x:v>
      </x:c>
      <x:c r="O126" s="160" t="str">
        <x:v>Nassau County</x:v>
      </x:c>
    </x:row>
    <x:row r="127">
      <x:c r="A127" s="28" t="n">
        <x:v>127</x:v>
      </x:c>
      <x:c r="B127" s="28" t="str">
        <x:v>Lower Southampton Township</x:v>
      </x:c>
      <x:c r="C127" s="28" t="str">
        <x:v>PA</x:v>
      </x:c>
      <x:c r="D127" s="204" t="n">
        <x:v>6.676</x:v>
      </x:c>
      <x:c r="E127" s="133" t="n">
        <x:v>0</x:v>
      </x:c>
      <x:c r="F127" s="133" t="n">
        <x:v>0</x:v>
      </x:c>
      <x:c r="G127" s="133" t="n">
        <x:v>0</x:v>
      </x:c>
      <x:c r="H127" s="133" t="n">
        <x:v>0</x:v>
      </x:c>
      <x:c r="I127" s="133" t="n">
        <x:v>0</x:v>
      </x:c>
      <x:c r="J127" s="133" t="n">
        <x:v>1</x:v>
      </x:c>
      <x:c r="K127" s="133" t="n">
        <x:f>SUM(E127:J127)</x:f>
        <x:v>1</x:v>
      </x:c>
      <x:c r="L127" s="205" t="n">
        <x:f>IFERROR(K127/D127,0)</x:f>
        <x:v>0.14979029358897544</x:v>
      </x:c>
      <x:c r="M127" s="160" t="str">
        <x:v>Presence-floor proxy only — 10k+ municipality completion</x:v>
      </x:c>
      <x:c r="N12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27" s="160" t="str">
        <x:v>Bucks County</x:v>
      </x:c>
    </x:row>
    <x:row r="128">
      <x:c r="A128" s="28" t="n">
        <x:v>128</x:v>
      </x:c>
      <x:c r="B128" s="28" t="str">
        <x:v>Upper Chichester Township</x:v>
      </x:c>
      <x:c r="C128" s="28" t="str">
        <x:v>PA</x:v>
      </x:c>
      <x:c r="D128" s="204" t="n">
        <x:v>6.688</x:v>
      </x:c>
      <x:c r="E128" s="133" t="n">
        <x:v>0</x:v>
      </x:c>
      <x:c r="F128" s="133" t="n">
        <x:v>0</x:v>
      </x:c>
      <x:c r="G128" s="133" t="n">
        <x:v>0</x:v>
      </x:c>
      <x:c r="H128" s="133" t="n">
        <x:v>0</x:v>
      </x:c>
      <x:c r="I128" s="133" t="n">
        <x:v>0</x:v>
      </x:c>
      <x:c r="J128" s="133" t="n">
        <x:v>1</x:v>
      </x:c>
      <x:c r="K128" s="133" t="n">
        <x:f>SUM(E128:J128)</x:f>
        <x:v>1</x:v>
      </x:c>
      <x:c r="L128" s="205" t="n">
        <x:f>IFERROR(K128/D128,0)</x:f>
        <x:v>0.14952153110047847</x:v>
      </x:c>
      <x:c r="M128" s="160" t="str">
        <x:v>Presence-floor proxy only — 10k+ municipality completion</x:v>
      </x:c>
      <x:c r="N128" s="160" t="str">
        <x:v>Added under the 10k+ city-equivalent municipality rule: Census Vintage 2025 population &gt;=10,000; county population &gt;=500,000. Presence-floor proxy only — exact tracked-chain count requires municipal-boundary/GIS verification.</x:v>
      </x:c>
      <x:c r="O128" s="160" t="str">
        <x:v>Delaware County</x:v>
      </x:c>
    </x:row>
    <x:row r="129">
      <x:c r="A129" s="28" t="n">
        <x:v>129</x:v>
      </x:c>
      <x:c r="B129" s="28" t="str">
        <x:v>Spring Garden Township</x:v>
      </x:c>
      <x:c r="C129" s="28" t="str">
        <x:v>PA</x:v>
      </x:c>
      <x:c r="D129" s="204" t="n">
        <x:v>6.729</x:v>
      </x:c>
      <x:c r="E129" s="133" t="n">
        <x:v>0</x:v>
      </x:c>
      <x:c r="F129" s="133" t="n">
        <x:v>0</x:v>
      </x:c>
      <x:c r="G129" s="133" t="n">
        <x:v>0</x:v>
      </x:c>
      <x:c r="H129" s="133" t="n">
        <x:v>0</x:v>
      </x:c>
      <x:c r="I129" s="133" t="n">
        <x:v>0</x:v>
      </x:c>
      <x:c r="J129" s="133" t="n">
        <x:v>1</x:v>
      </x:c>
      <x:c r="K129" s="133" t="n">
        <x:f>SUM(E129:J129)</x:f>
        <x:v>1</x:v>
      </x:c>
      <x:c r="L129" s="205" t="n">
        <x:f>IFERROR(K129/D129,0)</x:f>
        <x:v>0.1486104919007282</x:v>
      </x:c>
      <x:c r="M129" s="160" t="str">
        <x:v>Presence-floor proxy only — 10k+ municipality completion</x:v>
      </x:c>
      <x:c r="N129"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129" s="160" t="str">
        <x:v>York County</x:v>
      </x:c>
    </x:row>
    <x:row r="130">
      <x:c r="A130" s="28" t="n">
        <x:v>130</x:v>
      </x:c>
      <x:c r="B130" s="28" t="str">
        <x:v>Springfield Township</x:v>
      </x:c>
      <x:c r="C130" s="28" t="str">
        <x:v>PA</x:v>
      </x:c>
      <x:c r="D130" s="204" t="n">
        <x:v>6.729</x:v>
      </x:c>
      <x:c r="E130" s="133" t="n">
        <x:v>0</x:v>
      </x:c>
      <x:c r="F130" s="133" t="n">
        <x:v>0</x:v>
      </x:c>
      <x:c r="G130" s="133" t="n">
        <x:v>0</x:v>
      </x:c>
      <x:c r="H130" s="133" t="n">
        <x:v>0</x:v>
      </x:c>
      <x:c r="I130" s="133" t="n">
        <x:v>0</x:v>
      </x:c>
      <x:c r="J130" s="133" t="n">
        <x:v>1</x:v>
      </x:c>
      <x:c r="K130" s="133" t="n">
        <x:f>SUM(E130:J130)</x:f>
        <x:v>1</x:v>
      </x:c>
      <x:c r="L130" s="205" t="n">
        <x:f>IFERROR(K130/D130,0)</x:f>
        <x:v>0.1486104919007282</x:v>
      </x:c>
      <x:c r="M130" s="160" t="str">
        <x:v>Presence-floor proxy only — 10k+ municipality completion</x:v>
      </x:c>
      <x:c r="N13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30" s="160" t="str">
        <x:v>Montgomery County</x:v>
      </x:c>
    </x:row>
    <x:row r="131">
      <x:c r="A131" s="28" t="n">
        <x:v>131</x:v>
      </x:c>
      <x:c r="B131" s="28" t="str">
        <x:v>Ocean City</x:v>
      </x:c>
      <x:c r="C131" s="28" t="str">
        <x:v>NJ</x:v>
      </x:c>
      <x:c r="D131" s="204" t="n">
        <x:v>6.758</x:v>
      </x:c>
      <x:c r="E131" s="133" t="n">
        <x:v>0</x:v>
      </x:c>
      <x:c r="F131" s="133" t="n">
        <x:v>0</x:v>
      </x:c>
      <x:c r="G131" s="133" t="n">
        <x:v>0</x:v>
      </x:c>
      <x:c r="H131" s="133" t="n">
        <x:v>0</x:v>
      </x:c>
      <x:c r="I131" s="133" t="n">
        <x:v>0</x:v>
      </x:c>
      <x:c r="J131" s="133" t="n">
        <x:v>1</x:v>
      </x:c>
      <x:c r="K131" s="133" t="n">
        <x:f>SUM(E131:J131)</x:f>
        <x:v>1</x:v>
      </x:c>
      <x:c r="L131" s="205" t="n">
        <x:f>IFERROR(K131/D131,0)</x:f>
        <x:v>0.1479727730097662</x:v>
      </x:c>
      <x:c r="M131" s="160" t="str">
        <x:v>Presence-floor proxy only — 10k+ municipality completion</x:v>
      </x:c>
      <x:c r="N131" s="160" t="str">
        <x:v>Added under the &gt;=50k-county expansion rule: Census Vintage 2025 municipality population &gt;=10,000; general-purpose city-equivalent municipality; direct Census adjacency. Presence-floor proxy only — exact tracked-chain count requires municipal-boundary/GIS verification. Upper Township is confirmed above 10,000 in Census V2025; Lower, Middle, and Ocean City also remain above the municipal screen.</x:v>
      </x:c>
      <x:c r="O131" s="160" t="str">
        <x:v>Cape May County</x:v>
      </x:c>
    </x:row>
    <x:row r="132">
      <x:c r="A132" s="28" t="n">
        <x:v>132</x:v>
      </x:c>
      <x:c r="B132" s="28" t="str">
        <x:v>Pequannock Township</x:v>
      </x:c>
      <x:c r="C132" s="28" t="str">
        <x:v>NJ</x:v>
      </x:c>
      <x:c r="D132" s="204" t="n">
        <x:v>6.773</x:v>
      </x:c>
      <x:c r="E132" s="133" t="n">
        <x:v>0</x:v>
      </x:c>
      <x:c r="F132" s="133" t="n">
        <x:v>0</x:v>
      </x:c>
      <x:c r="G132" s="133" t="n">
        <x:v>0</x:v>
      </x:c>
      <x:c r="H132" s="133" t="n">
        <x:v>0</x:v>
      </x:c>
      <x:c r="I132" s="133" t="n">
        <x:v>0</x:v>
      </x:c>
      <x:c r="J132" s="133" t="n">
        <x:v>1</x:v>
      </x:c>
      <x:c r="K132" s="133" t="n">
        <x:f>SUM(E132:J132)</x:f>
        <x:v>1</x:v>
      </x:c>
      <x:c r="L132" s="205" t="n">
        <x:f>IFERROR(K132/D132,0)</x:f>
        <x:v>0.14764506127270044</x:v>
      </x:c>
      <x:c r="M132" s="160" t="str">
        <x:v>Presence-floor proxy only — 10k+ municipality completion</x:v>
      </x:c>
      <x:c r="N13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32" s="160" t="str">
        <x:v>Morris County</x:v>
      </x:c>
    </x:row>
    <x:row r="133">
      <x:c r="A133" s="28" t="n">
        <x:v>133</x:v>
      </x:c>
      <x:c r="B133" s="28" t="str">
        <x:v>Painesville City</x:v>
      </x:c>
      <x:c r="C133" s="28" t="str">
        <x:v>OH</x:v>
      </x:c>
      <x:c r="D133" s="204" t="n">
        <x:v>6.825</x:v>
      </x:c>
      <x:c r="E133" s="133" t="n">
        <x:v>0</x:v>
      </x:c>
      <x:c r="F133" s="133" t="n">
        <x:v>0</x:v>
      </x:c>
      <x:c r="G133" s="133" t="n">
        <x:v>0</x:v>
      </x:c>
      <x:c r="H133" s="133" t="n">
        <x:v>0</x:v>
      </x:c>
      <x:c r="I133" s="133" t="n">
        <x:v>0</x:v>
      </x:c>
      <x:c r="J133" s="133" t="n">
        <x:v>1</x:v>
      </x:c>
      <x:c r="K133" s="133" t="n">
        <x:f>SUM(E133:J133)</x:f>
        <x:v>1</x:v>
      </x:c>
      <x:c r="L133" s="205" t="n">
        <x:f>IFERROR(K133/D133,0)</x:f>
        <x:v>0.14652014652014653</x:v>
      </x:c>
      <x:c r="M133" s="160" t="str">
        <x:v>Presence-floor proxy only — 10k+ municipality completion</x:v>
      </x:c>
      <x:c r="N133"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133" s="160" t="str">
        <x:v>Lake County</x:v>
      </x:c>
    </x:row>
    <x:row r="134">
      <x:c r="A134" s="28" t="n">
        <x:v>134</x:v>
      </x:c>
      <x:c r="B134" s="28" t="str">
        <x:v>Wilkes-Barre City</x:v>
      </x:c>
      <x:c r="C134" s="28" t="str">
        <x:v>PA</x:v>
      </x:c>
      <x:c r="D134" s="204" t="n">
        <x:v>6.848</x:v>
      </x:c>
      <x:c r="E134" s="133" t="n">
        <x:v>0</x:v>
      </x:c>
      <x:c r="F134" s="133" t="n">
        <x:v>0</x:v>
      </x:c>
      <x:c r="G134" s="133" t="n">
        <x:v>0</x:v>
      </x:c>
      <x:c r="H134" s="133" t="n">
        <x:v>0</x:v>
      </x:c>
      <x:c r="I134" s="133" t="n">
        <x:v>0</x:v>
      </x:c>
      <x:c r="J134" s="133" t="n">
        <x:v>1</x:v>
      </x:c>
      <x:c r="K134" s="133" t="n">
        <x:f>SUM(E134:J134)</x:f>
        <x:v>1</x:v>
      </x:c>
      <x:c r="L134" s="205" t="n">
        <x:f>IFERROR(K134/D134,0)</x:f>
        <x:v>0.14602803738317757</x:v>
      </x:c>
      <x:c r="M134" s="160" t="str">
        <x:v>Presence-floor proxy only — 10k+ municipality completion</x:v>
      </x:c>
      <x:c r="N134" s="160" t="str">
        <x:v>Added under the documented ≥300k county fallback: Census Vintage 2025 municipality population ≥10,000; general-purpose city-equivalent municipality; direct Census adjacency. Presence-floor proxy only — exact tracked-chain count requires municipal-boundary/GIS verification. Wegmans' official Wilkes-Barre store is used as county-level evidence only; the postal/store name is not treated as proof that the physical store lies inside the incorporated city boundary.</x:v>
      </x:c>
      <x:c r="O134" s="160" t="str">
        <x:v>Luzerne County</x:v>
      </x:c>
    </x:row>
    <x:row r="135">
      <x:c r="A135" s="28" t="n">
        <x:v>135</x:v>
      </x:c>
      <x:c r="B135" s="28" t="str">
        <x:v>Lawrence</x:v>
      </x:c>
      <x:c r="C135" s="28" t="str">
        <x:v>MA</x:v>
      </x:c>
      <x:c r="D135" s="204" t="n">
        <x:v>6.93</x:v>
      </x:c>
      <x:c r="E135" s="133" t="n">
        <x:v>0</x:v>
      </x:c>
      <x:c r="F135" s="133" t="n">
        <x:v>0</x:v>
      </x:c>
      <x:c r="G135" s="133" t="n">
        <x:v>0</x:v>
      </x:c>
      <x:c r="H135" s="133" t="n">
        <x:v>0</x:v>
      </x:c>
      <x:c r="I135" s="133" t="n">
        <x:v>0</x:v>
      </x:c>
      <x:c r="J135" s="133" t="n">
        <x:v>1</x:v>
      </x:c>
      <x:c r="K135" s="133" t="n">
        <x:f>SUM(E135:J135)</x:f>
        <x:v>1</x:v>
      </x:c>
      <x:c r="L135" s="205" t="n">
        <x:f>IFERROR(K135/D135,0)</x:f>
        <x:v>0.14430014430014432</x:v>
      </x:c>
      <x:c r="M135" s="160" t="str">
        <x:v>Presence-floor proxy only — restricted-state adjacency expansion</x:v>
      </x:c>
      <x:c r="N135" s="160" t="str">
        <x:v>Census V2025 population 89,320. Added to complete ≥50,000 city coverage in Essex County; one-store screening floor.</x:v>
      </x:c>
      <x:c r="O135" s="160" t="str">
        <x:v>Essex County</x:v>
      </x:c>
    </x:row>
    <x:row r="136">
      <x:c r="A136" s="28" t="n">
        <x:v>136</x:v>
      </x:c>
      <x:c r="B136" s="28" t="str">
        <x:v>Chambersburg borough</x:v>
      </x:c>
      <x:c r="C136" s="28" t="str">
        <x:v>PA</x:v>
      </x:c>
      <x:c r="D136" s="204" t="n">
        <x:v>6.93</x:v>
      </x:c>
      <x:c r="E136" s="133" t="n">
        <x:v>0</x:v>
      </x:c>
      <x:c r="F136" s="133" t="n">
        <x:v>0</x:v>
      </x:c>
      <x:c r="G136" s="133" t="n">
        <x:v>0</x:v>
      </x:c>
      <x:c r="H136" s="133" t="n">
        <x:v>0</x:v>
      </x:c>
      <x:c r="I136" s="133" t="n">
        <x:v>0</x:v>
      </x:c>
      <x:c r="J136" s="133" t="n">
        <x:v>1</x:v>
      </x:c>
      <x:c r="K136" s="133" t="n">
        <x:f>SUM(E136:J136)</x:f>
        <x:v>1</x:v>
      </x:c>
      <x:c r="L136" s="205" t="n">
        <x:f>IFERROR(K136/D136,0)</x:f>
        <x:v>0.14430014430014432</x:v>
      </x:c>
      <x:c r="M136" s="160" t="str">
        <x:v>Presence-floor proxy only — 10k+ municipality completion</x:v>
      </x:c>
      <x:c r="N136"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136" s="160" t="str">
        <x:v>Franklin County</x:v>
      </x:c>
    </x:row>
    <x:row r="137">
      <x:c r="A137" s="28" t="n">
        <x:v>137</x:v>
      </x:c>
      <x:c r="B137" s="28" t="str">
        <x:v>Annapolis City</x:v>
      </x:c>
      <x:c r="C137" s="28" t="str">
        <x:v>MD</x:v>
      </x:c>
      <x:c r="D137" s="204" t="n">
        <x:v>7.21</x:v>
      </x:c>
      <x:c r="E137" s="133" t="n">
        <x:v>0</x:v>
      </x:c>
      <x:c r="F137" s="133" t="n">
        <x:v>0</x:v>
      </x:c>
      <x:c r="G137" s="133" t="n">
        <x:v>0</x:v>
      </x:c>
      <x:c r="H137" s="133" t="n">
        <x:v>0</x:v>
      </x:c>
      <x:c r="I137" s="133" t="n">
        <x:v>0</x:v>
      </x:c>
      <x:c r="J137" s="133" t="n">
        <x:v>1</x:v>
      </x:c>
      <x:c r="K137" s="133" t="n">
        <x:f>SUM(E137:J137)</x:f>
        <x:v>1</x:v>
      </x:c>
      <x:c r="L137" s="205" t="n">
        <x:f>IFERROR(K137/D137,0)</x:f>
        <x:v>0.13869625520110956</x:v>
      </x:c>
      <x:c r="M137" s="160" t="str">
        <x:v>Presence-floor proxy only — 10k+ municipality completion</x:v>
      </x:c>
      <x:c r="N137" s="160" t="str">
        <x:v>Added under the 10k+ city-equivalent municipality rule: Census Vintage 2025 population &gt;=10,000; county population &gt;=500,000. Presence-floor proxy only — exact tracked-chain count requires municipal-boundary/GIS verification. Whole Foods has an Annapolis-branded store, but postal/store branding is not treated as proof of incorporated-city boundary membership.</x:v>
      </x:c>
      <x:c r="O137" s="160" t="str">
        <x:v>Anne Arundel County</x:v>
      </x:c>
    </x:row>
    <x:row r="138">
      <x:c r="A138" s="28" t="n">
        <x:v>138</x:v>
      </x:c>
      <x:c r="B138" s="28" t="str">
        <x:v>Lancaster</x:v>
      </x:c>
      <x:c r="C138" s="28" t="str">
        <x:v>PA</x:v>
      </x:c>
      <x:c r="D138" s="204" t="n">
        <x:v>7.23</x:v>
      </x:c>
      <x:c r="E138" s="133" t="n">
        <x:v>0</x:v>
      </x:c>
      <x:c r="F138" s="133" t="n">
        <x:v>0</x:v>
      </x:c>
      <x:c r="G138" s="133" t="n">
        <x:v>0</x:v>
      </x:c>
      <x:c r="H138" s="133" t="n">
        <x:v>0</x:v>
      </x:c>
      <x:c r="I138" s="133" t="n">
        <x:v>0</x:v>
      </x:c>
      <x:c r="J138" s="133" t="n">
        <x:v>1</x:v>
      </x:c>
      <x:c r="K138" s="133" t="n">
        <x:f>SUM(E138:J138)</x:f>
        <x:v>1</x:v>
      </x:c>
      <x:c r="L138" s="205" t="n">
        <x:f>IFERROR(K138/D138,0)</x:f>
        <x:v>0.1383125864453665</x:v>
      </x:c>
      <x:c r="M138" s="160" t="str">
        <x:v>Presence-floor proxy only — restricted-state adjacency expansion</x:v>
      </x:c>
      <x:c r="N138" s="160" t="str">
        <x:v>Census V2025 population 58,366. Added for Lancaster County completion; county has verified Whole Foods and Wegmans locations, but exact incorporated-city boundary attribution is deferred to production GIS.</x:v>
      </x:c>
      <x:c r="O138" s="160" t="str">
        <x:v>Lancaster County</x:v>
      </x:c>
    </x:row>
    <x:row r="139">
      <x:c r="A139" s="28" t="n">
        <x:v>139</x:v>
      </x:c>
      <x:c r="B139" s="28" t="str">
        <x:v>South Gate</x:v>
      </x:c>
      <x:c r="C139" s="28" t="str">
        <x:v>CA</x:v>
      </x:c>
      <x:c r="D139" s="204" t="n">
        <x:v>7.237</x:v>
      </x:c>
      <x:c r="E139" s="133" t="n">
        <x:v>0</x:v>
      </x:c>
      <x:c r="F139" s="133" t="n">
        <x:v>0</x:v>
      </x:c>
      <x:c r="G139" s="133" t="n">
        <x:v>0</x:v>
      </x:c>
      <x:c r="H139" s="133" t="n">
        <x:v>0</x:v>
      </x:c>
      <x:c r="I139" s="133" t="n">
        <x:v>0</x:v>
      </x:c>
      <x:c r="J139" s="133" t="n">
        <x:v>1</x:v>
      </x:c>
      <x:c r="K139" s="133" t="n">
        <x:f>SUM(E139:J139)</x:f>
        <x:v>1</x:v>
      </x:c>
      <x:c r="L139" s="205" t="n">
        <x:f>IFERROR(K139/D139,0)</x:f>
        <x:v>0.1381788033715628</x:v>
      </x:c>
      <x:c r="M139" s="160" t="str">
        <x:v>Presence-floor proxy only — 50k+ county completion</x:v>
      </x:c>
      <x:c r="N139" s="160" t="str">
        <x:v>Added to complete ≥50,000-population incorporated-place coverage in a top-5 store-count county using Census Vintage 2025 eligibility. One-store screening floor only; exact selected-chain count and 5-mile buffer require GIS verification.</x:v>
      </x:c>
      <x:c r="O139" s="160" t="str">
        <x:v>Los Angeles County</x:v>
      </x:c>
    </x:row>
    <x:row r="140">
      <x:c r="A140" s="28" t="n">
        <x:v>140</x:v>
      </x:c>
      <x:c r="B140" s="28" t="str">
        <x:v>Lower Moreland Township</x:v>
      </x:c>
      <x:c r="C140" s="28" t="str">
        <x:v>PA</x:v>
      </x:c>
      <x:c r="D140" s="204" t="n">
        <x:v>7.284</x:v>
      </x:c>
      <x:c r="E140" s="133" t="n">
        <x:v>0</x:v>
      </x:c>
      <x:c r="F140" s="133" t="n">
        <x:v>0</x:v>
      </x:c>
      <x:c r="G140" s="133" t="n">
        <x:v>0</x:v>
      </x:c>
      <x:c r="H140" s="133" t="n">
        <x:v>0</x:v>
      </x:c>
      <x:c r="I140" s="133" t="n">
        <x:v>0</x:v>
      </x:c>
      <x:c r="J140" s="133" t="n">
        <x:v>1</x:v>
      </x:c>
      <x:c r="K140" s="133" t="n">
        <x:f>SUM(E140:J140)</x:f>
        <x:v>1</x:v>
      </x:c>
      <x:c r="L140" s="205" t="n">
        <x:f>IFERROR(K140/D140,0)</x:f>
        <x:v>0.1372872048325096</x:v>
      </x:c>
      <x:c r="M140" s="160" t="str">
        <x:v>Presence-floor proxy only — 10k+ municipality completion</x:v>
      </x:c>
      <x:c r="N14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40" s="160" t="str">
        <x:v>Montgomery County</x:v>
      </x:c>
    </x:row>
    <x:row r="141">
      <x:c r="A141" s="28" t="n">
        <x:v>141</x:v>
      </x:c>
      <x:c r="B141" s="28" t="str">
        <x:v>Florham Park Borough</x:v>
      </x:c>
      <x:c r="C141" s="28" t="str">
        <x:v>NJ</x:v>
      </x:c>
      <x:c r="D141" s="204" t="n">
        <x:v>7.314</x:v>
      </x:c>
      <x:c r="E141" s="133" t="n">
        <x:v>0</x:v>
      </x:c>
      <x:c r="F141" s="133" t="n">
        <x:v>0</x:v>
      </x:c>
      <x:c r="G141" s="133" t="n">
        <x:v>0</x:v>
      </x:c>
      <x:c r="H141" s="133" t="n">
        <x:v>0</x:v>
      </x:c>
      <x:c r="I141" s="133" t="n">
        <x:v>0</x:v>
      </x:c>
      <x:c r="J141" s="133" t="n">
        <x:v>1</x:v>
      </x:c>
      <x:c r="K141" s="133" t="n">
        <x:f>SUM(E141:J141)</x:f>
        <x:v>1</x:v>
      </x:c>
      <x:c r="L141" s="205" t="n">
        <x:f>IFERROR(K141/D141,0)</x:f>
        <x:v>0.13672409078479628</x:v>
      </x:c>
      <x:c r="M141" s="160" t="str">
        <x:v>Presence-floor proxy only — 10k+ municipality completion</x:v>
      </x:c>
      <x:c r="N14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41" s="160" t="str">
        <x:v>Morris County</x:v>
      </x:c>
    </x:row>
    <x:row r="142">
      <x:c r="A142" s="28" t="n">
        <x:v>142</x:v>
      </x:c>
      <x:c r="B142" s="28" t="str">
        <x:v>National City</x:v>
      </x:c>
      <x:c r="C142" s="28" t="str">
        <x:v>CA</x:v>
      </x:c>
      <x:c r="D142" s="204" t="n">
        <x:v>7.344</x:v>
      </x:c>
      <x:c r="E142" s="133" t="n">
        <x:v>0</x:v>
      </x:c>
      <x:c r="F142" s="133" t="n">
        <x:v>0</x:v>
      </x:c>
      <x:c r="G142" s="133" t="n">
        <x:v>0</x:v>
      </x:c>
      <x:c r="H142" s="133" t="n">
        <x:v>0</x:v>
      </x:c>
      <x:c r="I142" s="133" t="n">
        <x:v>0</x:v>
      </x:c>
      <x:c r="J142" s="133" t="n">
        <x:v>1</x:v>
      </x:c>
      <x:c r="K142" s="133" t="n">
        <x:f>SUM(E142:J142)</x:f>
        <x:v>1</x:v>
      </x:c>
      <x:c r="L142" s="205" t="n">
        <x:f>IFERROR(K142/D142,0)</x:f>
        <x:v>0.13616557734204793</x:v>
      </x:c>
      <x:c r="M142" s="160" t="str">
        <x:v>Presence-floor proxy only — 50k+ county completion</x:v>
      </x:c>
      <x:c r="N142" s="160" t="str">
        <x:v>Added to complete ≥50,000-population incorporated-place coverage in a top-5 store-count county using Census Vintage 2025 eligibility. One-store screening floor only; exact selected-chain count and 5-mile buffer require GIS verification.</x:v>
      </x:c>
      <x:c r="O142" s="160" t="str">
        <x:v>San Diego County</x:v>
      </x:c>
    </x:row>
    <x:row r="143">
      <x:c r="A143" s="28" t="n">
        <x:v>143</x:v>
      </x:c>
      <x:c r="B143" s="28" t="str">
        <x:v>La Habra</x:v>
      </x:c>
      <x:c r="C143" s="28" t="str">
        <x:v>CA</x:v>
      </x:c>
      <x:c r="D143" s="204" t="n">
        <x:v>7.35</x:v>
      </x:c>
      <x:c r="E143" s="133" t="n">
        <x:v>0</x:v>
      </x:c>
      <x:c r="F143" s="133" t="n">
        <x:v>0</x:v>
      </x:c>
      <x:c r="G143" s="133" t="n">
        <x:v>0</x:v>
      </x:c>
      <x:c r="H143" s="133" t="n">
        <x:v>0</x:v>
      </x:c>
      <x:c r="I143" s="133" t="n">
        <x:v>0</x:v>
      </x:c>
      <x:c r="J143" s="133" t="n">
        <x:v>1</x:v>
      </x:c>
      <x:c r="K143" s="133" t="n">
        <x:f>SUM(E143:J143)</x:f>
        <x:v>1</x:v>
      </x:c>
      <x:c r="L143" s="205" t="n">
        <x:f>IFERROR(K143/D143,0)</x:f>
        <x:v>0.1360544217687075</x:v>
      </x:c>
      <x:c r="M143" s="160" t="str">
        <x:v>Presence-floor proxy only — 50k+ county completion</x:v>
      </x:c>
      <x:c r="N143"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143" s="160" t="str">
        <x:v>Orange County</x:v>
      </x:c>
    </x:row>
    <x:row r="144">
      <x:c r="A144" s="28" t="n">
        <x:v>144</x:v>
      </x:c>
      <x:c r="B144" s="28" t="str">
        <x:v>Cinnaminson Township</x:v>
      </x:c>
      <x:c r="C144" s="28" t="str">
        <x:v>NJ</x:v>
      </x:c>
      <x:c r="D144" s="204" t="n">
        <x:v>7.424</x:v>
      </x:c>
      <x:c r="E144" s="133" t="n">
        <x:v>0</x:v>
      </x:c>
      <x:c r="F144" s="133" t="n">
        <x:v>0</x:v>
      </x:c>
      <x:c r="G144" s="133" t="n">
        <x:v>0</x:v>
      </x:c>
      <x:c r="H144" s="133" t="n">
        <x:v>0</x:v>
      </x:c>
      <x:c r="I144" s="133" t="n">
        <x:v>0</x:v>
      </x:c>
      <x:c r="J144" s="133" t="n">
        <x:v>1</x:v>
      </x:c>
      <x:c r="K144" s="133" t="n">
        <x:f>SUM(E144:J144)</x:f>
        <x:v>1</x:v>
      </x:c>
      <x:c r="L144" s="205" t="n">
        <x:f>IFERROR(K144/D144,0)</x:f>
        <x:v>0.13469827586206895</x:v>
      </x:c>
      <x:c r="M144" s="160" t="str">
        <x:v>Presence-floor proxy only — 10k+ municipality completion</x:v>
      </x:c>
      <x:c r="N14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144" s="160" t="str">
        <x:v>Burlington County</x:v>
      </x:c>
    </x:row>
    <x:row r="145">
      <x:c r="A145" s="28" t="n">
        <x:v>145</x:v>
      </x:c>
      <x:c r="B145" s="28" t="str">
        <x:v>Kingston city</x:v>
      </x:c>
      <x:c r="C145" s="28" t="str">
        <x:v>NY</x:v>
      </x:c>
      <x:c r="D145" s="204" t="n">
        <x:v>7.482</x:v>
      </x:c>
      <x:c r="E145" s="133" t="n">
        <x:v>0</x:v>
      </x:c>
      <x:c r="F145" s="133" t="n">
        <x:v>0</x:v>
      </x:c>
      <x:c r="G145" s="133" t="n">
        <x:v>0</x:v>
      </x:c>
      <x:c r="H145" s="133" t="n">
        <x:v>0</x:v>
      </x:c>
      <x:c r="I145" s="133" t="n">
        <x:v>0</x:v>
      </x:c>
      <x:c r="J145" s="133" t="n">
        <x:v>1</x:v>
      </x:c>
      <x:c r="K145" s="133" t="n">
        <x:f>SUM(E145:J145)</x:f>
        <x:v>1</x:v>
      </x:c>
      <x:c r="L145" s="205" t="n">
        <x:f>IFERROR(K145/D145,0)</x:f>
        <x:v>0.13365410318096765</x:v>
      </x:c>
      <x:c r="M145" s="160" t="str">
        <x:v>Presence-floor proxy only — 10k+ municipality completion</x:v>
      </x:c>
      <x:c r="N145"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145" s="160" t="str">
        <x:v>Ulster County</x:v>
      </x:c>
    </x:row>
    <x:row r="146">
      <x:c r="A146" s="28" t="n">
        <x:v>146</x:v>
      </x:c>
      <x:c r="B146" s="28" t="str">
        <x:v>Trenton</x:v>
      </x:c>
      <x:c r="C146" s="28" t="str">
        <x:v>NJ</x:v>
      </x:c>
      <x:c r="D146" s="204" t="n">
        <x:v>7.58</x:v>
      </x:c>
      <x:c r="E146" s="133" t="n">
        <x:v>0</x:v>
      </x:c>
      <x:c r="F146" s="133" t="n">
        <x:v>0</x:v>
      </x:c>
      <x:c r="G146" s="133" t="n">
        <x:v>0</x:v>
      </x:c>
      <x:c r="H146" s="133" t="n">
        <x:v>0</x:v>
      </x:c>
      <x:c r="I146" s="133" t="n">
        <x:v>0</x:v>
      </x:c>
      <x:c r="J146" s="133" t="n">
        <x:v>1</x:v>
      </x:c>
      <x:c r="K146" s="133" t="n">
        <x:f>SUM(E146:J146)</x:f>
        <x:v>1</x:v>
      </x:c>
      <x:c r="L146" s="205" t="n">
        <x:f>IFERROR(K146/D146,0)</x:f>
        <x:v>0.13192612137203166</x:v>
      </x:c>
      <x:c r="M146" s="160" t="str">
        <x:v>Presence-floor proxy only — restricted-state adjacency expansion</x:v>
      </x:c>
      <x:c r="N146" s="160" t="str">
        <x:v>Census V2025 population 91,506. Added for Mercer County completion; one-store screening floor pending production GIS verification.</x:v>
      </x:c>
      <x:c r="O146" s="160" t="str">
        <x:v>Mercer County</x:v>
      </x:c>
    </x:row>
    <x:row r="147">
      <x:c r="A147" s="28" t="n">
        <x:v>147</x:v>
      </x:c>
      <x:c r="B147" s="28" t="str">
        <x:v>Alhambra</x:v>
      </x:c>
      <x:c r="C147" s="28" t="str">
        <x:v>CA</x:v>
      </x:c>
      <x:c r="D147" s="204" t="n">
        <x:v>7.631</x:v>
      </x:c>
      <x:c r="E147" s="133" t="n">
        <x:v>0</x:v>
      </x:c>
      <x:c r="F147" s="133" t="n">
        <x:v>0</x:v>
      </x:c>
      <x:c r="G147" s="133" t="n">
        <x:v>0</x:v>
      </x:c>
      <x:c r="H147" s="133" t="n">
        <x:v>0</x:v>
      </x:c>
      <x:c r="I147" s="133" t="n">
        <x:v>0</x:v>
      </x:c>
      <x:c r="J147" s="133" t="n">
        <x:v>1</x:v>
      </x:c>
      <x:c r="K147" s="133" t="n">
        <x:f>SUM(E147:J147)</x:f>
        <x:v>1</x:v>
      </x:c>
      <x:c r="L147" s="205" t="n">
        <x:f>IFERROR(K147/D147,0)</x:f>
        <x:v>0.13104442405975625</x:v>
      </x:c>
      <x:c r="M147" s="160" t="str">
        <x:v>Presence-floor proxy only — 50k+ county completion</x:v>
      </x:c>
      <x:c r="N147" s="160" t="str">
        <x:v>Added to complete ≥50,000-population incorporated-place coverage in a top-5 store-count county using Census Vintage 2025 eligibility. One-store screening floor only; exact selected-chain count and 5-mile buffer require GIS verification.</x:v>
      </x:c>
      <x:c r="O147" s="160" t="str">
        <x:v>Los Angeles County</x:v>
      </x:c>
    </x:row>
    <x:row r="148">
      <x:c r="A148" s="28" t="n">
        <x:v>148</x:v>
      </x:c>
      <x:c r="B148" s="28" t="str">
        <x:v>Daly City</x:v>
      </x:c>
      <x:c r="C148" s="28" t="str">
        <x:v>CA</x:v>
      </x:c>
      <x:c r="D148" s="204" t="n">
        <x:v>7.65</x:v>
      </x:c>
      <x:c r="E148" s="133" t="n">
        <x:v>0</x:v>
      </x:c>
      <x:c r="F148" s="133" t="n">
        <x:v>1</x:v>
      </x:c>
      <x:c r="G148" s="133" t="n">
        <x:v>0</x:v>
      </x:c>
      <x:c r="H148" s="133" t="n">
        <x:v>0</x:v>
      </x:c>
      <x:c r="I148" s="133" t="n">
        <x:v>0</x:v>
      </x:c>
      <x:c r="J148" s="133" t="n">
        <x:v>0</x:v>
      </x:c>
      <x:c r="K148" s="133" t="n">
        <x:f>SUM(E148:J148)</x:f>
        <x:v>1</x:v>
      </x:c>
      <x:c r="L148" s="205" t="n">
        <x:f>IFERROR(K148/D148,0)</x:f>
        <x:v>0.13071895424836602</x:v>
      </x:c>
      <x:c r="M148" s="160" t="str">
        <x:v>Confirmed lower bound — adjacent county expansion</x:v>
      </x:c>
      <x:c r="N148" s="160" t="str">
        <x:v>Added in adjacent-county expansion; Census Vintage 2025 population ≥50,000. Sprouts store presence verified from official locator; exact all-chain 5-mile count requires GIS verification.</x:v>
      </x:c>
      <x:c r="O148" s="160" t="str">
        <x:v>San Mateo County</x:v>
      </x:c>
    </x:row>
    <x:row r="149">
      <x:c r="A149" s="28" t="n">
        <x:v>149</x:v>
      </x:c>
      <x:c r="B149" s="28" t="str">
        <x:v>Newport City</x:v>
      </x:c>
      <x:c r="C149" s="28" t="str">
        <x:v>RI</x:v>
      </x:c>
      <x:c r="D149" s="204" t="n">
        <x:v>7.656</x:v>
      </x:c>
      <x:c r="E149" s="133" t="n">
        <x:v>0</x:v>
      </x:c>
      <x:c r="F149" s="133" t="n">
        <x:v>0</x:v>
      </x:c>
      <x:c r="G149" s="133" t="n">
        <x:v>0</x:v>
      </x:c>
      <x:c r="H149" s="133" t="n">
        <x:v>0</x:v>
      </x:c>
      <x:c r="I149" s="133" t="n">
        <x:v>0</x:v>
      </x:c>
      <x:c r="J149" s="133" t="n">
        <x:v>1</x:v>
      </x:c>
      <x:c r="K149" s="133" t="n">
        <x:f>SUM(E149:J149)</x:f>
        <x:v>1</x:v>
      </x:c>
      <x:c r="L149" s="205" t="n">
        <x:f>IFERROR(K149/D149,0)</x:f>
        <x:v>0.13061650992685475</x:v>
      </x:c>
      <x:c r="M149" s="160" t="str">
        <x:v>Presence-floor proxy only — 10k+ municipality completion</x:v>
      </x:c>
      <x:c r="N149"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Census Vintage 2025.</x:v>
      </x:c>
      <x:c r="O149" s="160" t="str">
        <x:v>Newport County</x:v>
      </x:c>
    </x:row>
    <x:row r="150">
      <x:c r="A150" s="28" t="n">
        <x:v>150</x:v>
      </x:c>
      <x:c r="B150" s="28" t="str">
        <x:v>Monterey Park</x:v>
      </x:c>
      <x:c r="C150" s="28" t="str">
        <x:v>CA</x:v>
      </x:c>
      <x:c r="D150" s="204" t="n">
        <x:v>7.672</x:v>
      </x:c>
      <x:c r="E150" s="133" t="n">
        <x:v>0</x:v>
      </x:c>
      <x:c r="F150" s="133" t="n">
        <x:v>0</x:v>
      </x:c>
      <x:c r="G150" s="133" t="n">
        <x:v>0</x:v>
      </x:c>
      <x:c r="H150" s="133" t="n">
        <x:v>0</x:v>
      </x:c>
      <x:c r="I150" s="133" t="n">
        <x:v>0</x:v>
      </x:c>
      <x:c r="J150" s="133" t="n">
        <x:v>1</x:v>
      </x:c>
      <x:c r="K150" s="133" t="n">
        <x:f>SUM(E150:J150)</x:f>
        <x:v>1</x:v>
      </x:c>
      <x:c r="L150" s="205" t="n">
        <x:f>IFERROR(K150/D150,0)</x:f>
        <x:v>0.13034410844629823</x:v>
      </x:c>
      <x:c r="M150" s="160" t="str">
        <x:v>Presence-floor proxy only — 50k+ county completion</x:v>
      </x:c>
      <x:c r="N150" s="160" t="str">
        <x:v>Added to complete ≥50,000-population incorporated-place coverage in a top-5 store-count county using Census Vintage 2025 eligibility. One-store screening floor only; exact selected-chain count and 5-mile buffer require GIS verification.</x:v>
      </x:c>
      <x:c r="O150" s="160" t="str">
        <x:v>Los Angeles County</x:v>
      </x:c>
    </x:row>
    <x:row r="151">
      <x:c r="A151" s="28" t="n">
        <x:v>151</x:v>
      </x:c>
      <x:c r="B151" s="28" t="str">
        <x:v>Willingboro Township</x:v>
      </x:c>
      <x:c r="C151" s="28" t="str">
        <x:v>NJ</x:v>
      </x:c>
      <x:c r="D151" s="204" t="n">
        <x:v>7.725</x:v>
      </x:c>
      <x:c r="E151" s="133" t="n">
        <x:v>0</x:v>
      </x:c>
      <x:c r="F151" s="133" t="n">
        <x:v>0</x:v>
      </x:c>
      <x:c r="G151" s="133" t="n">
        <x:v>0</x:v>
      </x:c>
      <x:c r="H151" s="133" t="n">
        <x:v>0</x:v>
      </x:c>
      <x:c r="I151" s="133" t="n">
        <x:v>0</x:v>
      </x:c>
      <x:c r="J151" s="133" t="n">
        <x:v>1</x:v>
      </x:c>
      <x:c r="K151" s="133" t="n">
        <x:f>SUM(E151:J151)</x:f>
        <x:v>1</x:v>
      </x:c>
      <x:c r="L151" s="205" t="n">
        <x:f>IFERROR(K151/D151,0)</x:f>
        <x:v>0.12944983818770228</x:v>
      </x:c>
      <x:c r="M151" s="160" t="str">
        <x:v>Presence-floor proxy only — 10k+ municipality completion</x:v>
      </x:c>
      <x:c r="N151"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151" s="160" t="str">
        <x:v>Burlington County</x:v>
      </x:c>
    </x:row>
    <x:row r="152">
      <x:c r="A152" s="28" t="n">
        <x:v>152</x:v>
      </x:c>
      <x:c r="B152" s="28" t="str">
        <x:v>Evanston</x:v>
      </x:c>
      <x:c r="C152" s="28" t="str">
        <x:v>IL</x:v>
      </x:c>
      <x:c r="D152" s="204" t="n">
        <x:v>7.779</x:v>
      </x:c>
      <x:c r="E152" s="133" t="n">
        <x:v>0</x:v>
      </x:c>
      <x:c r="F152" s="133" t="n">
        <x:v>0</x:v>
      </x:c>
      <x:c r="G152" s="133" t="n">
        <x:v>0</x:v>
      </x:c>
      <x:c r="H152" s="133" t="n">
        <x:v>0</x:v>
      </x:c>
      <x:c r="I152" s="133" t="n">
        <x:v>0</x:v>
      </x:c>
      <x:c r="J152" s="133" t="n">
        <x:v>1</x:v>
      </x:c>
      <x:c r="K152" s="133" t="n">
        <x:f>SUM(E152:J152)</x:f>
        <x:v>1</x:v>
      </x:c>
      <x:c r="L152" s="205" t="n">
        <x:f>IFERROR(K152/D152,0)</x:f>
        <x:v>0.1285512276642242</x:v>
      </x:c>
      <x:c r="M152" s="160" t="str">
        <x:v>Presence-floor proxy only — 50k+ county completion</x:v>
      </x:c>
      <x:c r="N152" s="160" t="str">
        <x:v>Added to complete ≥50,000-population incorporated-place coverage in counties ranked 6–10 by store count under the same Census Vintage 2025 screen. One-store screening floor only; exact selected-chain count and 5-mile buffer require GIS verification.</x:v>
      </x:c>
      <x:c r="O152" s="160" t="str">
        <x:v>Cook County</x:v>
      </x:c>
    </x:row>
    <x:row r="153">
      <x:c r="A153" s="28" t="n">
        <x:v>153</x:v>
      </x:c>
      <x:c r="B153" s="28" t="str">
        <x:v>Upper Darby Township</x:v>
      </x:c>
      <x:c r="C153" s="28" t="str">
        <x:v>PA</x:v>
      </x:c>
      <x:c r="D153" s="204" t="n">
        <x:v>7.825</x:v>
      </x:c>
      <x:c r="E153" s="133" t="n">
        <x:v>0</x:v>
      </x:c>
      <x:c r="F153" s="133" t="n">
        <x:v>0</x:v>
      </x:c>
      <x:c r="G153" s="133" t="n">
        <x:v>0</x:v>
      </x:c>
      <x:c r="H153" s="133" t="n">
        <x:v>0</x:v>
      </x:c>
      <x:c r="I153" s="133" t="n">
        <x:v>0</x:v>
      </x:c>
      <x:c r="J153" s="133" t="n">
        <x:v>1</x:v>
      </x:c>
      <x:c r="K153" s="133" t="n">
        <x:f>SUM(E153:J153)</x:f>
        <x:v>1</x:v>
      </x:c>
      <x:c r="L153" s="205" t="n">
        <x:f>IFERROR(K153/D153,0)</x:f>
        <x:v>0.12779552715654952</x:v>
      </x:c>
      <x:c r="M153" s="160" t="str">
        <x:v>Presence-floor proxy only — 10k+ municipality completion</x:v>
      </x:c>
      <x:c r="N153" s="160" t="str">
        <x:v>Added under the 10k+ city-equivalent municipality rule: Census Vintage 2025 population &gt;=10,000; county population &gt;=500,000. Presence-floor proxy only — exact tracked-chain count requires municipal-boundary/GIS verification.</x:v>
      </x:c>
      <x:c r="O153" s="160" t="str">
        <x:v>Delaware County</x:v>
      </x:c>
    </x:row>
    <x:row r="154">
      <x:c r="A154" s="28" t="n">
        <x:v>154</x:v>
      </x:c>
      <x:c r="B154" s="28" t="str">
        <x:v>East Hanover Township</x:v>
      </x:c>
      <x:c r="C154" s="28" t="str">
        <x:v>NJ</x:v>
      </x:c>
      <x:c r="D154" s="204" t="n">
        <x:v>7.875</x:v>
      </x:c>
      <x:c r="E154" s="133" t="n">
        <x:v>0</x:v>
      </x:c>
      <x:c r="F154" s="133" t="n">
        <x:v>0</x:v>
      </x:c>
      <x:c r="G154" s="133" t="n">
        <x:v>0</x:v>
      </x:c>
      <x:c r="H154" s="133" t="n">
        <x:v>0</x:v>
      </x:c>
      <x:c r="I154" s="133" t="n">
        <x:v>0</x:v>
      </x:c>
      <x:c r="J154" s="133" t="n">
        <x:v>1</x:v>
      </x:c>
      <x:c r="K154" s="133" t="n">
        <x:f>SUM(E154:J154)</x:f>
        <x:v>1</x:v>
      </x:c>
      <x:c r="L154" s="205" t="n">
        <x:f>IFERROR(K154/D154,0)</x:f>
        <x:v>0.12698412698412698</x:v>
      </x:c>
      <x:c r="M154" s="160" t="str">
        <x:v>Presence-floor proxy only — 10k+ municipality completion</x:v>
      </x:c>
      <x:c r="N15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54" s="160" t="str">
        <x:v>Morris County</x:v>
      </x:c>
    </x:row>
    <x:row r="155">
      <x:c r="A155" s="28" t="n">
        <x:v>155</x:v>
      </x:c>
      <x:c r="B155" s="28" t="str">
        <x:v>Marietta</x:v>
      </x:c>
      <x:c r="C155" s="28" t="str">
        <x:v>GA</x:v>
      </x:c>
      <x:c r="D155" s="204" t="n">
        <x:v>23.782</x:v>
      </x:c>
      <x:c r="E155" s="133" t="n">
        <x:v>1</x:v>
      </x:c>
      <x:c r="F155" s="133" t="n">
        <x:v>2</x:v>
      </x:c>
      <x:c r="G155" s="133" t="n">
        <x:v>0</x:v>
      </x:c>
      <x:c r="H155" s="133" t="n">
        <x:v>0</x:v>
      </x:c>
      <x:c r="I155" s="133" t="n">
        <x:v>0</x:v>
      </x:c>
      <x:c r="J155" s="133" t="n">
        <x:v>0</x:v>
      </x:c>
      <x:c r="K155" s="133" t="n">
        <x:f>SUM(E155:J155)</x:f>
        <x:v>3</x:v>
      </x:c>
      <x:c r="L155" s="205" t="n">
        <x:f>IFERROR(K155/D155,0)</x:f>
        <x:v>0.12614582457320664</x:v>
      </x:c>
      <x:c r="M155" s="160" t="str">
        <x:v>Confirmed lower bound — adjacent county expansion</x:v>
      </x:c>
      <x:c r="N155" s="160" t="str">
        <x:v>Added in adjacent-county expansion; Census Vintage 2025 population ≥50,000. Whole Foods and two Sprouts locations verified from official locators as a screening lower bound; exact municipal/5-mile GIS count requires verification.</x:v>
      </x:c>
      <x:c r="O155" s="160" t="str">
        <x:v>Cobb County</x:v>
      </x:c>
    </x:row>
    <x:row r="156">
      <x:c r="A156" s="28" t="n">
        <x:v>156</x:v>
      </x:c>
      <x:c r="B156" s="28" t="str">
        <x:v>Lower Pottsgrove Township</x:v>
      </x:c>
      <x:c r="C156" s="28" t="str">
        <x:v>PA</x:v>
      </x:c>
      <x:c r="D156" s="204" t="n">
        <x:v>7.934</x:v>
      </x:c>
      <x:c r="E156" s="133" t="n">
        <x:v>0</x:v>
      </x:c>
      <x:c r="F156" s="133" t="n">
        <x:v>0</x:v>
      </x:c>
      <x:c r="G156" s="133" t="n">
        <x:v>0</x:v>
      </x:c>
      <x:c r="H156" s="133" t="n">
        <x:v>0</x:v>
      </x:c>
      <x:c r="I156" s="133" t="n">
        <x:v>0</x:v>
      </x:c>
      <x:c r="J156" s="133" t="n">
        <x:v>1</x:v>
      </x:c>
      <x:c r="K156" s="133" t="n">
        <x:f>SUM(E156:J156)</x:f>
        <x:v>1</x:v>
      </x:c>
      <x:c r="L156" s="205" t="n">
        <x:f>IFERROR(K156/D156,0)</x:f>
        <x:v>0.12603982858583312</x:v>
      </x:c>
      <x:c r="M156" s="160" t="str">
        <x:v>Presence-floor proxy only — 10k+ municipality completion</x:v>
      </x:c>
      <x:c r="N15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56" s="160" t="str">
        <x:v>Montgomery County</x:v>
      </x:c>
    </x:row>
    <x:row r="157">
      <x:c r="A157" s="28" t="n">
        <x:v>157</x:v>
      </x:c>
      <x:c r="B157" s="28" t="str">
        <x:v>Upper Moreland Township</x:v>
      </x:c>
      <x:c r="C157" s="28" t="str">
        <x:v>PA</x:v>
      </x:c>
      <x:c r="D157" s="204" t="n">
        <x:v>7.975</x:v>
      </x:c>
      <x:c r="E157" s="133" t="n">
        <x:v>0</x:v>
      </x:c>
      <x:c r="F157" s="133" t="n">
        <x:v>0</x:v>
      </x:c>
      <x:c r="G157" s="133" t="n">
        <x:v>0</x:v>
      </x:c>
      <x:c r="H157" s="133" t="n">
        <x:v>0</x:v>
      </x:c>
      <x:c r="I157" s="133" t="n">
        <x:v>0</x:v>
      </x:c>
      <x:c r="J157" s="133" t="n">
        <x:v>1</x:v>
      </x:c>
      <x:c r="K157" s="133" t="n">
        <x:f>SUM(E157:J157)</x:f>
        <x:v>1</x:v>
      </x:c>
      <x:c r="L157" s="205" t="n">
        <x:f>IFERROR(K157/D157,0)</x:f>
        <x:v>0.12539184952978058</x:v>
      </x:c>
      <x:c r="M157" s="160" t="str">
        <x:v>Presence-floor proxy only — 10k+ municipality completion</x:v>
      </x:c>
      <x:c r="N15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57" s="160" t="str">
        <x:v>Montgomery County</x:v>
      </x:c>
    </x:row>
    <x:row r="158">
      <x:c r="A158" s="28" t="n">
        <x:v>158</x:v>
      </x:c>
      <x:c r="B158" s="28" t="str">
        <x:v>Smyrna</x:v>
      </x:c>
      <x:c r="C158" s="28" t="str">
        <x:v>GA</x:v>
      </x:c>
      <x:c r="D158" s="204" t="n">
        <x:v>16.181</x:v>
      </x:c>
      <x:c r="E158" s="133" t="n">
        <x:v>0</x:v>
      </x:c>
      <x:c r="F158" s="133" t="n">
        <x:v>2</x:v>
      </x:c>
      <x:c r="G158" s="133" t="n">
        <x:v>0</x:v>
      </x:c>
      <x:c r="H158" s="133" t="n">
        <x:v>0</x:v>
      </x:c>
      <x:c r="I158" s="133" t="n">
        <x:v>0</x:v>
      </x:c>
      <x:c r="J158" s="133" t="n">
        <x:v>0</x:v>
      </x:c>
      <x:c r="K158" s="133" t="n">
        <x:f>SUM(E158:J158)</x:f>
        <x:v>2</x:v>
      </x:c>
      <x:c r="L158" s="205" t="n">
        <x:f>IFERROR(K158/D158,0)</x:f>
        <x:v>0.12360175514492305</x:v>
      </x:c>
      <x:c r="M158" s="160" t="str">
        <x:v>Confirmed lower bound — adjacent county expansion</x:v>
      </x:c>
      <x:c r="N158" s="160" t="str">
        <x:v>Added in adjacent-county expansion; Census Vintage 2025 population ≥50,000. Two Sprouts locations verified from official locator as a screening lower bound; exact municipal/5-mile GIS count requires verification.</x:v>
      </x:c>
      <x:c r="O158" s="160" t="str">
        <x:v>Cobb County</x:v>
      </x:c>
    </x:row>
    <x:row r="159">
      <x:c r="A159" s="28" t="n">
        <x:v>159</x:v>
      </x:c>
      <x:c r="B159" s="28" t="str">
        <x:v>Port Huron City</x:v>
      </x:c>
      <x:c r="C159" s="28" t="str">
        <x:v>MI</x:v>
      </x:c>
      <x:c r="D159" s="204" t="n">
        <x:v>8.103</x:v>
      </x:c>
      <x:c r="E159" s="133" t="n">
        <x:v>0</x:v>
      </x:c>
      <x:c r="F159" s="133" t="n">
        <x:v>0</x:v>
      </x:c>
      <x:c r="G159" s="133" t="n">
        <x:v>0</x:v>
      </x:c>
      <x:c r="H159" s="133" t="n">
        <x:v>0</x:v>
      </x:c>
      <x:c r="I159" s="133" t="n">
        <x:v>0</x:v>
      </x:c>
      <x:c r="J159" s="133" t="n">
        <x:v>1</x:v>
      </x:c>
      <x:c r="K159" s="133" t="n">
        <x:f>SUM(E159:J159)</x:f>
        <x:v>1</x:v>
      </x:c>
      <x:c r="L159" s="205" t="n">
        <x:f>IFERROR(K159/D159,0)</x:f>
        <x:v>0.1234110823151919</x:v>
      </x:c>
      <x:c r="M159" s="160" t="str">
        <x:v>Presence-floor proxy only — 10k+ municipality completion</x:v>
      </x:c>
      <x:c r="N159" s="160" t="str">
        <x:v>Added under the &gt;=50k-county expansion rule: Census Vintage 2025 municipality population &gt;=10,000; general-purpose city-equivalent municipality; direct Census adjacency. Presence-floor proxy only — exact tracked-chain count requires municipal-boundary/GIS verification. Port Huron Charter Township is V2025 10,665; all three clear the municipal threshold.</x:v>
      </x:c>
      <x:c r="O159" s="160" t="str">
        <x:v>St. Clair County</x:v>
      </x:c>
    </x:row>
    <x:row r="160">
      <x:c r="A160" s="28" t="n">
        <x:v>160</x:v>
      </x:c>
      <x:c r="B160" s="28" t="str">
        <x:v>Harrisburg</x:v>
      </x:c>
      <x:c r="C160" s="28" t="str">
        <x:v>PA</x:v>
      </x:c>
      <x:c r="D160" s="204" t="n">
        <x:v>8.12</x:v>
      </x:c>
      <x:c r="E160" s="133" t="n">
        <x:v>0</x:v>
      </x:c>
      <x:c r="F160" s="133" t="n">
        <x:v>0</x:v>
      </x:c>
      <x:c r="G160" s="133" t="n">
        <x:v>0</x:v>
      </x:c>
      <x:c r="H160" s="133" t="n">
        <x:v>0</x:v>
      </x:c>
      <x:c r="I160" s="133" t="n">
        <x:v>0</x:v>
      </x:c>
      <x:c r="J160" s="133" t="n">
        <x:v>1</x:v>
      </x:c>
      <x:c r="K160" s="133" t="n">
        <x:f>SUM(E160:J160)</x:f>
        <x:v>1</x:v>
      </x:c>
      <x:c r="L160" s="205" t="n">
        <x:f>IFERROR(K160/D160,0)</x:f>
        <x:v>0.12315270935960593</x:v>
      </x:c>
      <x:c r="M160" s="160" t="str">
        <x:v>Presence-floor proxy only — restricted-state adjacency expansion</x:v>
      </x:c>
      <x:c r="N160" s="160" t="str">
        <x:v>Census V2025 population 50,522. Added for Dauphin County completion; one-store screening floor retained because the Wegmans branded Harrisburg location is in Mechanicsburg, outside Harrisburg city.</x:v>
      </x:c>
      <x:c r="O160" s="160" t="str">
        <x:v>Dauphin County</x:v>
      </x:c>
    </x:row>
    <x:row r="161">
      <x:c r="A161" s="28" t="n">
        <x:v>161</x:v>
      </x:c>
      <x:c r="B161" s="28" t="str">
        <x:v>Upper Gwynedd Township</x:v>
      </x:c>
      <x:c r="C161" s="28" t="str">
        <x:v>PA</x:v>
      </x:c>
      <x:c r="D161" s="204" t="n">
        <x:v>8.124</x:v>
      </x:c>
      <x:c r="E161" s="133" t="n">
        <x:v>0</x:v>
      </x:c>
      <x:c r="F161" s="133" t="n">
        <x:v>0</x:v>
      </x:c>
      <x:c r="G161" s="133" t="n">
        <x:v>0</x:v>
      </x:c>
      <x:c r="H161" s="133" t="n">
        <x:v>0</x:v>
      </x:c>
      <x:c r="I161" s="133" t="n">
        <x:v>0</x:v>
      </x:c>
      <x:c r="J161" s="133" t="n">
        <x:v>1</x:v>
      </x:c>
      <x:c r="K161" s="133" t="n">
        <x:f>SUM(E161:J161)</x:f>
        <x:v>1</x:v>
      </x:c>
      <x:c r="L161" s="205" t="n">
        <x:f>IFERROR(K161/D161,0)</x:f>
        <x:v>0.12309207287050714</x:v>
      </x:c>
      <x:c r="M161" s="160" t="str">
        <x:v>Presence-floor proxy only — 10k+ municipality completion</x:v>
      </x:c>
      <x:c r="N16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61" s="160" t="str">
        <x:v>Montgomery County</x:v>
      </x:c>
    </x:row>
    <x:row r="162">
      <x:c r="A162" s="28" t="n">
        <x:v>162</x:v>
      </x:c>
      <x:c r="B162" s="28" t="str">
        <x:v>Neptune Township</x:v>
      </x:c>
      <x:c r="C162" s="28" t="str">
        <x:v>NJ</x:v>
      </x:c>
      <x:c r="D162" s="204" t="n">
        <x:v>8.126</x:v>
      </x:c>
      <x:c r="E162" s="133" t="n">
        <x:v>0</x:v>
      </x:c>
      <x:c r="F162" s="133" t="n">
        <x:v>0</x:v>
      </x:c>
      <x:c r="G162" s="133" t="n">
        <x:v>0</x:v>
      </x:c>
      <x:c r="H162" s="133" t="n">
        <x:v>0</x:v>
      </x:c>
      <x:c r="I162" s="133" t="n">
        <x:v>0</x:v>
      </x:c>
      <x:c r="J162" s="133" t="n">
        <x:v>1</x:v>
      </x:c>
      <x:c r="K162" s="133" t="n">
        <x:f>SUM(E162:J162)</x:f>
        <x:v>1</x:v>
      </x:c>
      <x:c r="L162" s="205" t="n">
        <x:f>IFERROR(K162/D162,0)</x:f>
        <x:v>0.12306177701206006</x:v>
      </x:c>
      <x:c r="M162" s="160" t="str">
        <x:v>Presence-floor proxy only — 10k+ municipality completion</x:v>
      </x:c>
      <x:c r="N16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62" s="160" t="str">
        <x:v>Monmouth County</x:v>
      </x:c>
    </x:row>
    <x:row r="163">
      <x:c r="A163" s="28" t="n">
        <x:v>163</x:v>
      </x:c>
      <x:c r="B163" s="28" t="str">
        <x:v>Barrington Town</x:v>
      </x:c>
      <x:c r="C163" s="28" t="str">
        <x:v>RI</x:v>
      </x:c>
      <x:c r="D163" s="204" t="n">
        <x:v>8.185</x:v>
      </x:c>
      <x:c r="E163" s="133" t="n">
        <x:v>0</x:v>
      </x:c>
      <x:c r="F163" s="133" t="n">
        <x:v>0</x:v>
      </x:c>
      <x:c r="G163" s="133" t="n">
        <x:v>0</x:v>
      </x:c>
      <x:c r="H163" s="133" t="n">
        <x:v>0</x:v>
      </x:c>
      <x:c r="I163" s="133" t="n">
        <x:v>0</x:v>
      </x:c>
      <x:c r="J163" s="133" t="n">
        <x:v>1</x:v>
      </x:c>
      <x:c r="K163" s="133" t="n">
        <x:f>SUM(E163:J163)</x:f>
        <x:v>1</x:v>
      </x:c>
      <x:c r="L163" s="205" t="n">
        <x:f>IFERROR(K163/D163,0)</x:f>
        <x:v>0.12217470983506414</x:v>
      </x:c>
      <x:c r="M163" s="160" t="str">
        <x:v>Presence-floor proxy only — 10k+ municipality completion</x:v>
      </x:c>
      <x:c r="N163" s="160" t="str">
        <x:v>Added under the &gt;=50k-county expansion rule: Census Vintage 2025 municipality population &gt;=10,000; general-purpose city-equivalent municipality; direct Census adjacency. Presence-floor proxy only — exact tracked-chain count requires municipal-boundary/GIS verification. Bristol County is a threshold-edge county at V2025 population 50,001; all three towns exceed 10,000.</x:v>
      </x:c>
      <x:c r="O163" s="160" t="str">
        <x:v>Bristol County</x:v>
      </x:c>
    </x:row>
    <x:row r="164">
      <x:c r="A164" s="28" t="n">
        <x:v>164</x:v>
      </x:c>
      <x:c r="B164" s="28" t="str">
        <x:v>Tipp City City</x:v>
      </x:c>
      <x:c r="C164" s="28" t="str">
        <x:v>OH</x:v>
      </x:c>
      <x:c r="D164" s="204" t="n">
        <x:v>8.196</x:v>
      </x:c>
      <x:c r="E164" s="133" t="n">
        <x:v>0</x:v>
      </x:c>
      <x:c r="F164" s="133" t="n">
        <x:v>0</x:v>
      </x:c>
      <x:c r="G164" s="133" t="n">
        <x:v>0</x:v>
      </x:c>
      <x:c r="H164" s="133" t="n">
        <x:v>0</x:v>
      </x:c>
      <x:c r="I164" s="133" t="n">
        <x:v>0</x:v>
      </x:c>
      <x:c r="J164" s="133" t="n">
        <x:v>1</x:v>
      </x:c>
      <x:c r="K164" s="133" t="n">
        <x:f>SUM(E164:J164)</x:f>
        <x:v>1</x:v>
      </x:c>
      <x:c r="L164" s="205" t="n">
        <x:f>IFERROR(K164/D164,0)</x:f>
        <x:v>0.12201073694485115</x:v>
      </x:c>
      <x:c r="M164" s="160" t="str">
        <x:v>Presence-floor proxy only — 10k+ municipality completion</x:v>
      </x:c>
      <x:c r="N164" s="160" t="str">
        <x:v>Added under the &gt;=50k-county expansion rule: Census Vintage 2025 municipality population &gt;=10,000; general-purpose city-equivalent municipality; direct Census adjacency. Presence-floor proxy only — exact tracked-chain count requires municipal-boundary/GIS verification. Tipp City is V2025 10,644; Troy and Piqua remain well above 10,000.</x:v>
      </x:c>
      <x:c r="O164" s="160" t="str">
        <x:v>Miami County</x:v>
      </x:c>
    </x:row>
    <x:row r="165">
      <x:c r="A165" s="28" t="n">
        <x:v>165</x:v>
      </x:c>
      <x:c r="B165" s="28" t="str">
        <x:v>Easttown Township</x:v>
      </x:c>
      <x:c r="C165" s="28" t="str">
        <x:v>PA</x:v>
      </x:c>
      <x:c r="D165" s="204" t="n">
        <x:v>8.225</x:v>
      </x:c>
      <x:c r="E165" s="133" t="n">
        <x:v>0</x:v>
      </x:c>
      <x:c r="F165" s="133" t="n">
        <x:v>0</x:v>
      </x:c>
      <x:c r="G165" s="133" t="n">
        <x:v>0</x:v>
      </x:c>
      <x:c r="H165" s="133" t="n">
        <x:v>0</x:v>
      </x:c>
      <x:c r="I165" s="133" t="n">
        <x:v>0</x:v>
      </x:c>
      <x:c r="J165" s="133" t="n">
        <x:v>1</x:v>
      </x:c>
      <x:c r="K165" s="133" t="n">
        <x:f>SUM(E165:J165)</x:f>
        <x:v>1</x:v>
      </x:c>
      <x:c r="L165" s="205" t="n">
        <x:f>IFERROR(K165/D165,0)</x:f>
        <x:v>0.12158054711246201</x:v>
      </x:c>
      <x:c r="M165" s="160" t="str">
        <x:v>Presence-floor proxy only — 10k+ municipality completion</x:v>
      </x:c>
      <x:c r="N165" s="160" t="str">
        <x:v>Added under the 10k+ city-equivalent municipality rule: Census Vintage 2025 population &gt;=10,000; county population &gt;=500,000. Presence-floor proxy only — exact tracked-chain count requires municipal-boundary/GIS verification.</x:v>
      </x:c>
      <x:c r="O165" s="160" t="str">
        <x:v>Chester County</x:v>
      </x:c>
    </x:row>
    <x:row r="166">
      <x:c r="A166" s="28" t="n">
        <x:v>167</x:v>
      </x:c>
      <x:c r="B166" s="28" t="str">
        <x:v>Pico Rivera</x:v>
      </x:c>
      <x:c r="C166" s="28" t="str">
        <x:v>CA</x:v>
      </x:c>
      <x:c r="D166" s="204" t="n">
        <x:v>8.315</x:v>
      </x:c>
      <x:c r="E166" s="133" t="n">
        <x:v>0</x:v>
      </x:c>
      <x:c r="F166" s="133" t="n">
        <x:v>0</x:v>
      </x:c>
      <x:c r="G166" s="133" t="n">
        <x:v>0</x:v>
      </x:c>
      <x:c r="H166" s="133" t="n">
        <x:v>0</x:v>
      </x:c>
      <x:c r="I166" s="133" t="n">
        <x:v>0</x:v>
      </x:c>
      <x:c r="J166" s="133" t="n">
        <x:v>1</x:v>
      </x:c>
      <x:c r="K166" s="133" t="n">
        <x:f>SUM(E166:J166)</x:f>
        <x:v>1</x:v>
      </x:c>
      <x:c r="L166" s="205" t="n">
        <x:f>IFERROR(K166/D166,0)</x:f>
        <x:v>0.12026458208057728</x:v>
      </x:c>
      <x:c r="M166" s="160" t="str">
        <x:v>Presence-floor proxy only — 50k+ county completion</x:v>
      </x:c>
      <x:c r="N166" s="160" t="str">
        <x:v>Added to complete ≥50,000-population incorporated-place coverage in a top-5 store-count county using Census Vintage 2025 eligibility. One-store screening floor only; exact selected-chain count and 5-mile buffer require GIS verification.</x:v>
      </x:c>
      <x:c r="O166" s="160" t="str">
        <x:v>Los Angeles County</x:v>
      </x:c>
    </x:row>
    <x:row r="167">
      <x:c r="A167" s="28" t="n">
        <x:v>168</x:v>
      </x:c>
      <x:c r="B167" s="28" t="str">
        <x:v>Montebello</x:v>
      </x:c>
      <x:c r="C167" s="28" t="str">
        <x:v>CA</x:v>
      </x:c>
      <x:c r="D167" s="204" t="n">
        <x:v>8.328</x:v>
      </x:c>
      <x:c r="E167" s="133" t="n">
        <x:v>0</x:v>
      </x:c>
      <x:c r="F167" s="133" t="n">
        <x:v>0</x:v>
      </x:c>
      <x:c r="G167" s="133" t="n">
        <x:v>0</x:v>
      </x:c>
      <x:c r="H167" s="133" t="n">
        <x:v>0</x:v>
      </x:c>
      <x:c r="I167" s="133" t="n">
        <x:v>0</x:v>
      </x:c>
      <x:c r="J167" s="133" t="n">
        <x:v>1</x:v>
      </x:c>
      <x:c r="K167" s="133" t="n">
        <x:f>SUM(E167:J167)</x:f>
        <x:v>1</x:v>
      </x:c>
      <x:c r="L167" s="205" t="n">
        <x:f>IFERROR(K167/D167,0)</x:f>
        <x:v>0.12007684918347744</x:v>
      </x:c>
      <x:c r="M167" s="160" t="str">
        <x:v>Presence-floor proxy only — 50k+ county completion</x:v>
      </x:c>
      <x:c r="N167" s="160" t="str">
        <x:v>Added to complete ≥50,000-population incorporated-place coverage in a top-5 store-count county using Census Vintage 2025 eligibility. One-store screening floor only; exact selected-chain count and 5-mile buffer require GIS verification.</x:v>
      </x:c>
      <x:c r="O167" s="160" t="str">
        <x:v>Los Angeles County</x:v>
      </x:c>
    </x:row>
    <x:row r="168">
      <x:c r="A168" s="28" t="n">
        <x:v>169</x:v>
      </x:c>
      <x:c r="B168" s="28" t="str">
        <x:v>Paterson</x:v>
      </x:c>
      <x:c r="C168" s="28" t="str">
        <x:v>NJ</x:v>
      </x:c>
      <x:c r="D168" s="204" t="n">
        <x:v>8.4</x:v>
      </x:c>
      <x:c r="E168" s="133" t="n">
        <x:v>0</x:v>
      </x:c>
      <x:c r="F168" s="133" t="n">
        <x:v>0</x:v>
      </x:c>
      <x:c r="G168" s="133" t="n">
        <x:v>0</x:v>
      </x:c>
      <x:c r="H168" s="133" t="n">
        <x:v>0</x:v>
      </x:c>
      <x:c r="I168" s="133" t="n">
        <x:v>0</x:v>
      </x:c>
      <x:c r="J168" s="133" t="n">
        <x:v>1</x:v>
      </x:c>
      <x:c r="K168" s="133" t="n">
        <x:f>SUM(E168:J168)</x:f>
        <x:v>1</x:v>
      </x:c>
      <x:c r="L168" s="205" t="n">
        <x:f>IFERROR(K168/D168,0)</x:f>
        <x:v>0.11904761904761904</x:v>
      </x:c>
      <x:c r="M168" s="160" t="str">
        <x:v>Presence-floor proxy only — 200-city expansion</x:v>
      </x:c>
      <x:c r="N168" s="160" t="str">
        <x:v>Added in the 200-city screening expansion. One-store screening floor only; exact selected-chain count and 5-mile buffer require GIS verification.</x:v>
      </x:c>
      <x:c r="O168" s="160" t="str">
        <x:v>Passaic County</x:v>
      </x:c>
    </x:row>
    <x:row r="169">
      <x:c r="A169" s="28" t="n">
        <x:v>170</x:v>
      </x:c>
      <x:c r="B169" s="28" t="str">
        <x:v>Lockport city</x:v>
      </x:c>
      <x:c r="C169" s="28" t="str">
        <x:v>NY</x:v>
      </x:c>
      <x:c r="D169" s="204" t="n">
        <x:v>8.4</x:v>
      </x:c>
      <x:c r="E169" s="133" t="n">
        <x:v>0</x:v>
      </x:c>
      <x:c r="F169" s="133" t="n">
        <x:v>0</x:v>
      </x:c>
      <x:c r="G169" s="133" t="n">
        <x:v>0</x:v>
      </x:c>
      <x:c r="H169" s="133" t="n">
        <x:v>0</x:v>
      </x:c>
      <x:c r="I169" s="133" t="n">
        <x:v>0</x:v>
      </x:c>
      <x:c r="J169" s="133" t="n">
        <x:v>1</x:v>
      </x:c>
      <x:c r="K169" s="133" t="n">
        <x:f>SUM(E169:J169)</x:f>
        <x:v>1</x:v>
      </x:c>
      <x:c r="L169" s="205" t="n">
        <x:f>IFERROR(K169/D169,0)</x:f>
        <x:v>0.11904761904761904</x:v>
      </x:c>
      <x:c r="M169" s="160" t="str">
        <x:v>Presence-floor proxy only — 10k+ municipality completion</x:v>
      </x:c>
      <x:c r="N169"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169" s="160" t="str">
        <x:v>Niagara County</x:v>
      </x:c>
    </x:row>
    <x:row r="170">
      <x:c r="A170" s="28" t="n">
        <x:v>171</x:v>
      </x:c>
      <x:c r="B170" s="28" t="str">
        <x:v>Plymouth Township</x:v>
      </x:c>
      <x:c r="C170" s="28" t="str">
        <x:v>PA</x:v>
      </x:c>
      <x:c r="D170" s="204" t="n">
        <x:v>8.401</x:v>
      </x:c>
      <x:c r="E170" s="133" t="n">
        <x:v>0</x:v>
      </x:c>
      <x:c r="F170" s="133" t="n">
        <x:v>0</x:v>
      </x:c>
      <x:c r="G170" s="133" t="n">
        <x:v>0</x:v>
      </x:c>
      <x:c r="H170" s="133" t="n">
        <x:v>0</x:v>
      </x:c>
      <x:c r="I170" s="133" t="n">
        <x:v>0</x:v>
      </x:c>
      <x:c r="J170" s="133" t="n">
        <x:v>1</x:v>
      </x:c>
      <x:c r="K170" s="133" t="n">
        <x:f>SUM(E170:J170)</x:f>
        <x:v>1</x:v>
      </x:c>
      <x:c r="L170" s="205" t="n">
        <x:f>IFERROR(K170/D170,0)</x:f>
        <x:v>0.11903344839900012</x:v>
      </x:c>
      <x:c r="M170" s="160" t="str">
        <x:v>Presence-floor proxy only — 10k+ municipality completion</x:v>
      </x:c>
      <x:c r="N17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70" s="160" t="str">
        <x:v>Montgomery County</x:v>
      </x:c>
    </x:row>
    <x:row r="171">
      <x:c r="A171" s="28" t="n">
        <x:v>172</x:v>
      </x:c>
      <x:c r="B171" s="28" t="str">
        <x:v>Santa Monica</x:v>
      </x:c>
      <x:c r="C171" s="28" t="str">
        <x:v>CA</x:v>
      </x:c>
      <x:c r="D171" s="204" t="n">
        <x:v>8.415</x:v>
      </x:c>
      <x:c r="E171" s="133" t="n">
        <x:v>0</x:v>
      </x:c>
      <x:c r="F171" s="133" t="n">
        <x:v>0</x:v>
      </x:c>
      <x:c r="G171" s="133" t="n">
        <x:v>0</x:v>
      </x:c>
      <x:c r="H171" s="133" t="n">
        <x:v>0</x:v>
      </x:c>
      <x:c r="I171" s="133" t="n">
        <x:v>0</x:v>
      </x:c>
      <x:c r="J171" s="133" t="n">
        <x:v>1</x:v>
      </x:c>
      <x:c r="K171" s="133" t="n">
        <x:f>SUM(E171:J171)</x:f>
        <x:v>1</x:v>
      </x:c>
      <x:c r="L171" s="205" t="n">
        <x:f>IFERROR(K171/D171,0)</x:f>
        <x:v>0.11883541295306002</x:v>
      </x:c>
      <x:c r="M171" s="160" t="str">
        <x:v>Presence-floor proxy only</x:v>
      </x:c>
      <x:c r="N171" s="160" t="str">
        <x:v>One-store screening floor only; exact selected-chain count and 5-mile buffer require GIS verification.</x:v>
      </x:c>
      <x:c r="O171" s="160" t="str">
        <x:v>Los Angeles County</x:v>
      </x:c>
    </x:row>
    <x:row r="172">
      <x:c r="A172" s="28" t="n">
        <x:v>173</x:v>
      </x:c>
      <x:c r="B172" s="28" t="str">
        <x:v>Oakland Borough</x:v>
      </x:c>
      <x:c r="C172" s="28" t="str">
        <x:v>NJ</x:v>
      </x:c>
      <x:c r="D172" s="204" t="n">
        <x:v>8.506</x:v>
      </x:c>
      <x:c r="E172" s="133" t="n">
        <x:v>0</x:v>
      </x:c>
      <x:c r="F172" s="133" t="n">
        <x:v>0</x:v>
      </x:c>
      <x:c r="G172" s="133" t="n">
        <x:v>0</x:v>
      </x:c>
      <x:c r="H172" s="133" t="n">
        <x:v>0</x:v>
      </x:c>
      <x:c r="I172" s="133" t="n">
        <x:v>0</x:v>
      </x:c>
      <x:c r="J172" s="133" t="n">
        <x:v>1</x:v>
      </x:c>
      <x:c r="K172" s="133" t="n">
        <x:f>SUM(E172:J172)</x:f>
        <x:v>1</x:v>
      </x:c>
      <x:c r="L172" s="205" t="n">
        <x:f>IFERROR(K172/D172,0)</x:f>
        <x:v>0.1175640724194686</x:v>
      </x:c>
      <x:c r="M172" s="160" t="str">
        <x:v>Presence-floor proxy only — 10k+ municipality completion</x:v>
      </x:c>
      <x:c r="N17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72" s="160" t="str">
        <x:v>Bergen County</x:v>
      </x:c>
    </x:row>
    <x:row r="173">
      <x:c r="A173" s="28" t="n">
        <x:v>174</x:v>
      </x:c>
      <x:c r="B173" s="28" t="str">
        <x:v>Lauderhill</x:v>
      </x:c>
      <x:c r="C173" s="28" t="str">
        <x:v>FL</x:v>
      </x:c>
      <x:c r="D173" s="204" t="n">
        <x:v>8.52</x:v>
      </x:c>
      <x:c r="E173" s="133" t="n">
        <x:v>0</x:v>
      </x:c>
      <x:c r="F173" s="133" t="n">
        <x:v>0</x:v>
      </x:c>
      <x:c r="G173" s="133" t="n">
        <x:v>0</x:v>
      </x:c>
      <x:c r="H173" s="133" t="n">
        <x:v>0</x:v>
      </x:c>
      <x:c r="I173" s="133" t="n">
        <x:v>0</x:v>
      </x:c>
      <x:c r="J173" s="133" t="n">
        <x:v>1</x:v>
      </x:c>
      <x:c r="K173" s="133" t="n">
        <x:f>SUM(E173:J173)</x:f>
        <x:v>1</x:v>
      </x:c>
      <x:c r="L173" s="205" t="n">
        <x:f>IFERROR(K173/D173,0)</x:f>
        <x:v>0.11737089201877934</x:v>
      </x:c>
      <x:c r="M173" s="160" t="str">
        <x:v>Presence-floor proxy only — 50k+ county completion</x:v>
      </x:c>
      <x:c r="N173"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173" s="160" t="str">
        <x:v>Broward County</x:v>
      </x:c>
    </x:row>
    <x:row r="174">
      <x:c r="A174" s="28" t="n">
        <x:v>175</x:v>
      </x:c>
      <x:c r="B174" s="28" t="str">
        <x:v>Oak Lawn</x:v>
      </x:c>
      <x:c r="C174" s="28" t="str">
        <x:v>IL</x:v>
      </x:c>
      <x:c r="D174" s="204" t="n">
        <x:v>8.571</x:v>
      </x:c>
      <x:c r="E174" s="133" t="n">
        <x:v>0</x:v>
      </x:c>
      <x:c r="F174" s="133" t="n">
        <x:v>0</x:v>
      </x:c>
      <x:c r="G174" s="133" t="n">
        <x:v>0</x:v>
      </x:c>
      <x:c r="H174" s="133" t="n">
        <x:v>0</x:v>
      </x:c>
      <x:c r="I174" s="133" t="n">
        <x:v>0</x:v>
      </x:c>
      <x:c r="J174" s="133" t="n">
        <x:v>1</x:v>
      </x:c>
      <x:c r="K174" s="133" t="n">
        <x:f>SUM(E174:J174)</x:f>
        <x:v>1</x:v>
      </x:c>
      <x:c r="L174" s="205" t="n">
        <x:f>IFERROR(K174/D174,0)</x:f>
        <x:v>0.11667250029168126</x:v>
      </x:c>
      <x:c r="M174" s="160" t="str">
        <x:v>Presence-floor proxy only — 50k+ county completion</x:v>
      </x:c>
      <x:c r="N174" s="160" t="str">
        <x:v>Added to complete ≥50,000-population incorporated-place coverage in counties ranked 6–10 by store count under the same Census Vintage 2025 screen. One-store screening floor only; exact selected-chain count and 5-mile buffer require GIS verification.</x:v>
      </x:c>
      <x:c r="O174" s="160" t="str">
        <x:v>Cook County</x:v>
      </x:c>
    </x:row>
    <x:row r="175">
      <x:c r="A175" s="28" t="n">
        <x:v>176</x:v>
      </x:c>
      <x:c r="B175" s="28" t="str">
        <x:v>Niles City</x:v>
      </x:c>
      <x:c r="C175" s="28" t="str">
        <x:v>OH</x:v>
      </x:c>
      <x:c r="D175" s="204" t="n">
        <x:v>8.653</x:v>
      </x:c>
      <x:c r="E175" s="133" t="n">
        <x:v>0</x:v>
      </x:c>
      <x:c r="F175" s="133" t="n">
        <x:v>0</x:v>
      </x:c>
      <x:c r="G175" s="133" t="n">
        <x:v>0</x:v>
      </x:c>
      <x:c r="H175" s="133" t="n">
        <x:v>0</x:v>
      </x:c>
      <x:c r="I175" s="133" t="n">
        <x:v>0</x:v>
      </x:c>
      <x:c r="J175" s="133" t="n">
        <x:v>1</x:v>
      </x:c>
      <x:c r="K175" s="133" t="n">
        <x:f>SUM(E175:J175)</x:f>
        <x:v>1</x:v>
      </x:c>
      <x:c r="L175" s="205" t="n">
        <x:f>IFERROR(K175/D175,0)</x:f>
        <x:v>0.11556685542586385</x:v>
      </x:c>
      <x:c r="M175" s="160" t="str">
        <x:v>Presence-floor proxy only — 10k+ municipality completion</x:v>
      </x:c>
      <x:c r="N175" s="160" t="str">
        <x:v>Added under the &gt;=50k-county expansion rule: Census Vintage 2025 municipality population &gt;=10,000; general-purpose city-equivalent municipality; direct Census adjacency. Presence-floor proxy only — exact tracked-chain count requires municipal-boundary/GIS verification. Liberty Township is subject to the workbook's established City+State collision rule; county specialty-grocery evidence is retained separately from municipal chain counts.</x:v>
      </x:c>
      <x:c r="O175" s="160" t="str">
        <x:v>Trumbull County</x:v>
      </x:c>
    </x:row>
    <x:row r="176">
      <x:c r="A176" s="28" t="n">
        <x:v>177</x:v>
      </x:c>
      <x:c r="B176" s="28" t="str">
        <x:v>Bordentown Township</x:v>
      </x:c>
      <x:c r="C176" s="28" t="str">
        <x:v>NJ</x:v>
      </x:c>
      <x:c r="D176" s="204" t="n">
        <x:v>8.656</x:v>
      </x:c>
      <x:c r="E176" s="133" t="n">
        <x:v>0</x:v>
      </x:c>
      <x:c r="F176" s="133" t="n">
        <x:v>0</x:v>
      </x:c>
      <x:c r="G176" s="133" t="n">
        <x:v>0</x:v>
      </x:c>
      <x:c r="H176" s="133" t="n">
        <x:v>0</x:v>
      </x:c>
      <x:c r="I176" s="133" t="n">
        <x:v>0</x:v>
      </x:c>
      <x:c r="J176" s="133" t="n">
        <x:v>1</x:v>
      </x:c>
      <x:c r="K176" s="133" t="n">
        <x:f>SUM(E176:J176)</x:f>
        <x:v>1</x:v>
      </x:c>
      <x:c r="L176" s="205" t="n">
        <x:f>IFERROR(K176/D176,0)</x:f>
        <x:v>0.1155268022181146</x:v>
      </x:c>
      <x:c r="M176" s="160" t="str">
        <x:v>Presence-floor proxy only — 10k+ municipality completion</x:v>
      </x:c>
      <x:c r="N17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176" s="160" t="str">
        <x:v>Burlington County</x:v>
      </x:c>
    </x:row>
    <x:row r="177">
      <x:c r="A177" s="28" t="n">
        <x:v>178</x:v>
      </x:c>
      <x:c r="B177" s="28" t="str">
        <x:v>Westtown Township</x:v>
      </x:c>
      <x:c r="C177" s="28" t="str">
        <x:v>PA</x:v>
      </x:c>
      <x:c r="D177" s="204" t="n">
        <x:v>8.664</x:v>
      </x:c>
      <x:c r="E177" s="133" t="n">
        <x:v>0</x:v>
      </x:c>
      <x:c r="F177" s="133" t="n">
        <x:v>0</x:v>
      </x:c>
      <x:c r="G177" s="133" t="n">
        <x:v>0</x:v>
      </x:c>
      <x:c r="H177" s="133" t="n">
        <x:v>0</x:v>
      </x:c>
      <x:c r="I177" s="133" t="n">
        <x:v>0</x:v>
      </x:c>
      <x:c r="J177" s="133" t="n">
        <x:v>1</x:v>
      </x:c>
      <x:c r="K177" s="133" t="n">
        <x:f>SUM(E177:J177)</x:f>
        <x:v>1</x:v>
      </x:c>
      <x:c r="L177" s="205" t="n">
        <x:f>IFERROR(K177/D177,0)</x:f>
        <x:v>0.11542012927054479</x:v>
      </x:c>
      <x:c r="M177" s="160" t="str">
        <x:v>Presence-floor proxy only — 10k+ municipality completion</x:v>
      </x:c>
      <x:c r="N177" s="160" t="str">
        <x:v>Added under the 10k+ city-equivalent municipality rule: Census Vintage 2025 population &gt;=10,000; county population &gt;=500,000. Presence-floor proxy only — exact tracked-chain count requires municipal-boundary/GIS verification.</x:v>
      </x:c>
      <x:c r="O177" s="160" t="str">
        <x:v>Chester County</x:v>
      </x:c>
    </x:row>
    <x:row r="178">
      <x:c r="A178" s="28" t="n">
        <x:v>179</x:v>
      </x:c>
      <x:c r="B178" s="28" t="str">
        <x:v>Margate</x:v>
      </x:c>
      <x:c r="C178" s="28" t="str">
        <x:v>FL</x:v>
      </x:c>
      <x:c r="D178" s="204" t="n">
        <x:v>8.85</x:v>
      </x:c>
      <x:c r="E178" s="133" t="n">
        <x:v>0</x:v>
      </x:c>
      <x:c r="F178" s="133" t="n">
        <x:v>0</x:v>
      </x:c>
      <x:c r="G178" s="133" t="n">
        <x:v>0</x:v>
      </x:c>
      <x:c r="H178" s="133" t="n">
        <x:v>0</x:v>
      </x:c>
      <x:c r="I178" s="133" t="n">
        <x:v>0</x:v>
      </x:c>
      <x:c r="J178" s="133" t="n">
        <x:v>1</x:v>
      </x:c>
      <x:c r="K178" s="133" t="n">
        <x:f>SUM(E178:J178)</x:f>
        <x:v>1</x:v>
      </x:c>
      <x:c r="L178" s="205" t="n">
        <x:f>IFERROR(K178/D178,0)</x:f>
        <x:v>0.11299435028248588</x:v>
      </x:c>
      <x:c r="M178" s="160" t="str">
        <x:v>Presence-floor proxy only — 50k+ county completion</x:v>
      </x:c>
      <x:c r="N178"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178" s="160" t="str">
        <x:v>Broward County</x:v>
      </x:c>
    </x:row>
    <x:row r="179">
      <x:c r="A179" s="28" t="n">
        <x:v>180</x:v>
      </x:c>
      <x:c r="B179" s="28" t="str">
        <x:v>Caln Township</x:v>
      </x:c>
      <x:c r="C179" s="28" t="str">
        <x:v>PA</x:v>
      </x:c>
      <x:c r="D179" s="204" t="n">
        <x:v>8.859</x:v>
      </x:c>
      <x:c r="E179" s="133" t="n">
        <x:v>0</x:v>
      </x:c>
      <x:c r="F179" s="133" t="n">
        <x:v>0</x:v>
      </x:c>
      <x:c r="G179" s="133" t="n">
        <x:v>0</x:v>
      </x:c>
      <x:c r="H179" s="133" t="n">
        <x:v>0</x:v>
      </x:c>
      <x:c r="I179" s="133" t="n">
        <x:v>0</x:v>
      </x:c>
      <x:c r="J179" s="133" t="n">
        <x:v>1</x:v>
      </x:c>
      <x:c r="K179" s="133" t="n">
        <x:f>SUM(E179:J179)</x:f>
        <x:v>1</x:v>
      </x:c>
      <x:c r="L179" s="205" t="n">
        <x:f>IFERROR(K179/D179,0)</x:f>
        <x:v>0.11287955751213455</x:v>
      </x:c>
      <x:c r="M179" s="160" t="str">
        <x:v>Presence-floor proxy only — 10k+ municipality completion</x:v>
      </x:c>
      <x:c r="N179" s="160" t="str">
        <x:v>Added under the 10k+ city-equivalent municipality rule: Census Vintage 2025 population &gt;=10,000; county population &gt;=500,000. Presence-floor proxy only — exact tracked-chain count requires municipal-boundary/GIS verification.</x:v>
      </x:c>
      <x:c r="O179" s="160" t="str">
        <x:v>Chester County</x:v>
      </x:c>
    </x:row>
    <x:row r="180">
      <x:c r="A180" s="28" t="n">
        <x:v>181</x:v>
      </x:c>
      <x:c r="B180" s="28" t="str">
        <x:v>Camden</x:v>
      </x:c>
      <x:c r="C180" s="28" t="str">
        <x:v>NJ</x:v>
      </x:c>
      <x:c r="D180" s="204" t="n">
        <x:v>8.92</x:v>
      </x:c>
      <x:c r="E180" s="133" t="n">
        <x:v>0</x:v>
      </x:c>
      <x:c r="F180" s="133" t="n">
        <x:v>0</x:v>
      </x:c>
      <x:c r="G180" s="133" t="n">
        <x:v>0</x:v>
      </x:c>
      <x:c r="H180" s="133" t="n">
        <x:v>0</x:v>
      </x:c>
      <x:c r="I180" s="133" t="n">
        <x:v>0</x:v>
      </x:c>
      <x:c r="J180" s="133" t="n">
        <x:v>1</x:v>
      </x:c>
      <x:c r="K180" s="133" t="n">
        <x:f>SUM(E180:J180)</x:f>
        <x:v>1</x:v>
      </x:c>
      <x:c r="L180" s="205" t="n">
        <x:f>IFERROR(K180/D180,0)</x:f>
        <x:v>0.11210762331838565</x:v>
      </x:c>
      <x:c r="M180" s="160" t="str">
        <x:v>Presence-floor proxy only — restricted-state adjacency expansion</x:v>
      </x:c>
      <x:c r="N180" s="160" t="str">
        <x:v>Census V2025 population 71,430. Added for Camden County completion; one-store screening floor pending production GIS verification.</x:v>
      </x:c>
      <x:c r="O180" s="160" t="str">
        <x:v>Camden County</x:v>
      </x:c>
    </x:row>
    <x:row r="181">
      <x:c r="A181" s="28" t="n">
        <x:v>182</x:v>
      </x:c>
      <x:c r="B181" s="28" t="str">
        <x:v>Cheltenham Township</x:v>
      </x:c>
      <x:c r="C181" s="28" t="str">
        <x:v>PA</x:v>
      </x:c>
      <x:c r="D181" s="204" t="n">
        <x:v>9.027</x:v>
      </x:c>
      <x:c r="E181" s="133" t="n">
        <x:v>0</x:v>
      </x:c>
      <x:c r="F181" s="133" t="n">
        <x:v>0</x:v>
      </x:c>
      <x:c r="G181" s="133" t="n">
        <x:v>0</x:v>
      </x:c>
      <x:c r="H181" s="133" t="n">
        <x:v>0</x:v>
      </x:c>
      <x:c r="I181" s="133" t="n">
        <x:v>0</x:v>
      </x:c>
      <x:c r="J181" s="133" t="n">
        <x:v>1</x:v>
      </x:c>
      <x:c r="K181" s="133" t="n">
        <x:f>SUM(E181:J181)</x:f>
        <x:v>1</x:v>
      </x:c>
      <x:c r="L181" s="205" t="n">
        <x:f>IFERROR(K181/D181,0)</x:f>
        <x:v>0.11077877478675087</x:v>
      </x:c>
      <x:c r="M181" s="160" t="str">
        <x:v>Presence-floor proxy only — 10k+ municipality completion</x:v>
      </x:c>
      <x:c r="N18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81" s="160" t="str">
        <x:v>Montgomery County</x:v>
      </x:c>
    </x:row>
    <x:row r="182">
      <x:c r="A182" s="28" t="n">
        <x:v>183</x:v>
      </x:c>
      <x:c r="B182" s="28" t="str">
        <x:v>Monroe City</x:v>
      </x:c>
      <x:c r="C182" s="28" t="str">
        <x:v>MI</x:v>
      </x:c>
      <x:c r="D182" s="204" t="n">
        <x:v>9.046</x:v>
      </x:c>
      <x:c r="E182" s="133" t="n">
        <x:v>0</x:v>
      </x:c>
      <x:c r="F182" s="133" t="n">
        <x:v>0</x:v>
      </x:c>
      <x:c r="G182" s="133" t="n">
        <x:v>0</x:v>
      </x:c>
      <x:c r="H182" s="133" t="n">
        <x:v>0</x:v>
      </x:c>
      <x:c r="I182" s="133" t="n">
        <x:v>0</x:v>
      </x:c>
      <x:c r="J182" s="133" t="n">
        <x:v>1</x:v>
      </x:c>
      <x:c r="K182" s="133" t="n">
        <x:f>SUM(E182:J182)</x:f>
        <x:v>1</x:v>
      </x:c>
      <x:c r="L182" s="205" t="n">
        <x:f>IFERROR(K182/D182,0)</x:f>
        <x:v>0.1105460977227504</x:v>
      </x:c>
      <x:c r="M182" s="160" t="str">
        <x:v>Presence-floor proxy only — 10k+ municipality completion</x:v>
      </x:c>
      <x:c r="N182" s="160" t="str">
        <x:v>Added under the &gt;=50k-county expansion rule: Census Vintage 2025 municipality population &gt;=10,000; general-purpose city-equivalent municipality; direct Census adjacency. Presence-floor proxy only — exact tracked-chain count requires municipal-boundary/GIS verification. Alive Naturally and Monroe Farmers Market provide county specialty-food evidence; no tracked-chain municipal count is assigned.</x:v>
      </x:c>
      <x:c r="O182" s="160" t="str">
        <x:v>Monroe County</x:v>
      </x:c>
    </x:row>
    <x:row r="183">
      <x:c r="A183" s="28" t="n">
        <x:v>184</x:v>
      </x:c>
      <x:c r="B183" s="28" t="str">
        <x:v>Inglewood</x:v>
      </x:c>
      <x:c r="C183" s="28" t="str">
        <x:v>CA</x:v>
      </x:c>
      <x:c r="D183" s="204" t="n">
        <x:v>9.067</x:v>
      </x:c>
      <x:c r="E183" s="133" t="n">
        <x:v>0</x:v>
      </x:c>
      <x:c r="F183" s="133" t="n">
        <x:v>0</x:v>
      </x:c>
      <x:c r="G183" s="133" t="n">
        <x:v>0</x:v>
      </x:c>
      <x:c r="H183" s="133" t="n">
        <x:v>0</x:v>
      </x:c>
      <x:c r="I183" s="133" t="n">
        <x:v>0</x:v>
      </x:c>
      <x:c r="J183" s="133" t="n">
        <x:v>1</x:v>
      </x:c>
      <x:c r="K183" s="133" t="n">
        <x:f>SUM(E183:J183)</x:f>
        <x:v>1</x:v>
      </x:c>
      <x:c r="L183" s="205" t="n">
        <x:f>IFERROR(K183/D183,0)</x:f>
        <x:v>0.11029006286533583</x:v>
      </x:c>
      <x:c r="M183" s="160" t="str">
        <x:v>Presence-floor proxy only — 50k+ county completion</x:v>
      </x:c>
      <x:c r="N183" s="160" t="str">
        <x:v>Added to complete ≥50,000-population incorporated-place coverage in a top-5 store-count county using Census Vintage 2025 eligibility. One-store screening floor only; exact selected-chain count and 5-mile buffer require GIS verification.</x:v>
      </x:c>
      <x:c r="O183" s="160" t="str">
        <x:v>Los Angeles County</x:v>
      </x:c>
    </x:row>
    <x:row r="184">
      <x:c r="A184" s="28" t="n">
        <x:v>185</x:v>
      </x:c>
      <x:c r="B184" s="28" t="str">
        <x:v>Fountain Valley</x:v>
      </x:c>
      <x:c r="C184" s="28" t="str">
        <x:v>CA</x:v>
      </x:c>
      <x:c r="D184" s="204" t="n">
        <x:v>9.07</x:v>
      </x:c>
      <x:c r="E184" s="133" t="n">
        <x:v>0</x:v>
      </x:c>
      <x:c r="F184" s="133" t="n">
        <x:v>0</x:v>
      </x:c>
      <x:c r="G184" s="133" t="n">
        <x:v>0</x:v>
      </x:c>
      <x:c r="H184" s="133" t="n">
        <x:v>0</x:v>
      </x:c>
      <x:c r="I184" s="133" t="n">
        <x:v>0</x:v>
      </x:c>
      <x:c r="J184" s="133" t="n">
        <x:v>1</x:v>
      </x:c>
      <x:c r="K184" s="133" t="n">
        <x:f>SUM(E184:J184)</x:f>
        <x:v>1</x:v>
      </x:c>
      <x:c r="L184" s="205" t="n">
        <x:f>IFERROR(K184/D184,0)</x:f>
        <x:v>0.11025358324145534</x:v>
      </x:c>
      <x:c r="M184" s="160" t="str">
        <x:v>Presence-floor proxy only — 50k+ county completion</x:v>
      </x:c>
      <x:c r="N184"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184" s="160" t="str">
        <x:v>Orange County</x:v>
      </x:c>
    </x:row>
    <x:row r="185">
      <x:c r="A185" s="28" t="n">
        <x:v>186</x:v>
      </x:c>
      <x:c r="B185" s="28" t="str">
        <x:v>Chatham Township</x:v>
      </x:c>
      <x:c r="C185" s="28" t="str">
        <x:v>NJ</x:v>
      </x:c>
      <x:c r="D185" s="204" t="n">
        <x:v>9.077</x:v>
      </x:c>
      <x:c r="E185" s="133" t="n">
        <x:v>0</x:v>
      </x:c>
      <x:c r="F185" s="133" t="n">
        <x:v>0</x:v>
      </x:c>
      <x:c r="G185" s="133" t="n">
        <x:v>0</x:v>
      </x:c>
      <x:c r="H185" s="133" t="n">
        <x:v>0</x:v>
      </x:c>
      <x:c r="I185" s="133" t="n">
        <x:v>0</x:v>
      </x:c>
      <x:c r="J185" s="133" t="n">
        <x:v>1</x:v>
      </x:c>
      <x:c r="K185" s="133" t="n">
        <x:f>SUM(E185:J185)</x:f>
        <x:v>1</x:v>
      </x:c>
      <x:c r="L185" s="205" t="n">
        <x:f>IFERROR(K185/D185,0)</x:f>
        <x:v>0.11016855789357717</x:v>
      </x:c>
      <x:c r="M185" s="160" t="str">
        <x:v>Presence-floor proxy only — 10k+ municipality completion</x:v>
      </x:c>
      <x:c r="N18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85" s="160" t="str">
        <x:v>Morris County</x:v>
      </x:c>
    </x:row>
    <x:row r="186">
      <x:c r="A186" s="28" t="n">
        <x:v>187</x:v>
      </x:c>
      <x:c r="B186" s="28" t="str">
        <x:v>La Mesa</x:v>
      </x:c>
      <x:c r="C186" s="28" t="str">
        <x:v>CA</x:v>
      </x:c>
      <x:c r="D186" s="204" t="n">
        <x:v>9.092</x:v>
      </x:c>
      <x:c r="E186" s="133" t="n">
        <x:v>0</x:v>
      </x:c>
      <x:c r="F186" s="133" t="n">
        <x:v>0</x:v>
      </x:c>
      <x:c r="G186" s="133" t="n">
        <x:v>0</x:v>
      </x:c>
      <x:c r="H186" s="133" t="n">
        <x:v>0</x:v>
      </x:c>
      <x:c r="I186" s="133" t="n">
        <x:v>0</x:v>
      </x:c>
      <x:c r="J186" s="133" t="n">
        <x:v>1</x:v>
      </x:c>
      <x:c r="K186" s="133" t="n">
        <x:f>SUM(E186:J186)</x:f>
        <x:v>1</x:v>
      </x:c>
      <x:c r="L186" s="205" t="n">
        <x:f>IFERROR(K186/D186,0)</x:f>
        <x:v>0.10998680158380994</x:v>
      </x:c>
      <x:c r="M186" s="160" t="str">
        <x:v>Presence-floor proxy only — 50k+ county completion</x:v>
      </x:c>
      <x:c r="N186" s="160" t="str">
        <x:v>Added to complete ≥50,000-population incorporated-place coverage in a top-5 store-count county using Census Vintage 2025 eligibility. One-store screening floor only; exact selected-chain count and 5-mile buffer require GIS verification.</x:v>
      </x:c>
      <x:c r="O186" s="160" t="str">
        <x:v>San Diego County</x:v>
      </x:c>
    </x:row>
    <x:row r="187">
      <x:c r="A187" s="28" t="n">
        <x:v>188</x:v>
      </x:c>
      <x:c r="B187" s="28" t="str">
        <x:v>South San Francisco</x:v>
      </x:c>
      <x:c r="C187" s="28" t="str">
        <x:v>CA</x:v>
      </x:c>
      <x:c r="D187" s="204" t="n">
        <x:v>9.204</x:v>
      </x:c>
      <x:c r="E187" s="133" t="n">
        <x:v>0</x:v>
      </x:c>
      <x:c r="F187" s="133" t="n">
        <x:v>0</x:v>
      </x:c>
      <x:c r="G187" s="133" t="n">
        <x:v>0</x:v>
      </x:c>
      <x:c r="H187" s="133" t="n">
        <x:v>0</x:v>
      </x:c>
      <x:c r="I187" s="133" t="n">
        <x:v>0</x:v>
      </x:c>
      <x:c r="J187" s="133" t="n">
        <x:v>1</x:v>
      </x:c>
      <x:c r="K187" s="133" t="n">
        <x:f>SUM(E187:J187)</x:f>
        <x:v>1</x:v>
      </x:c>
      <x:c r="L187" s="205" t="n">
        <x:f>IFERROR(K187/D187,0)</x:f>
        <x:v>0.10864841373315949</x:v>
      </x:c>
      <x:c r="M187" s="160" t="str">
        <x:v>Presence-floor proxy only — adjacent county expansion</x:v>
      </x:c>
      <x:c r="N187" s="160" t="str">
        <x:v>Added in adjacent-county expansion; Census Vintage 2025 population ≥50,000. No tracked-chain city count was verified in this screening pass, so the workbook's one-store screening floor is used; exact all-chain 5-mile count requires GIS verification.</x:v>
      </x:c>
      <x:c r="O187" s="160" t="str">
        <x:v>San Mateo County</x:v>
      </x:c>
    </x:row>
    <x:row r="188">
      <x:c r="A188" s="28" t="n">
        <x:v>189</x:v>
      </x:c>
      <x:c r="B188" s="28" t="str">
        <x:v>Springboro City</x:v>
      </x:c>
      <x:c r="C188" s="28" t="str">
        <x:v>OH</x:v>
      </x:c>
      <x:c r="D188" s="204" t="n">
        <x:v>9.244</x:v>
      </x:c>
      <x:c r="E188" s="133" t="n">
        <x:v>0</x:v>
      </x:c>
      <x:c r="F188" s="133" t="n">
        <x:v>0</x:v>
      </x:c>
      <x:c r="G188" s="133" t="n">
        <x:v>0</x:v>
      </x:c>
      <x:c r="H188" s="133" t="n">
        <x:v>0</x:v>
      </x:c>
      <x:c r="I188" s="133" t="n">
        <x:v>0</x:v>
      </x:c>
      <x:c r="J188" s="133" t="n">
        <x:v>1</x:v>
      </x:c>
      <x:c r="K188" s="133" t="n">
        <x:f>SUM(E188:J188)</x:f>
        <x:v>1</x:v>
      </x:c>
      <x:c r="L188" s="205" t="n">
        <x:f>IFERROR(K188/D188,0)</x:f>
        <x:v>0.1081782778018174</x:v>
      </x:c>
      <x:c r="M188" s="160" t="str">
        <x:v>Presence-floor proxy only — 10k+ municipality completion</x:v>
      </x:c>
      <x:c r="N188" s="160" t="str">
        <x:v>Added under the &gt;=50k-county expansion rule: Census Vintage 2025 municipality population &gt;=10,000; general-purpose city-equivalent municipality; direct Census adjacency. Presence-floor proxy only — exact tracked-chain count requires municipal-boundary/GIS verification. Springboro spans Warren and Montgomery counties and is canonically assigned to Warren County for this expansion.</x:v>
      </x:c>
      <x:c r="O188" s="160" t="str">
        <x:v>Warren County</x:v>
      </x:c>
    </x:row>
    <x:row r="189">
      <x:c r="A189" s="28" t="n">
        <x:v>190</x:v>
      </x:c>
      <x:c r="B189" s="28" t="str">
        <x:v>Lower Gwynedd Township</x:v>
      </x:c>
      <x:c r="C189" s="28" t="str">
        <x:v>PA</x:v>
      </x:c>
      <x:c r="D189" s="204" t="n">
        <x:v>9.306</x:v>
      </x:c>
      <x:c r="E189" s="133" t="n">
        <x:v>0</x:v>
      </x:c>
      <x:c r="F189" s="133" t="n">
        <x:v>0</x:v>
      </x:c>
      <x:c r="G189" s="133" t="n">
        <x:v>0</x:v>
      </x:c>
      <x:c r="H189" s="133" t="n">
        <x:v>0</x:v>
      </x:c>
      <x:c r="I189" s="133" t="n">
        <x:v>0</x:v>
      </x:c>
      <x:c r="J189" s="133" t="n">
        <x:v>1</x:v>
      </x:c>
      <x:c r="K189" s="133" t="n">
        <x:f>SUM(E189:J189)</x:f>
        <x:v>1</x:v>
      </x:c>
      <x:c r="L189" s="205" t="n">
        <x:f>IFERROR(K189/D189,0)</x:f>
        <x:v>0.10745755426606492</x:v>
      </x:c>
      <x:c r="M189" s="160" t="str">
        <x:v>Presence-floor proxy only — 10k+ municipality completion</x:v>
      </x:c>
      <x:c r="N18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89" s="160" t="str">
        <x:v>Montgomery County</x:v>
      </x:c>
    </x:row>
    <x:row r="190">
      <x:c r="A190" s="28" t="n">
        <x:v>191</x:v>
      </x:c>
      <x:c r="B190" s="28" t="str">
        <x:v>Glassboro Borough</x:v>
      </x:c>
      <x:c r="C190" s="28" t="str">
        <x:v>NJ</x:v>
      </x:c>
      <x:c r="D190" s="204" t="n">
        <x:v>9.32</x:v>
      </x:c>
      <x:c r="E190" s="133" t="n">
        <x:v>0</x:v>
      </x:c>
      <x:c r="F190" s="133" t="n">
        <x:v>0</x:v>
      </x:c>
      <x:c r="G190" s="133" t="n">
        <x:v>0</x:v>
      </x:c>
      <x:c r="H190" s="133" t="n">
        <x:v>0</x:v>
      </x:c>
      <x:c r="I190" s="133" t="n">
        <x:v>0</x:v>
      </x:c>
      <x:c r="J190" s="133" t="n">
        <x:v>1</x:v>
      </x:c>
      <x:c r="K190" s="133" t="n">
        <x:f>SUM(E190:J190)</x:f>
        <x:v>1</x:v>
      </x:c>
      <x:c r="L190" s="205" t="n">
        <x:f>IFERROR(K190/D190,0)</x:f>
        <x:v>0.1072961373390558</x:v>
      </x:c>
      <x:c r="M190" s="160" t="str">
        <x:v>Presence-floor proxy only — 10k+ municipality completion</x:v>
      </x:c>
      <x:c r="N19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190" s="160" t="str">
        <x:v>Gloucester County</x:v>
      </x:c>
    </x:row>
    <x:row r="191">
      <x:c r="A191" s="28" t="n">
        <x:v>192</x:v>
      </x:c>
      <x:c r="B191" s="28" t="str">
        <x:v>Lakewood</x:v>
      </x:c>
      <x:c r="C191" s="28" t="str">
        <x:v>CA</x:v>
      </x:c>
      <x:c r="D191" s="204" t="n">
        <x:v>9.394</x:v>
      </x:c>
      <x:c r="E191" s="133" t="n">
        <x:v>0</x:v>
      </x:c>
      <x:c r="F191" s="133" t="n">
        <x:v>0</x:v>
      </x:c>
      <x:c r="G191" s="133" t="n">
        <x:v>0</x:v>
      </x:c>
      <x:c r="H191" s="133" t="n">
        <x:v>0</x:v>
      </x:c>
      <x:c r="I191" s="133" t="n">
        <x:v>0</x:v>
      </x:c>
      <x:c r="J191" s="133" t="n">
        <x:v>1</x:v>
      </x:c>
      <x:c r="K191" s="133" t="n">
        <x:f>SUM(E191:J191)</x:f>
        <x:v>1</x:v>
      </x:c>
      <x:c r="L191" s="205" t="n">
        <x:f>IFERROR(K191/D191,0)</x:f>
        <x:v>0.10645092612305727</x:v>
      </x:c>
      <x:c r="M191" s="160" t="str">
        <x:v>Presence-floor proxy only — 50k+ county completion</x:v>
      </x:c>
      <x:c r="N191" s="160" t="str">
        <x:v>Added to complete ≥50,000-population incorporated-place coverage in a top-5 store-count county using Census Vintage 2025 eligibility. One-store screening floor only; exact selected-chain count and 5-mile buffer require GIS verification.</x:v>
      </x:c>
      <x:c r="O191" s="160" t="str">
        <x:v>Los Angeles County</x:v>
      </x:c>
    </x:row>
    <x:row r="192">
      <x:c r="A192" s="28" t="n">
        <x:v>193</x:v>
      </x:c>
      <x:c r="B192" s="28" t="str">
        <x:v>Franklin City</x:v>
      </x:c>
      <x:c r="C192" s="28" t="str">
        <x:v>OH</x:v>
      </x:c>
      <x:c r="D192" s="204" t="n">
        <x:v>9.41</x:v>
      </x:c>
      <x:c r="E192" s="133" t="n">
        <x:v>0</x:v>
      </x:c>
      <x:c r="F192" s="133" t="n">
        <x:v>0</x:v>
      </x:c>
      <x:c r="G192" s="133" t="n">
        <x:v>0</x:v>
      </x:c>
      <x:c r="H192" s="133" t="n">
        <x:v>0</x:v>
      </x:c>
      <x:c r="I192" s="133" t="n">
        <x:v>0</x:v>
      </x:c>
      <x:c r="J192" s="133" t="n">
        <x:v>1</x:v>
      </x:c>
      <x:c r="K192" s="133" t="n">
        <x:f>SUM(E192:J192)</x:f>
        <x:v>1</x:v>
      </x:c>
      <x:c r="L192" s="205" t="n">
        <x:f>IFERROR(K192/D192,0)</x:f>
        <x:v>0.10626992561105207</x:v>
      </x:c>
      <x:c r="M192" s="160" t="str">
        <x:v>Presence-floor proxy only — 10k+ municipality completion</x:v>
      </x:c>
      <x:c r="N192" s="160" t="str">
        <x:v>Added under the &gt;=50k-county expansion rule: Census Vintage 2025 municipality population &gt;=10,000; general-purpose city-equivalent municipality; direct Census adjacency. Presence-floor proxy only — exact tracked-chain count requires municipal-boundary/GIS verification.</x:v>
      </x:c>
      <x:c r="O192" s="160" t="str">
        <x:v>Warren County</x:v>
      </x:c>
    </x:row>
    <x:row r="193">
      <x:c r="A193" s="28" t="n">
        <x:v>194</x:v>
      </x:c>
      <x:c r="B193" s="28" t="str">
        <x:v>Franklin Lakes Borough</x:v>
      </x:c>
      <x:c r="C193" s="28" t="str">
        <x:v>NJ</x:v>
      </x:c>
      <x:c r="D193" s="204" t="n">
        <x:v>9.414</x:v>
      </x:c>
      <x:c r="E193" s="133" t="n">
        <x:v>0</x:v>
      </x:c>
      <x:c r="F193" s="133" t="n">
        <x:v>0</x:v>
      </x:c>
      <x:c r="G193" s="133" t="n">
        <x:v>0</x:v>
      </x:c>
      <x:c r="H193" s="133" t="n">
        <x:v>0</x:v>
      </x:c>
      <x:c r="I193" s="133" t="n">
        <x:v>0</x:v>
      </x:c>
      <x:c r="J193" s="133" t="n">
        <x:v>1</x:v>
      </x:c>
      <x:c r="K193" s="133" t="n">
        <x:f>SUM(E193:J193)</x:f>
        <x:v>1</x:v>
      </x:c>
      <x:c r="L193" s="205" t="n">
        <x:f>IFERROR(K193/D193,0)</x:f>
        <x:v>0.10622477161674103</x:v>
      </x:c>
      <x:c r="M193" s="160" t="str">
        <x:v>Presence-floor proxy only — 10k+ municipality completion</x:v>
      </x:c>
      <x:c r="N19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93" s="160" t="str">
        <x:v>Bergen County</x:v>
      </x:c>
    </x:row>
    <x:row r="194">
      <x:c r="A194" s="28" t="n">
        <x:v>195</x:v>
      </x:c>
      <x:c r="B194" s="28" t="str">
        <x:v>Kent City</x:v>
      </x:c>
      <x:c r="C194" s="28" t="str">
        <x:v>OH</x:v>
      </x:c>
      <x:c r="D194" s="204" t="n">
        <x:v>9.456</x:v>
      </x:c>
      <x:c r="E194" s="133" t="n">
        <x:v>0</x:v>
      </x:c>
      <x:c r="F194" s="133" t="n">
        <x:v>0</x:v>
      </x:c>
      <x:c r="G194" s="133" t="n">
        <x:v>0</x:v>
      </x:c>
      <x:c r="H194" s="133" t="n">
        <x:v>0</x:v>
      </x:c>
      <x:c r="I194" s="133" t="n">
        <x:v>0</x:v>
      </x:c>
      <x:c r="J194" s="133" t="n">
        <x:v>1</x:v>
      </x:c>
      <x:c r="K194" s="133" t="n">
        <x:f>SUM(E194:J194)</x:f>
        <x:v>1</x:v>
      </x:c>
      <x:c r="L194" s="205" t="n">
        <x:f>IFERROR(K194/D194,0)</x:f>
        <x:v>0.10575296108291032</x:v>
      </x:c>
      <x:c r="M194" s="160" t="str">
        <x:v>Presence-floor proxy only — 10k+ municipality completion</x:v>
      </x:c>
      <x:c r="N194" s="160" t="str">
        <x:v>Added under the &gt;=50k-county expansion rule: Census Vintage 2025 municipality population &gt;=10,000; general-purpose city-equivalent municipality; direct Census adjacency. Presence-floor proxy only — exact tracked-chain count requires municipal-boundary/GIS verification. Kent Natural Foods Co-op and Haymaker Farmers' Market provide county specialty-grocery evidence; Ravenna Township remains below 10,000.</x:v>
      </x:c>
      <x:c r="O194" s="160" t="str">
        <x:v>Portage County</x:v>
      </x:c>
    </x:row>
    <x:row r="195">
      <x:c r="A195" s="28" t="n">
        <x:v>196</x:v>
      </x:c>
      <x:c r="B195" s="28" t="str">
        <x:v>El Monte</x:v>
      </x:c>
      <x:c r="C195" s="28" t="str">
        <x:v>CA</x:v>
      </x:c>
      <x:c r="D195" s="204" t="n">
        <x:v>9.557</x:v>
      </x:c>
      <x:c r="E195" s="133" t="n">
        <x:v>0</x:v>
      </x:c>
      <x:c r="F195" s="133" t="n">
        <x:v>0</x:v>
      </x:c>
      <x:c r="G195" s="133" t="n">
        <x:v>0</x:v>
      </x:c>
      <x:c r="H195" s="133" t="n">
        <x:v>0</x:v>
      </x:c>
      <x:c r="I195" s="133" t="n">
        <x:v>0</x:v>
      </x:c>
      <x:c r="J195" s="133" t="n">
        <x:v>1</x:v>
      </x:c>
      <x:c r="K195" s="133" t="n">
        <x:f>SUM(E195:J195)</x:f>
        <x:v>1</x:v>
      </x:c>
      <x:c r="L195" s="205" t="n">
        <x:f>IFERROR(K195/D195,0)</x:f>
        <x:v>0.10463534581981793</x:v>
      </x:c>
      <x:c r="M195" s="160" t="str">
        <x:v>Presence-floor proxy only — 50k+ county completion</x:v>
      </x:c>
      <x:c r="N195" s="160" t="str">
        <x:v>Added to complete ≥50,000-population incorporated-place coverage in a top-5 store-count county using Census Vintage 2025 eligibility. One-store screening floor only; exact selected-chain count and 5-mile buffer require GIS verification.</x:v>
      </x:c>
      <x:c r="O195" s="160" t="str">
        <x:v>Los Angeles County</x:v>
      </x:c>
    </x:row>
    <x:row r="196">
      <x:c r="A196" s="28" t="n">
        <x:v>197</x:v>
      </x:c>
      <x:c r="B196" s="28" t="str">
        <x:v>Towamencin Township</x:v>
      </x:c>
      <x:c r="C196" s="28" t="str">
        <x:v>PA</x:v>
      </x:c>
      <x:c r="D196" s="204" t="n">
        <x:v>9.682</x:v>
      </x:c>
      <x:c r="E196" s="133" t="n">
        <x:v>0</x:v>
      </x:c>
      <x:c r="F196" s="133" t="n">
        <x:v>0</x:v>
      </x:c>
      <x:c r="G196" s="133" t="n">
        <x:v>0</x:v>
      </x:c>
      <x:c r="H196" s="133" t="n">
        <x:v>0</x:v>
      </x:c>
      <x:c r="I196" s="133" t="n">
        <x:v>0</x:v>
      </x:c>
      <x:c r="J196" s="133" t="n">
        <x:v>1</x:v>
      </x:c>
      <x:c r="K196" s="133" t="n">
        <x:f>SUM(E196:J196)</x:f>
        <x:v>1</x:v>
      </x:c>
      <x:c r="L196" s="205" t="n">
        <x:f>IFERROR(K196/D196,0)</x:f>
        <x:v>0.1032844453625284</x:v>
      </x:c>
      <x:c r="M196" s="160" t="str">
        <x:v>Presence-floor proxy only — 10k+ municipality completion</x:v>
      </x:c>
      <x:c r="N19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196" s="160" t="str">
        <x:v>Montgomery County</x:v>
      </x:c>
    </x:row>
    <x:row r="197">
      <x:c r="A197" s="28" t="n">
        <x:v>198</x:v>
      </x:c>
      <x:c r="B197" s="28" t="str">
        <x:v>Norwalk</x:v>
      </x:c>
      <x:c r="C197" s="28" t="str">
        <x:v>CA</x:v>
      </x:c>
      <x:c r="D197" s="204" t="n">
        <x:v>9.707</x:v>
      </x:c>
      <x:c r="E197" s="133" t="n">
        <x:v>0</x:v>
      </x:c>
      <x:c r="F197" s="133" t="n">
        <x:v>0</x:v>
      </x:c>
      <x:c r="G197" s="133" t="n">
        <x:v>0</x:v>
      </x:c>
      <x:c r="H197" s="133" t="n">
        <x:v>0</x:v>
      </x:c>
      <x:c r="I197" s="133" t="n">
        <x:v>0</x:v>
      </x:c>
      <x:c r="J197" s="133" t="n">
        <x:v>1</x:v>
      </x:c>
      <x:c r="K197" s="133" t="n">
        <x:f>SUM(E197:J197)</x:f>
        <x:v>1</x:v>
      </x:c>
      <x:c r="L197" s="205" t="n">
        <x:f>IFERROR(K197/D197,0)</x:f>
        <x:v>0.10301844030081383</x:v>
      </x:c>
      <x:c r="M197" s="160" t="str">
        <x:v>Presence-floor proxy only — 50k+ county completion</x:v>
      </x:c>
      <x:c r="N197" s="160" t="str">
        <x:v>Added to complete ≥50,000-population incorporated-place coverage in a top-5 store-count county using Census Vintage 2025 eligibility. One-store screening floor only; exact selected-chain count and 5-mile buffer require GIS verification.</x:v>
      </x:c>
      <x:c r="O197" s="160" t="str">
        <x:v>Los Angeles County</x:v>
      </x:c>
    </x:row>
    <x:row r="198">
      <x:c r="A198" s="28" t="n">
        <x:v>199</x:v>
      </x:c>
      <x:c r="B198" s="28" t="str">
        <x:v>Florence Township</x:v>
      </x:c>
      <x:c r="C198" s="28" t="str">
        <x:v>NJ</x:v>
      </x:c>
      <x:c r="D198" s="204" t="n">
        <x:v>9.76</x:v>
      </x:c>
      <x:c r="E198" s="133" t="n">
        <x:v>0</x:v>
      </x:c>
      <x:c r="F198" s="133" t="n">
        <x:v>0</x:v>
      </x:c>
      <x:c r="G198" s="133" t="n">
        <x:v>0</x:v>
      </x:c>
      <x:c r="H198" s="133" t="n">
        <x:v>0</x:v>
      </x:c>
      <x:c r="I198" s="133" t="n">
        <x:v>0</x:v>
      </x:c>
      <x:c r="J198" s="133" t="n">
        <x:v>1</x:v>
      </x:c>
      <x:c r="K198" s="133" t="n">
        <x:f>SUM(E198:J198)</x:f>
        <x:v>1</x:v>
      </x:c>
      <x:c r="L198" s="205" t="n">
        <x:f>IFERROR(K198/D198,0)</x:f>
        <x:v>0.10245901639344263</x:v>
      </x:c>
      <x:c r="M198" s="160" t="str">
        <x:v>Presence-floor proxy only — 10k+ municipality completion</x:v>
      </x:c>
      <x:c r="N19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198" s="160" t="str">
        <x:v>Burlington County</x:v>
      </x:c>
    </x:row>
    <x:row r="199">
      <x:c r="A199" s="28" t="n">
        <x:v>200</x:v>
      </x:c>
      <x:c r="B199" s="28" t="str">
        <x:v>Bristol Town</x:v>
      </x:c>
      <x:c r="C199" s="28" t="str">
        <x:v>RI</x:v>
      </x:c>
      <x:c r="D199" s="204" t="n">
        <x:v>9.789</x:v>
      </x:c>
      <x:c r="E199" s="133" t="n">
        <x:v>0</x:v>
      </x:c>
      <x:c r="F199" s="133" t="n">
        <x:v>0</x:v>
      </x:c>
      <x:c r="G199" s="133" t="n">
        <x:v>0</x:v>
      </x:c>
      <x:c r="H199" s="133" t="n">
        <x:v>0</x:v>
      </x:c>
      <x:c r="I199" s="133" t="n">
        <x:v>0</x:v>
      </x:c>
      <x:c r="J199" s="133" t="n">
        <x:v>1</x:v>
      </x:c>
      <x:c r="K199" s="133" t="n">
        <x:f>SUM(E199:J199)</x:f>
        <x:v>1</x:v>
      </x:c>
      <x:c r="L199" s="205" t="n">
        <x:f>IFERROR(K199/D199,0)</x:f>
        <x:v>0.10215548064153643</x:v>
      </x:c>
      <x:c r="M199" s="160" t="str">
        <x:v>Presence-floor proxy only — 10k+ municipality completion</x:v>
      </x:c>
      <x:c r="N199" s="160" t="str">
        <x:v>Added under the &gt;=50k-county expansion rule: Census Vintage 2025 municipality population &gt;=10,000; general-purpose city-equivalent municipality; direct Census adjacency. Presence-floor proxy only — exact tracked-chain count requires municipal-boundary/GIS verification. Bristol County is a threshold-edge county at V2025 population 50,001; all three towns exceed 10,000.</x:v>
      </x:c>
      <x:c r="O199" s="160" t="str">
        <x:v>Bristol County</x:v>
      </x:c>
    </x:row>
    <x:row r="200">
      <x:c r="A200" s="28" t="n">
        <x:v>201</x:v>
      </x:c>
      <x:c r="B200" s="28" t="str">
        <x:v>Somersworth city</x:v>
      </x:c>
      <x:c r="C200" s="28" t="str">
        <x:v>NH</x:v>
      </x:c>
      <x:c r="D200" s="204" t="n">
        <x:v>9.804</x:v>
      </x:c>
      <x:c r="E200" s="133" t="n">
        <x:v>0</x:v>
      </x:c>
      <x:c r="F200" s="133" t="n">
        <x:v>0</x:v>
      </x:c>
      <x:c r="G200" s="133" t="n">
        <x:v>0</x:v>
      </x:c>
      <x:c r="H200" s="133" t="n">
        <x:v>0</x:v>
      </x:c>
      <x:c r="I200" s="133" t="n">
        <x:v>0</x:v>
      </x:c>
      <x:c r="J200" s="133" t="n">
        <x:v>1</x:v>
      </x:c>
      <x:c r="K200" s="133" t="n">
        <x:f>SUM(E200:J200)</x:f>
        <x:v>1</x:v>
      </x:c>
      <x:c r="L200" s="205" t="n">
        <x:f>IFERROR(K200/D200,0)</x:f>
        <x:v>0.10199918400652795</x:v>
      </x:c>
      <x:c r="M200" s="160" t="str">
        <x:v>Presence-floor proxy only — 10k+ municipality completion</x:v>
      </x:c>
      <x:c r="N200" s="160" t="str">
        <x:v>Added under the 2026-09-15 &gt;=50k-county expansion rule: Census Vintage 2025 municipality population &gt;=10,000; general-purpose city-equivalent municipality; direct Census adjacency. Presence-floor proxy only — exact tracked-chain count requires municipal-boundary/GIS verification. Barrington remains below the 10,000 threshold.</x:v>
      </x:c>
      <x:c r="O200" s="160" t="str">
        <x:v>Strafford County</x:v>
      </x:c>
    </x:row>
    <x:row r="201">
      <x:c r="A201" s="28" t="n">
        <x:v>202</x:v>
      </x:c>
      <x:c r="B201" s="28" t="str">
        <x:v>Reading</x:v>
      </x:c>
      <x:c r="C201" s="28" t="str">
        <x:v>PA</x:v>
      </x:c>
      <x:c r="D201" s="204" t="n">
        <x:v>9.84</x:v>
      </x:c>
      <x:c r="E201" s="133" t="n">
        <x:v>0</x:v>
      </x:c>
      <x:c r="F201" s="133" t="n">
        <x:v>0</x:v>
      </x:c>
      <x:c r="G201" s="133" t="n">
        <x:v>0</x:v>
      </x:c>
      <x:c r="H201" s="133" t="n">
        <x:v>0</x:v>
      </x:c>
      <x:c r="I201" s="133" t="n">
        <x:v>0</x:v>
      </x:c>
      <x:c r="J201" s="133" t="n">
        <x:v>1</x:v>
      </x:c>
      <x:c r="K201" s="133" t="n">
        <x:f>SUM(E201:J201)</x:f>
        <x:v>1</x:v>
      </x:c>
      <x:c r="L201" s="205" t="n">
        <x:f>IFERROR(K201/D201,0)</x:f>
        <x:v>0.1016260162601626</x:v>
      </x:c>
      <x:c r="M201" s="160" t="str">
        <x:v>Presence-floor proxy only — restricted-state adjacency expansion</x:v>
      </x:c>
      <x:c r="N201" s="160" t="str">
        <x:v>Census V2025 population 95,832. Added for Berks County completion; one-store screening floor pending production GIS verification.</x:v>
      </x:c>
      <x:c r="O201" s="160" t="str">
        <x:v>Berks County</x:v>
      </x:c>
    </x:row>
    <x:row r="202">
      <x:c r="A202" s="28" t="n">
        <x:v>203</x:v>
      </x:c>
      <x:c r="B202" s="28" t="str">
        <x:v>Milford city</x:v>
      </x:c>
      <x:c r="C202" s="28" t="str">
        <x:v>DE</x:v>
      </x:c>
      <x:c r="D202" s="204" t="n">
        <x:v>9.862</x:v>
      </x:c>
      <x:c r="E202" s="133" t="n">
        <x:v>0</x:v>
      </x:c>
      <x:c r="F202" s="133" t="n">
        <x:v>0</x:v>
      </x:c>
      <x:c r="G202" s="133" t="n">
        <x:v>0</x:v>
      </x:c>
      <x:c r="H202" s="133" t="n">
        <x:v>0</x:v>
      </x:c>
      <x:c r="I202" s="133" t="n">
        <x:v>0</x:v>
      </x:c>
      <x:c r="J202" s="133" t="n">
        <x:v>1</x:v>
      </x:c>
      <x:c r="K202" s="133" t="n">
        <x:f>SUM(E202:J202)</x:f>
        <x:v>1</x:v>
      </x:c>
      <x:c r="L202" s="205" t="n">
        <x:f>IFERROR(K202/D202,0)</x:f>
        <x:v>0.1013993104846887</x:v>
      </x:c>
      <x:c r="M202" s="160" t="str">
        <x:v>Presence-floor proxy only — 10k+ municipality completion</x:v>
      </x:c>
      <x:c r="N202" s="160" t="str">
        <x:v>Added under the &gt;=50k-county expansion rule: Census Vintage 2025 municipality population &gt;=10,000; general-purpose city-equivalent municipality; direct Census adjacency. Presence-floor proxy only — exact tracked-chain count requires municipal-boundary/GIS verification. Fifer's Farm Store and Delaware Department of Agriculture market listings provide Kent County specialty-food evidence. Milford city spans county boundaries and is canonically assigned to Kent County for this expansion.</x:v>
      </x:c>
      <x:c r="O202" s="160" t="str">
        <x:v>Kent County</x:v>
      </x:c>
    </x:row>
    <x:row r="203">
      <x:c r="A203" s="28" t="n">
        <x:v>204</x:v>
      </x:c>
      <x:c r="B203" s="28" t="str">
        <x:v>Hatfield Township</x:v>
      </x:c>
      <x:c r="C203" s="28" t="str">
        <x:v>PA</x:v>
      </x:c>
      <x:c r="D203" s="204" t="n">
        <x:v>9.937</x:v>
      </x:c>
      <x:c r="E203" s="133" t="n">
        <x:v>0</x:v>
      </x:c>
      <x:c r="F203" s="133" t="n">
        <x:v>0</x:v>
      </x:c>
      <x:c r="G203" s="133" t="n">
        <x:v>0</x:v>
      </x:c>
      <x:c r="H203" s="133" t="n">
        <x:v>0</x:v>
      </x:c>
      <x:c r="I203" s="133" t="n">
        <x:v>0</x:v>
      </x:c>
      <x:c r="J203" s="133" t="n">
        <x:v>1</x:v>
      </x:c>
      <x:c r="K203" s="133" t="n">
        <x:f>SUM(E203:J203)</x:f>
        <x:v>1</x:v>
      </x:c>
      <x:c r="L203" s="205" t="n">
        <x:f>IFERROR(K203/D203,0)</x:f>
        <x:v>0.10063399416322834</x:v>
      </x:c>
      <x:c r="M203" s="160" t="str">
        <x:v>Presence-floor proxy only — 10k+ municipality completion</x:v>
      </x:c>
      <x:c r="N20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03" s="160" t="str">
        <x:v>Montgomery County</x:v>
      </x:c>
    </x:row>
    <x:row r="204">
      <x:c r="A204" s="28" t="n">
        <x:v>205</x:v>
      </x:c>
      <x:c r="B204" s="28" t="str">
        <x:v>Haverford Township</x:v>
      </x:c>
      <x:c r="C204" s="28" t="str">
        <x:v>PA</x:v>
      </x:c>
      <x:c r="D204" s="204" t="n">
        <x:v>9.945</x:v>
      </x:c>
      <x:c r="E204" s="133" t="n">
        <x:v>0</x:v>
      </x:c>
      <x:c r="F204" s="133" t="n">
        <x:v>0</x:v>
      </x:c>
      <x:c r="G204" s="133" t="n">
        <x:v>0</x:v>
      </x:c>
      <x:c r="H204" s="133" t="n">
        <x:v>0</x:v>
      </x:c>
      <x:c r="I204" s="133" t="n">
        <x:v>0</x:v>
      </x:c>
      <x:c r="J204" s="133" t="n">
        <x:v>1</x:v>
      </x:c>
      <x:c r="K204" s="133" t="n">
        <x:f>SUM(E204:J204)</x:f>
        <x:v>1</x:v>
      </x:c>
      <x:c r="L204" s="205" t="n">
        <x:f>IFERROR(K204/D204,0)</x:f>
        <x:v>0.10055304172951232</x:v>
      </x:c>
      <x:c r="M204" s="160" t="str">
        <x:v>Presence-floor proxy only — 10k+ municipality completion</x:v>
      </x:c>
      <x:c r="N204" s="160" t="str">
        <x:v>Added under the 10k+ city-equivalent municipality rule: Census Vintage 2025 population &gt;=10,000; county population &gt;=500,000. Presence-floor proxy only — exact tracked-chain count requires municipal-boundary/GIS verification.</x:v>
      </x:c>
      <x:c r="O204" s="160" t="str">
        <x:v>Delaware County</x:v>
      </x:c>
    </x:row>
    <x:row r="205">
      <x:c r="A205" s="28" t="n">
        <x:v>206</x:v>
      </x:c>
      <x:c r="B205" s="28" t="str">
        <x:v>Compton</x:v>
      </x:c>
      <x:c r="C205" s="28" t="str">
        <x:v>CA</x:v>
      </x:c>
      <x:c r="D205" s="204" t="n">
        <x:v>10.027</x:v>
      </x:c>
      <x:c r="E205" s="133" t="n">
        <x:v>0</x:v>
      </x:c>
      <x:c r="F205" s="133" t="n">
        <x:v>0</x:v>
      </x:c>
      <x:c r="G205" s="133" t="n">
        <x:v>0</x:v>
      </x:c>
      <x:c r="H205" s="133" t="n">
        <x:v>0</x:v>
      </x:c>
      <x:c r="I205" s="133" t="n">
        <x:v>0</x:v>
      </x:c>
      <x:c r="J205" s="133" t="n">
        <x:v>1</x:v>
      </x:c>
      <x:c r="K205" s="133" t="n">
        <x:f>SUM(E205:J205)</x:f>
        <x:v>1</x:v>
      </x:c>
      <x:c r="L205" s="205" t="n">
        <x:f>IFERROR(K205/D205,0)</x:f>
        <x:v>0.0997307270370001</x:v>
      </x:c>
      <x:c r="M205" s="160" t="str">
        <x:v>Presence-floor proxy only — 50k+ county completion</x:v>
      </x:c>
      <x:c r="N205" s="160" t="str">
        <x:v>Added to complete ≥50,000-population incorporated-place coverage in a top-5 store-count county using Census Vintage 2025 eligibility. One-store screening floor only; exact selected-chain count and 5-mile buffer require GIS verification.</x:v>
      </x:c>
      <x:c r="O205" s="160" t="str">
        <x:v>Los Angeles County</x:v>
      </x:c>
    </x:row>
    <x:row r="206">
      <x:c r="A206" s="28" t="n">
        <x:v>207</x:v>
      </x:c>
      <x:c r="B206" s="28" t="str">
        <x:v>Westminster</x:v>
      </x:c>
      <x:c r="C206" s="28" t="str">
        <x:v>CA</x:v>
      </x:c>
      <x:c r="D206" s="204" t="n">
        <x:v>10.05</x:v>
      </x:c>
      <x:c r="E206" s="133" t="n">
        <x:v>0</x:v>
      </x:c>
      <x:c r="F206" s="133" t="n">
        <x:v>0</x:v>
      </x:c>
      <x:c r="G206" s="133" t="n">
        <x:v>0</x:v>
      </x:c>
      <x:c r="H206" s="133" t="n">
        <x:v>0</x:v>
      </x:c>
      <x:c r="I206" s="133" t="n">
        <x:v>0</x:v>
      </x:c>
      <x:c r="J206" s="133" t="n">
        <x:v>1</x:v>
      </x:c>
      <x:c r="K206" s="133" t="n">
        <x:f>SUM(E206:J206)</x:f>
        <x:v>1</x:v>
      </x:c>
      <x:c r="L206" s="205" t="n">
        <x:f>IFERROR(K206/D206,0)</x:f>
        <x:v>0.09950248756218905</x:v>
      </x:c>
      <x:c r="M206" s="160" t="str">
        <x:v>Presence-floor proxy only — 50k+ county completion</x:v>
      </x:c>
      <x:c r="N206"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206" s="160" t="str">
        <x:v>Orange County</x:v>
      </x:c>
    </x:row>
    <x:row r="207">
      <x:c r="A207" s="28" t="n">
        <x:v>208</x:v>
      </x:c>
      <x:c r="B207" s="28" t="str">
        <x:v>East Goshen Township</x:v>
      </x:c>
      <x:c r="C207" s="28" t="str">
        <x:v>PA</x:v>
      </x:c>
      <x:c r="D207" s="204" t="n">
        <x:v>10.052</x:v>
      </x:c>
      <x:c r="E207" s="133" t="n">
        <x:v>0</x:v>
      </x:c>
      <x:c r="F207" s="133" t="n">
        <x:v>0</x:v>
      </x:c>
      <x:c r="G207" s="133" t="n">
        <x:v>0</x:v>
      </x:c>
      <x:c r="H207" s="133" t="n">
        <x:v>0</x:v>
      </x:c>
      <x:c r="I207" s="133" t="n">
        <x:v>0</x:v>
      </x:c>
      <x:c r="J207" s="133" t="n">
        <x:v>1</x:v>
      </x:c>
      <x:c r="K207" s="133" t="n">
        <x:f>SUM(E207:J207)</x:f>
        <x:v>1</x:v>
      </x:c>
      <x:c r="L207" s="205" t="n">
        <x:f>IFERROR(K207/D207,0)</x:f>
        <x:v>0.09948269001193792</x:v>
      </x:c>
      <x:c r="M207" s="160" t="str">
        <x:v>Presence-floor proxy only — 10k+ municipality completion</x:v>
      </x:c>
      <x:c r="N207" s="160" t="str">
        <x:v>Added under the 10k+ city-equivalent municipality rule: Census Vintage 2025 population &gt;=10,000; county population &gt;=500,000. Presence-floor proxy only — exact tracked-chain count requires municipal-boundary/GIS verification.</x:v>
      </x:c>
      <x:c r="O207" s="160" t="str">
        <x:v>Chester County</x:v>
      </x:c>
    </x:row>
    <x:row r="208">
      <x:c r="A208" s="28" t="n">
        <x:v>209</x:v>
      </x:c>
      <x:c r="B208" s="28" t="str">
        <x:v>Lower Allen Township</x:v>
      </x:c>
      <x:c r="C208" s="28" t="str">
        <x:v>PA</x:v>
      </x:c>
      <x:c r="D208" s="204" t="n">
        <x:v>10.063</x:v>
      </x:c>
      <x:c r="E208" s="133" t="n">
        <x:v>0</x:v>
      </x:c>
      <x:c r="F208" s="133" t="n">
        <x:v>0</x:v>
      </x:c>
      <x:c r="G208" s="133" t="n">
        <x:v>0</x:v>
      </x:c>
      <x:c r="H208" s="133" t="n">
        <x:v>0</x:v>
      </x:c>
      <x:c r="I208" s="133" t="n">
        <x:v>0</x:v>
      </x:c>
      <x:c r="J208" s="133" t="n">
        <x:v>1</x:v>
      </x:c>
      <x:c r="K208" s="133" t="n">
        <x:f>SUM(E208:J208)</x:f>
        <x:v>1</x:v>
      </x:c>
      <x:c r="L208" s="205" t="n">
        <x:f>IFERROR(K208/D208,0)</x:f>
        <x:v>0.09937394415184338</x:v>
      </x:c>
      <x:c r="M208" s="160" t="str">
        <x:v>Presence-floor proxy only — 10k+ municipality completion</x:v>
      </x:c>
      <x:c r="N208"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208" s="160" t="str">
        <x:v>Cumberland County</x:v>
      </x:c>
    </x:row>
    <x:row r="209">
      <x:c r="A209" s="28" t="n">
        <x:v>210</x:v>
      </x:c>
      <x:c r="B209" s="28" t="str">
        <x:v>Skokie</x:v>
      </x:c>
      <x:c r="C209" s="28" t="str">
        <x:v>IL</x:v>
      </x:c>
      <x:c r="D209" s="204" t="n">
        <x:v>10.064</x:v>
      </x:c>
      <x:c r="E209" s="133" t="n">
        <x:v>0</x:v>
      </x:c>
      <x:c r="F209" s="133" t="n">
        <x:v>0</x:v>
      </x:c>
      <x:c r="G209" s="133" t="n">
        <x:v>0</x:v>
      </x:c>
      <x:c r="H209" s="133" t="n">
        <x:v>0</x:v>
      </x:c>
      <x:c r="I209" s="133" t="n">
        <x:v>0</x:v>
      </x:c>
      <x:c r="J209" s="133" t="n">
        <x:v>1</x:v>
      </x:c>
      <x:c r="K209" s="133" t="n">
        <x:f>SUM(E209:J209)</x:f>
        <x:v>1</x:v>
      </x:c>
      <x:c r="L209" s="205" t="n">
        <x:f>IFERROR(K209/D209,0)</x:f>
        <x:v>0.09936406995230525</x:v>
      </x:c>
      <x:c r="M209" s="160" t="str">
        <x:v>Presence-floor proxy only — 50k+ county completion</x:v>
      </x:c>
      <x:c r="N209" s="160" t="str">
        <x:v>Added to complete ≥50,000-population incorporated-place coverage in counties ranked 6–10 by store count under the same Census Vintage 2025 screen. One-store screening floor only; exact selected-chain count and 5-mile buffer require GIS verification.</x:v>
      </x:c>
      <x:c r="O209" s="160" t="str">
        <x:v>Cook County</x:v>
      </x:c>
    </x:row>
    <x:row r="210">
      <x:c r="A210" s="28" t="n">
        <x:v>211</x:v>
      </x:c>
      <x:c r="B210" s="28" t="str">
        <x:v>North Tonawanda city</x:v>
      </x:c>
      <x:c r="C210" s="28" t="str">
        <x:v>NY</x:v>
      </x:c>
      <x:c r="D210" s="204" t="n">
        <x:v>10.093</x:v>
      </x:c>
      <x:c r="E210" s="133" t="n">
        <x:v>0</x:v>
      </x:c>
      <x:c r="F210" s="133" t="n">
        <x:v>0</x:v>
      </x:c>
      <x:c r="G210" s="133" t="n">
        <x:v>0</x:v>
      </x:c>
      <x:c r="H210" s="133" t="n">
        <x:v>0</x:v>
      </x:c>
      <x:c r="I210" s="133" t="n">
        <x:v>0</x:v>
      </x:c>
      <x:c r="J210" s="133" t="n">
        <x:v>1</x:v>
      </x:c>
      <x:c r="K210" s="133" t="n">
        <x:f>SUM(E210:J210)</x:f>
        <x:v>1</x:v>
      </x:c>
      <x:c r="L210" s="205" t="n">
        <x:f>IFERROR(K210/D210,0)</x:f>
        <x:v>0.09907856930545923</x:v>
      </x:c>
      <x:c r="M210" s="160" t="str">
        <x:v>Presence-floor proxy only — 10k+ municipality completion</x:v>
      </x:c>
      <x:c r="N210"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210" s="160" t="str">
        <x:v>Niagara County</x:v>
      </x:c>
    </x:row>
    <x:row r="211">
      <x:c r="A211" s="28" t="n">
        <x:v>212</x:v>
      </x:c>
      <x:c r="B211" s="28" t="str">
        <x:v>Warminster Township</x:v>
      </x:c>
      <x:c r="C211" s="28" t="str">
        <x:v>PA</x:v>
      </x:c>
      <x:c r="D211" s="204" t="n">
        <x:v>10.16</x:v>
      </x:c>
      <x:c r="E211" s="133" t="n">
        <x:v>0</x:v>
      </x:c>
      <x:c r="F211" s="133" t="n">
        <x:v>0</x:v>
      </x:c>
      <x:c r="G211" s="133" t="n">
        <x:v>0</x:v>
      </x:c>
      <x:c r="H211" s="133" t="n">
        <x:v>0</x:v>
      </x:c>
      <x:c r="I211" s="133" t="n">
        <x:v>0</x:v>
      </x:c>
      <x:c r="J211" s="133" t="n">
        <x:v>1</x:v>
      </x:c>
      <x:c r="K211" s="133" t="n">
        <x:f>SUM(E211:J211)</x:f>
        <x:v>1</x:v>
      </x:c>
      <x:c r="L211" s="205" t="n">
        <x:f>IFERROR(K211/D211,0)</x:f>
        <x:v>0.09842519685039369</x:v>
      </x:c>
      <x:c r="M211" s="160" t="str">
        <x:v>Presence-floor proxy only — 10k+ municipality completion</x:v>
      </x:c>
      <x:c r="N21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11" s="160" t="str">
        <x:v>Bucks County</x:v>
      </x:c>
    </x:row>
    <x:row r="212">
      <x:c r="A212" s="28" t="n">
        <x:v>213</x:v>
      </x:c>
      <x:c r="B212" s="28" t="str">
        <x:v>Bay City City</x:v>
      </x:c>
      <x:c r="C212" s="28" t="str">
        <x:v>MI</x:v>
      </x:c>
      <x:c r="D212" s="204" t="n">
        <x:v>10.166</x:v>
      </x:c>
      <x:c r="E212" s="133" t="n">
        <x:v>0</x:v>
      </x:c>
      <x:c r="F212" s="133" t="n">
        <x:v>0</x:v>
      </x:c>
      <x:c r="G212" s="133" t="n">
        <x:v>0</x:v>
      </x:c>
      <x:c r="H212" s="133" t="n">
        <x:v>0</x:v>
      </x:c>
      <x:c r="I212" s="133" t="n">
        <x:v>0</x:v>
      </x:c>
      <x:c r="J212" s="133" t="n">
        <x:v>1</x:v>
      </x:c>
      <x:c r="K212" s="133" t="n">
        <x:f>SUM(E212:J212)</x:f>
        <x:v>1</x:v>
      </x:c>
      <x:c r="L212" s="205" t="n">
        <x:f>IFERROR(K212/D212,0)</x:f>
        <x:v>0.0983671060397403</x:v>
      </x:c>
      <x:c r="M212" s="160" t="str">
        <x:v>Presence-floor proxy only — 10k+ municipality completion</x:v>
      </x:c>
      <x:c r="N212" s="160" t="str">
        <x:v>Added under the &gt;=50k-county expansion rule: Census Vintage 2025 municipality population &gt;=10,000; general-purpose city-equivalent municipality; direct Census adjacency. Presence-floor proxy only — exact tracked-chain count requires municipal-boundary/GIS verification. Monitor Charter Township is V2025 10,597; Hampton Charter Township is below 10,000 and excluded.</x:v>
      </x:c>
      <x:c r="O212" s="160" t="str">
        <x:v>Bay County</x:v>
      </x:c>
    </x:row>
    <x:row r="213">
      <x:c r="A213" s="28" t="n">
        <x:v>214</x:v>
      </x:c>
      <x:c r="B213" s="28" t="str">
        <x:v>Washington</x:v>
      </x:c>
      <x:c r="C213" s="28" t="str">
        <x:v>DC</x:v>
      </x:c>
      <x:c r="D213" s="204" t="n">
        <x:v>61.048</x:v>
      </x:c>
      <x:c r="E213" s="133" t="n">
        <x:v>5</x:v>
      </x:c>
      <x:c r="F213" s="133" t="n">
        <x:v>0</x:v>
      </x:c>
      <x:c r="G213" s="133" t="n">
        <x:v>0</x:v>
      </x:c>
      <x:c r="H213" s="133" t="n">
        <x:v>0</x:v>
      </x:c>
      <x:c r="I213" s="133" t="n">
        <x:v>1</x:v>
      </x:c>
      <x:c r="J213" s="133" t="n">
        <x:v>0</x:v>
      </x:c>
      <x:c r="K213" s="133" t="n">
        <x:f>SUM(E213:J213)</x:f>
        <x:v>6</x:v>
      </x:c>
      <x:c r="L213" s="205" t="n">
        <x:f>IFERROR(K213/D213,0)</x:f>
        <x:v>0.09828331804481719</x:v>
      </x:c>
      <x:c r="M213" s="160" t="str">
        <x:v>Confirmed lower bound</x:v>
      </x:c>
      <x:c r="N213" s="160" t="str">
        <x:v>Verified public-directory count for ≥1 major chain; other selected chains and 5-mile spillover omitted.</x:v>
      </x:c>
      <x:c r="O213" s="160" t="str">
        <x:v>District of Columbia</x:v>
      </x:c>
    </x:row>
    <x:row r="214">
      <x:c r="A214" s="28" t="n">
        <x:v>215</x:v>
      </x:c>
      <x:c r="B214" s="28" t="str">
        <x:v>Marple Township</x:v>
      </x:c>
      <x:c r="C214" s="28" t="str">
        <x:v>PA</x:v>
      </x:c>
      <x:c r="D214" s="204" t="n">
        <x:v>10.202</x:v>
      </x:c>
      <x:c r="E214" s="133" t="n">
        <x:v>0</x:v>
      </x:c>
      <x:c r="F214" s="133" t="n">
        <x:v>0</x:v>
      </x:c>
      <x:c r="G214" s="133" t="n">
        <x:v>0</x:v>
      </x:c>
      <x:c r="H214" s="133" t="n">
        <x:v>0</x:v>
      </x:c>
      <x:c r="I214" s="133" t="n">
        <x:v>0</x:v>
      </x:c>
      <x:c r="J214" s="133" t="n">
        <x:v>1</x:v>
      </x:c>
      <x:c r="K214" s="133" t="n">
        <x:f>SUM(E214:J214)</x:f>
        <x:v>1</x:v>
      </x:c>
      <x:c r="L214" s="205" t="n">
        <x:f>IFERROR(K214/D214,0)</x:f>
        <x:v>0.09801999607920016</x:v>
      </x:c>
      <x:c r="M214" s="160" t="str">
        <x:v>Presence-floor proxy only — 10k+ municipality completion</x:v>
      </x:c>
      <x:c r="N214" s="160" t="str">
        <x:v>Added under the 10k+ city-equivalent municipality rule: Census Vintage 2025 population &gt;=10,000; county population &gt;=500,000. Presence-floor proxy only — exact tracked-chain count requires municipal-boundary/GIS verification.</x:v>
      </x:c>
      <x:c r="O214" s="160" t="str">
        <x:v>Delaware County</x:v>
      </x:c>
    </x:row>
    <x:row r="215">
      <x:c r="A215" s="28" t="n">
        <x:v>216</x:v>
      </x:c>
      <x:c r="B215" s="28" t="str">
        <x:v>Willoughby City</x:v>
      </x:c>
      <x:c r="C215" s="28" t="str">
        <x:v>OH</x:v>
      </x:c>
      <x:c r="D215" s="204" t="n">
        <x:v>10.237</x:v>
      </x:c>
      <x:c r="E215" s="133" t="n">
        <x:v>0</x:v>
      </x:c>
      <x:c r="F215" s="133" t="n">
        <x:v>0</x:v>
      </x:c>
      <x:c r="G215" s="133" t="n">
        <x:v>0</x:v>
      </x:c>
      <x:c r="H215" s="133" t="n">
        <x:v>0</x:v>
      </x:c>
      <x:c r="I215" s="133" t="n">
        <x:v>0</x:v>
      </x:c>
      <x:c r="J215" s="133" t="n">
        <x:v>1</x:v>
      </x:c>
      <x:c r="K215" s="133" t="n">
        <x:f>SUM(E215:J215)</x:f>
        <x:v>1</x:v>
      </x:c>
      <x:c r="L215" s="205" t="n">
        <x:f>IFERROR(K215/D215,0)</x:f>
        <x:v>0.09768486861385171</x:v>
      </x:c>
      <x:c r="M215" s="160" t="str">
        <x:v>Presence-floor proxy only — 10k+ municipality completion</x:v>
      </x:c>
      <x:c r="N215"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215" s="160" t="str">
        <x:v>Lake County</x:v>
      </x:c>
    </x:row>
    <x:row r="216">
      <x:c r="A216" s="28" t="n">
        <x:v>218</x:v>
      </x:c>
      <x:c r="B216" s="28" t="str">
        <x:v>Gaithersburg</x:v>
      </x:c>
      <x:c r="C216" s="28" t="str">
        <x:v>MD</x:v>
      </x:c>
      <x:c r="D216" s="204" t="n">
        <x:v>10.349</x:v>
      </x:c>
      <x:c r="E216" s="133" t="n">
        <x:v>1</x:v>
      </x:c>
      <x:c r="F216" s="133" t="n">
        <x:v>0</x:v>
      </x:c>
      <x:c r="G216" s="133" t="n">
        <x:v>0</x:v>
      </x:c>
      <x:c r="H216" s="133" t="n">
        <x:v>0</x:v>
      </x:c>
      <x:c r="I216" s="133" t="n">
        <x:v>0</x:v>
      </x:c>
      <x:c r="J216" s="133" t="n">
        <x:v>0</x:v>
      </x:c>
      <x:c r="K216" s="133" t="n">
        <x:f>SUM(E216:J216)</x:f>
        <x:v>1</x:v>
      </x:c>
      <x:c r="L216" s="205" t="n">
        <x:f>IFERROR(K216/D216,0)</x:f>
        <x:v>0.09662769349695623</x:v>
      </x:c>
      <x:c r="M216" s="160" t="str">
        <x:v>Confirmed lower bound — adjacent county expansion</x:v>
      </x:c>
      <x:c r="N216" s="160" t="str">
        <x:v>Added in adjacent-county expansion; Census Vintage 2025 population ≥50,000. Whole Foods store presence verified from official locator; exact all-chain 5-mile count requires GIS verification.</x:v>
      </x:c>
      <x:c r="O216" s="160" t="str">
        <x:v>Montgomery County</x:v>
      </x:c>
    </x:row>
    <x:row r="217">
      <x:c r="A217" s="28" t="n">
        <x:v>219</x:v>
      </x:c>
      <x:c r="B217" s="28" t="str">
        <x:v>Troy</x:v>
      </x:c>
      <x:c r="C217" s="28" t="str">
        <x:v>NY</x:v>
      </x:c>
      <x:c r="D217" s="204" t="n">
        <x:v>10.36</x:v>
      </x:c>
      <x:c r="E217" s="133" t="n">
        <x:v>0</x:v>
      </x:c>
      <x:c r="F217" s="133" t="n">
        <x:v>0</x:v>
      </x:c>
      <x:c r="G217" s="133" t="n">
        <x:v>0</x:v>
      </x:c>
      <x:c r="H217" s="133" t="n">
        <x:v>0</x:v>
      </x:c>
      <x:c r="I217" s="133" t="n">
        <x:v>0</x:v>
      </x:c>
      <x:c r="J217" s="133" t="n">
        <x:v>1</x:v>
      </x:c>
      <x:c r="K217" s="133" t="n">
        <x:f>SUM(E217:J217)</x:f>
        <x:v>1</x:v>
      </x:c>
      <x:c r="L217" s="205" t="n">
        <x:f>IFERROR(K217/D217,0)</x:f>
        <x:v>0.09652509652509653</x:v>
      </x:c>
      <x:c r="M217" s="160" t="str">
        <x:v>Presence-floor proxy only — restricted-state adjacency expansion</x:v>
      </x:c>
      <x:c r="N217" s="160" t="str">
        <x:v>Census V2025 population 50,912. Added for Rensselaer County completion; one-store screening floor pending production GIS verification.</x:v>
      </x:c>
      <x:c r="O217" s="160" t="str">
        <x:v>Rensselaer County</x:v>
      </x:c>
    </x:row>
    <x:row r="218">
      <x:c r="A218" s="28" t="n">
        <x:v>220</x:v>
      </x:c>
      <x:c r="B218" s="28" t="str">
        <x:v>Alameda</x:v>
      </x:c>
      <x:c r="C218" s="28" t="str">
        <x:v>CA</x:v>
      </x:c>
      <x:c r="D218" s="204" t="n">
        <x:v>10.399</x:v>
      </x:c>
      <x:c r="E218" s="133" t="n">
        <x:v>0</x:v>
      </x:c>
      <x:c r="F218" s="133" t="n">
        <x:v>0</x:v>
      </x:c>
      <x:c r="G218" s="133" t="n">
        <x:v>0</x:v>
      </x:c>
      <x:c r="H218" s="133" t="n">
        <x:v>0</x:v>
      </x:c>
      <x:c r="I218" s="133" t="n">
        <x:v>0</x:v>
      </x:c>
      <x:c r="J218" s="133" t="n">
        <x:v>1</x:v>
      </x:c>
      <x:c r="K218" s="133" t="n">
        <x:f>SUM(E218:J218)</x:f>
        <x:v>1</x:v>
      </x:c>
      <x:c r="L218" s="205" t="n">
        <x:f>IFERROR(K218/D218,0)</x:f>
        <x:v>0.09616309260505819</x:v>
      </x:c>
      <x:c r="M218" s="160" t="str">
        <x:v>Presence-floor proxy only — 50k+ county completion</x:v>
      </x:c>
      <x:c r="N218"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218" s="160" t="str">
        <x:v>Alameda County</x:v>
      </x:c>
    </x:row>
    <x:row r="219">
      <x:c r="A219" s="28" t="n">
        <x:v>221</x:v>
      </x:c>
      <x:c r="B219" s="28" t="str">
        <x:v>Uwchlan Township</x:v>
      </x:c>
      <x:c r="C219" s="28" t="str">
        <x:v>PA</x:v>
      </x:c>
      <x:c r="D219" s="204" t="n">
        <x:v>10.399</x:v>
      </x:c>
      <x:c r="E219" s="133" t="n">
        <x:v>0</x:v>
      </x:c>
      <x:c r="F219" s="133" t="n">
        <x:v>0</x:v>
      </x:c>
      <x:c r="G219" s="133" t="n">
        <x:v>0</x:v>
      </x:c>
      <x:c r="H219" s="133" t="n">
        <x:v>0</x:v>
      </x:c>
      <x:c r="I219" s="133" t="n">
        <x:v>0</x:v>
      </x:c>
      <x:c r="J219" s="133" t="n">
        <x:v>1</x:v>
      </x:c>
      <x:c r="K219" s="133" t="n">
        <x:f>SUM(E219:J219)</x:f>
        <x:v>1</x:v>
      </x:c>
      <x:c r="L219" s="205" t="n">
        <x:f>IFERROR(K219/D219,0)</x:f>
        <x:v>0.09616309260505819</x:v>
      </x:c>
      <x:c r="M219" s="160" t="str">
        <x:v>Presence-floor proxy only — 10k+ municipality completion</x:v>
      </x:c>
      <x:c r="N219" s="160" t="str">
        <x:v>Added under the 10k+ city-equivalent municipality rule: Census Vintage 2025 population &gt;=10,000; county population &gt;=500,000. Presence-floor proxy only — exact tracked-chain count requires municipal-boundary/GIS verification.</x:v>
      </x:c>
      <x:c r="O219" s="160" t="str">
        <x:v>Chester County</x:v>
      </x:c>
    </x:row>
    <x:row r="220">
      <x:c r="A220" s="28" t="n">
        <x:v>222</x:v>
      </x:c>
      <x:c r="B220" s="28" t="str">
        <x:v>Berkeley</x:v>
      </x:c>
      <x:c r="C220" s="28" t="str">
        <x:v>CA</x:v>
      </x:c>
      <x:c r="D220" s="204" t="n">
        <x:v>10.4</x:v>
      </x:c>
      <x:c r="E220" s="133" t="n">
        <x:v>0</x:v>
      </x:c>
      <x:c r="F220" s="133" t="n">
        <x:v>0</x:v>
      </x:c>
      <x:c r="G220" s="133" t="n">
        <x:v>0</x:v>
      </x:c>
      <x:c r="H220" s="133" t="n">
        <x:v>0</x:v>
      </x:c>
      <x:c r="I220" s="133" t="n">
        <x:v>0</x:v>
      </x:c>
      <x:c r="J220" s="133" t="n">
        <x:v>1</x:v>
      </x:c>
      <x:c r="K220" s="133" t="n">
        <x:f>SUM(E220:J220)</x:f>
        <x:v>1</x:v>
      </x:c>
      <x:c r="L220" s="205" t="n">
        <x:f>IFERROR(K220/D220,0)</x:f>
        <x:v>0.09615384615384615</x:v>
      </x:c>
      <x:c r="M220" s="160" t="str">
        <x:v>Presence-floor proxy only — 250-city expansion</x:v>
      </x:c>
      <x:c r="N220" s="160" t="str">
        <x:v>Added in the 250-city screening expansion. One-store screening floor only; exact selected-chain count and 5-mile buffer require GIS verification.</x:v>
      </x:c>
      <x:c r="O220" s="160" t="str">
        <x:v>Alameda County</x:v>
      </x:c>
    </x:row>
    <x:row r="221">
      <x:c r="A221" s="28" t="n">
        <x:v>223</x:v>
      </x:c>
      <x:c r="B221" s="28" t="str">
        <x:v>Pickerington City</x:v>
      </x:c>
      <x:c r="C221" s="28" t="str">
        <x:v>OH</x:v>
      </x:c>
      <x:c r="D221" s="204" t="n">
        <x:v>10.435</x:v>
      </x:c>
      <x:c r="E221" s="133" t="n">
        <x:v>0</x:v>
      </x:c>
      <x:c r="F221" s="133" t="n">
        <x:v>0</x:v>
      </x:c>
      <x:c r="G221" s="133" t="n">
        <x:v>0</x:v>
      </x:c>
      <x:c r="H221" s="133" t="n">
        <x:v>0</x:v>
      </x:c>
      <x:c r="I221" s="133" t="n">
        <x:v>0</x:v>
      </x:c>
      <x:c r="J221" s="133" t="n">
        <x:v>1</x:v>
      </x:c>
      <x:c r="K221" s="133" t="n">
        <x:f>SUM(E221:J221)</x:f>
        <x:v>1</x:v>
      </x:c>
      <x:c r="L221" s="205" t="n">
        <x:f>IFERROR(K221/D221,0)</x:f>
        <x:v>0.095831336847149</x:v>
      </x:c>
      <x:c r="M221" s="160" t="str">
        <x:v>Presence-floor proxy only — 10k+ municipality completion</x:v>
      </x:c>
      <x:c r="N221" s="160" t="str">
        <x:v>Added under the &gt;=50k-county expansion rule: Census Vintage 2025 municipality population &gt;=10,000; general-purpose city-equivalent municipality; direct Census adjacency. Presence-floor proxy only — exact tracked-chain count requires municipal-boundary/GIS verification. Pickerington spans Fairfield and Franklin counties and is canonically assigned to Fairfield County for this expansion; full Census place land area is used.</x:v>
      </x:c>
      <x:c r="O221" s="160" t="str">
        <x:v>Fairfield County</x:v>
      </x:c>
    </x:row>
    <x:row r="222">
      <x:c r="A222" s="28" t="n">
        <x:v>224</x:v>
      </x:c>
      <x:c r="B222" s="28" t="str">
        <x:v>Paramus Borough</x:v>
      </x:c>
      <x:c r="C222" s="28" t="str">
        <x:v>NJ</x:v>
      </x:c>
      <x:c r="D222" s="204" t="n">
        <x:v>10.445</x:v>
      </x:c>
      <x:c r="E222" s="133" t="n">
        <x:v>1</x:v>
      </x:c>
      <x:c r="F222" s="133" t="n">
        <x:v>0</x:v>
      </x:c>
      <x:c r="G222" s="133" t="n">
        <x:v>0</x:v>
      </x:c>
      <x:c r="H222" s="133" t="n">
        <x:v>0</x:v>
      </x:c>
      <x:c r="I222" s="133" t="n">
        <x:v>0</x:v>
      </x:c>
      <x:c r="J222" s="133" t="n">
        <x:v>0</x:v>
      </x:c>
      <x:c r="K222" s="133" t="n">
        <x:f>SUM(E222:J222)</x:f>
        <x:v>1</x:v>
      </x:c>
      <x:c r="L222" s="205" t="n">
        <x:f>IFERROR(K222/D222,0)</x:f>
        <x:v>0.09573958831977022</x:v>
      </x:c>
      <x:c r="M222" s="160" t="str">
        <x:v>Confirmed lower bound — official retailer store page</x:v>
      </x:c>
      <x:c r="N222" s="160" t="str">
        <x:v>Confirmed lower bound: 1 Whole Foods location verified by the retailer's official store page using a municipality-matching location name/address. Other tracked chains and nearby spillover omitted.</x:v>
      </x:c>
      <x:c r="O222" s="160" t="str">
        <x:v>Bergen County</x:v>
      </x:c>
    </x:row>
    <x:row r="223">
      <x:c r="A223" s="28" t="n">
        <x:v>226</x:v>
      </x:c>
      <x:c r="B223" s="28" t="str">
        <x:v>Hanover Township</x:v>
      </x:c>
      <x:c r="C223" s="28" t="str">
        <x:v>NJ</x:v>
      </x:c>
      <x:c r="D223" s="204" t="n">
        <x:v>10.512</x:v>
      </x:c>
      <x:c r="E223" s="133" t="n">
        <x:v>0</x:v>
      </x:c>
      <x:c r="F223" s="133" t="n">
        <x:v>0</x:v>
      </x:c>
      <x:c r="G223" s="133" t="n">
        <x:v>0</x:v>
      </x:c>
      <x:c r="H223" s="133" t="n">
        <x:v>0</x:v>
      </x:c>
      <x:c r="I223" s="133" t="n">
        <x:v>0</x:v>
      </x:c>
      <x:c r="J223" s="133" t="n">
        <x:v>1</x:v>
      </x:c>
      <x:c r="K223" s="133" t="n">
        <x:f>SUM(E223:J223)</x:f>
        <x:v>1</x:v>
      </x:c>
      <x:c r="L223" s="205" t="n">
        <x:f>IFERROR(K223/D223,0)</x:f>
        <x:v>0.09512937595129375</x:v>
      </x:c>
      <x:c r="M223" s="160" t="str">
        <x:v>Presence-floor proxy only — 10k+ municipality completion</x:v>
      </x:c>
      <x:c r="N22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 Wegmans' official 'Hanover' store uses a Parsippany postal address, so it is county-selection evidence only and is not attributed here without boundary verification.</x:v>
      </x:c>
      <x:c r="O223" s="160" t="str">
        <x:v>Morris County</x:v>
      </x:c>
    </x:row>
    <x:row r="224">
      <x:c r="A224" s="28" t="n">
        <x:v>227</x:v>
      </x:c>
      <x:c r="B224" s="28" t="str">
        <x:v>Buena Park</x:v>
      </x:c>
      <x:c r="C224" s="28" t="str">
        <x:v>CA</x:v>
      </x:c>
      <x:c r="D224" s="204" t="n">
        <x:v>10.53</x:v>
      </x:c>
      <x:c r="E224" s="133" t="n">
        <x:v>0</x:v>
      </x:c>
      <x:c r="F224" s="133" t="n">
        <x:v>0</x:v>
      </x:c>
      <x:c r="G224" s="133" t="n">
        <x:v>0</x:v>
      </x:c>
      <x:c r="H224" s="133" t="n">
        <x:v>0</x:v>
      </x:c>
      <x:c r="I224" s="133" t="n">
        <x:v>0</x:v>
      </x:c>
      <x:c r="J224" s="133" t="n">
        <x:v>1</x:v>
      </x:c>
      <x:c r="K224" s="133" t="n">
        <x:f>SUM(E224:J224)</x:f>
        <x:v>1</x:v>
      </x:c>
      <x:c r="L224" s="205" t="n">
        <x:f>IFERROR(K224/D224,0)</x:f>
        <x:v>0.0949667616334283</x:v>
      </x:c>
      <x:c r="M224" s="160" t="str">
        <x:v>Presence-floor proxy only — 50k+ county completion</x:v>
      </x:c>
      <x:c r="N224"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224" s="160" t="str">
        <x:v>Orange County</x:v>
      </x:c>
    </x:row>
    <x:row r="225">
      <x:c r="A225" s="28" t="n">
        <x:v>228</x:v>
      </x:c>
      <x:c r="B225" s="28" t="str">
        <x:v>East Pennsboro Township</x:v>
      </x:c>
      <x:c r="C225" s="28" t="str">
        <x:v>PA</x:v>
      </x:c>
      <x:c r="D225" s="204" t="n">
        <x:v>10.542</x:v>
      </x:c>
      <x:c r="E225" s="133" t="n">
        <x:v>0</x:v>
      </x:c>
      <x:c r="F225" s="133" t="n">
        <x:v>0</x:v>
      </x:c>
      <x:c r="G225" s="133" t="n">
        <x:v>0</x:v>
      </x:c>
      <x:c r="H225" s="133" t="n">
        <x:v>0</x:v>
      </x:c>
      <x:c r="I225" s="133" t="n">
        <x:v>0</x:v>
      </x:c>
      <x:c r="J225" s="133" t="n">
        <x:v>1</x:v>
      </x:c>
      <x:c r="K225" s="133" t="n">
        <x:f>SUM(E225:J225)</x:f>
        <x:v>1</x:v>
      </x:c>
      <x:c r="L225" s="205" t="n">
        <x:f>IFERROR(K225/D225,0)</x:f>
        <x:v>0.0948586605957124</x:v>
      </x:c>
      <x:c r="M225" s="160" t="str">
        <x:v>Presence-floor proxy only — 10k+ municipality completion</x:v>
      </x:c>
      <x:c r="N225"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225" s="160" t="str">
        <x:v>Cumberland County</x:v>
      </x:c>
    </x:row>
    <x:row r="226">
      <x:c r="A226" s="28" t="n">
        <x:v>229</x:v>
      </x:c>
      <x:c r="B226" s="28" t="str">
        <x:v>Montgomery Township</x:v>
      </x:c>
      <x:c r="C226" s="28" t="str">
        <x:v>PA</x:v>
      </x:c>
      <x:c r="D226" s="204" t="n">
        <x:v>10.63</x:v>
      </x:c>
      <x:c r="E226" s="133" t="n">
        <x:v>0</x:v>
      </x:c>
      <x:c r="F226" s="133" t="n">
        <x:v>0</x:v>
      </x:c>
      <x:c r="G226" s="133" t="n">
        <x:v>0</x:v>
      </x:c>
      <x:c r="H226" s="133" t="n">
        <x:v>0</x:v>
      </x:c>
      <x:c r="I226" s="133" t="n">
        <x:v>0</x:v>
      </x:c>
      <x:c r="J226" s="133" t="n">
        <x:v>1</x:v>
      </x:c>
      <x:c r="K226" s="133" t="n">
        <x:f>SUM(E226:J226)</x:f>
        <x:v>1</x:v>
      </x:c>
      <x:c r="L226" s="205" t="n">
        <x:f>IFERROR(K226/D226,0)</x:f>
        <x:v>0.09407337723424271</x:v>
      </x:c>
      <x:c r="M226" s="160" t="str">
        <x:v>Presence-floor proxy only — 10k+ municipality completion</x:v>
      </x:c>
      <x:c r="N22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26" s="160" t="str">
        <x:v>Montgomery County</x:v>
      </x:c>
    </x:row>
    <x:row r="227">
      <x:c r="A227" s="28" t="n">
        <x:v>230</x:v>
      </x:c>
      <x:c r="B227" s="28" t="str">
        <x:v>Mount Prospect</x:v>
      </x:c>
      <x:c r="C227" s="28" t="str">
        <x:v>IL</x:v>
      </x:c>
      <x:c r="D227" s="204" t="n">
        <x:v>10.721</x:v>
      </x:c>
      <x:c r="E227" s="133" t="n">
        <x:v>0</x:v>
      </x:c>
      <x:c r="F227" s="133" t="n">
        <x:v>0</x:v>
      </x:c>
      <x:c r="G227" s="133" t="n">
        <x:v>0</x:v>
      </x:c>
      <x:c r="H227" s="133" t="n">
        <x:v>0</x:v>
      </x:c>
      <x:c r="I227" s="133" t="n">
        <x:v>0</x:v>
      </x:c>
      <x:c r="J227" s="133" t="n">
        <x:v>1</x:v>
      </x:c>
      <x:c r="K227" s="133" t="n">
        <x:f>SUM(E227:J227)</x:f>
        <x:v>1</x:v>
      </x:c>
      <x:c r="L227" s="205" t="n">
        <x:f>IFERROR(K227/D227,0)</x:f>
        <x:v>0.09327488107452662</x:v>
      </x:c>
      <x:c r="M227" s="160" t="str">
        <x:v>Presence-floor proxy only — 50k+ county completion</x:v>
      </x:c>
      <x:c r="N227" s="160" t="str">
        <x:v>Added to complete ≥50,000-population incorporated-place coverage in counties ranked 6–10 by store count under the same Census Vintage 2025 screen. One-store screening floor only; exact selected-chain count and 5-mile buffer require GIS verification.</x:v>
      </x:c>
      <x:c r="O227" s="160" t="str">
        <x:v>Cook County</x:v>
      </x:c>
    </x:row>
    <x:row r="228">
      <x:c r="A228" s="28" t="n">
        <x:v>231</x:v>
      </x:c>
      <x:c r="B228" s="28" t="str">
        <x:v>Lynn</x:v>
      </x:c>
      <x:c r="C228" s="28" t="str">
        <x:v>MA</x:v>
      </x:c>
      <x:c r="D228" s="204" t="n">
        <x:v>10.74</x:v>
      </x:c>
      <x:c r="E228" s="133" t="n">
        <x:v>0</x:v>
      </x:c>
      <x:c r="F228" s="133" t="n">
        <x:v>0</x:v>
      </x:c>
      <x:c r="G228" s="133" t="n">
        <x:v>0</x:v>
      </x:c>
      <x:c r="H228" s="133" t="n">
        <x:v>0</x:v>
      </x:c>
      <x:c r="I228" s="133" t="n">
        <x:v>0</x:v>
      </x:c>
      <x:c r="J228" s="133" t="n">
        <x:v>1</x:v>
      </x:c>
      <x:c r="K228" s="133" t="n">
        <x:f>SUM(E228:J228)</x:f>
        <x:v>1</x:v>
      </x:c>
      <x:c r="L228" s="205" t="n">
        <x:f>IFERROR(K228/D228,0)</x:f>
        <x:v>0.0931098696461825</x:v>
      </x:c>
      <x:c r="M228" s="160" t="str">
        <x:v>Presence-floor proxy only — restricted-state adjacency expansion</x:v>
      </x:c>
      <x:c r="N228" s="160" t="str">
        <x:v>Census V2025 population 104,236. Added to complete ≥50,000 city coverage in Essex County; one-store screening floor.</x:v>
      </x:c>
      <x:c r="O228" s="160" t="str">
        <x:v>Essex County</x:v>
      </x:c>
    </x:row>
    <x:row r="229">
      <x:c r="A229" s="28" t="n">
        <x:v>232</x:v>
      </x:c>
      <x:c r="B229" s="28" t="str">
        <x:v>Atlantic City</x:v>
      </x:c>
      <x:c r="C229" s="28" t="str">
        <x:v>NJ</x:v>
      </x:c>
      <x:c r="D229" s="204" t="n">
        <x:v>10.76</x:v>
      </x:c>
      <x:c r="E229" s="133" t="n">
        <x:v>0</x:v>
      </x:c>
      <x:c r="F229" s="133" t="n">
        <x:v>0</x:v>
      </x:c>
      <x:c r="G229" s="133" t="n">
        <x:v>0</x:v>
      </x:c>
      <x:c r="H229" s="133" t="n">
        <x:v>0</x:v>
      </x:c>
      <x:c r="I229" s="133" t="n">
        <x:v>0</x:v>
      </x:c>
      <x:c r="J229" s="133" t="n">
        <x:v>1</x:v>
      </x:c>
      <x:c r="K229" s="133" t="n">
        <x:f>SUM(E229:J229)</x:f>
        <x:v>1</x:v>
      </x:c>
      <x:c r="L229" s="205" t="n">
        <x:f>IFERROR(K229/D229,0)</x:f>
        <x:v>0.0929368029739777</x:v>
      </x:c>
      <x:c r="M229" s="160" t="str">
        <x:v>Presence-floor proxy only — 10k+ municipality completion</x:v>
      </x:c>
      <x:c r="N229"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229" s="160" t="str">
        <x:v>Atlantic County</x:v>
      </x:c>
    </x:row>
    <x:row r="230">
      <x:c r="A230" s="28" t="n">
        <x:v>233</x:v>
      </x:c>
      <x:c r="B230" s="28" t="str">
        <x:v>Jackson City</x:v>
      </x:c>
      <x:c r="C230" s="28" t="str">
        <x:v>MI</x:v>
      </x:c>
      <x:c r="D230" s="204" t="n">
        <x:v>10.772</x:v>
      </x:c>
      <x:c r="E230" s="133" t="n">
        <x:v>0</x:v>
      </x:c>
      <x:c r="F230" s="133" t="n">
        <x:v>0</x:v>
      </x:c>
      <x:c r="G230" s="133" t="n">
        <x:v>0</x:v>
      </x:c>
      <x:c r="H230" s="133" t="n">
        <x:v>0</x:v>
      </x:c>
      <x:c r="I230" s="133" t="n">
        <x:v>0</x:v>
      </x:c>
      <x:c r="J230" s="133" t="n">
        <x:v>1</x:v>
      </x:c>
      <x:c r="K230" s="133" t="n">
        <x:f>SUM(E230:J230)</x:f>
        <x:v>1</x:v>
      </x:c>
      <x:c r="L230" s="205" t="n">
        <x:f>IFERROR(K230/D230,0)</x:f>
        <x:v>0.09283327144448571</x:v>
      </x:c>
      <x:c r="M230" s="160" t="str">
        <x:v>Presence-floor proxy only — 10k+ municipality completion</x:v>
      </x:c>
      <x:c r="N230" s="160" t="str">
        <x:v>Added under the &gt;=50k-county expansion rule: Census Vintage 2025 municipality population &gt;=10,000; general-purpose city-equivalent municipality; direct Census adjacency. Presence-floor proxy only — exact tracked-chain count requires municipal-boundary/GIS verification. Prime Cuts and Jackson local-food markets provide specialty-grocery evidence but are not among the five tracked proxy chains.</x:v>
      </x:c>
      <x:c r="O230" s="160" t="str">
        <x:v>Jackson County</x:v>
      </x:c>
    </x:row>
    <x:row r="231">
      <x:c r="A231" s="28" t="n">
        <x:v>234</x:v>
      </x:c>
      <x:c r="B231" s="28" t="str">
        <x:v>Schenectady</x:v>
      </x:c>
      <x:c r="C231" s="28" t="str">
        <x:v>NY</x:v>
      </x:c>
      <x:c r="D231" s="204" t="n">
        <x:v>10.79</x:v>
      </x:c>
      <x:c r="E231" s="133" t="n">
        <x:v>0</x:v>
      </x:c>
      <x:c r="F231" s="133" t="n">
        <x:v>0</x:v>
      </x:c>
      <x:c r="G231" s="133" t="n">
        <x:v>0</x:v>
      </x:c>
      <x:c r="H231" s="133" t="n">
        <x:v>0</x:v>
      </x:c>
      <x:c r="I231" s="133" t="n">
        <x:v>0</x:v>
      </x:c>
      <x:c r="J231" s="133" t="n">
        <x:v>1</x:v>
      </x:c>
      <x:c r="K231" s="133" t="n">
        <x:f>SUM(E231:J231)</x:f>
        <x:v>1</x:v>
      </x:c>
      <x:c r="L231" s="205" t="n">
        <x:f>IFERROR(K231/D231,0)</x:f>
        <x:v>0.09267840593141799</x:v>
      </x:c>
      <x:c r="M231" s="160" t="str">
        <x:v>Presence-floor proxy only — restricted-state adjacency expansion</x:v>
      </x:c>
      <x:c r="N231" s="160" t="str">
        <x:v>Census V2025 population 69,471. Added for Schenectady County completion; one-store screening floor pending production GIS verification.</x:v>
      </x:c>
      <x:c r="O231" s="160" t="str">
        <x:v>Schenectady County</x:v>
      </x:c>
    </x:row>
    <x:row r="232">
      <x:c r="A232" s="28" t="n">
        <x:v>235</x:v>
      </x:c>
      <x:c r="B232" s="28" t="str">
        <x:v>Medina City</x:v>
      </x:c>
      <x:c r="C232" s="28" t="str">
        <x:v>OH</x:v>
      </x:c>
      <x:c r="D232" s="204" t="n">
        <x:v>10.853</x:v>
      </x:c>
      <x:c r="E232" s="133" t="n">
        <x:v>0</x:v>
      </x:c>
      <x:c r="F232" s="133" t="n">
        <x:v>0</x:v>
      </x:c>
      <x:c r="G232" s="133" t="n">
        <x:v>0</x:v>
      </x:c>
      <x:c r="H232" s="133" t="n">
        <x:v>0</x:v>
      </x:c>
      <x:c r="I232" s="133" t="n">
        <x:v>0</x:v>
      </x:c>
      <x:c r="J232" s="133" t="n">
        <x:v>1</x:v>
      </x:c>
      <x:c r="K232" s="133" t="n">
        <x:f>SUM(E232:J232)</x:f>
        <x:v>1</x:v>
      </x:c>
      <x:c r="L232" s="205" t="n">
        <x:f>IFERROR(K232/D232,0)</x:f>
        <x:v>0.09214042200313277</x:v>
      </x:c>
      <x:c r="M232" s="160" t="str">
        <x:v>Presence-floor proxy only — 10k+ municipality completion</x:v>
      </x:c>
      <x:c r="N232" s="160" t="str">
        <x:v>Added under the &gt;=50k-county expansion rule: Census Vintage 2025 municipality population &gt;=10,000; general-purpose city-equivalent municipality; direct Census adjacency. Presence-floor proxy only — exact tracked-chain count requires municipal-boundary/GIS verification. Medina County specialty-grocery evidence is documented separately; Medina Township remains below the 10,000 threshold.</x:v>
      </x:c>
      <x:c r="O232" s="160" t="str">
        <x:v>Medina County</x:v>
      </x:c>
    </x:row>
    <x:row r="233">
      <x:c r="A233" s="28" t="n">
        <x:v>236</x:v>
      </x:c>
      <x:c r="B233" s="28" t="str">
        <x:v>Ocean Township</x:v>
      </x:c>
      <x:c r="C233" s="28" t="str">
        <x:v>NJ</x:v>
      </x:c>
      <x:c r="D233" s="204" t="n">
        <x:v>10.867</x:v>
      </x:c>
      <x:c r="E233" s="133" t="n">
        <x:v>0</x:v>
      </x:c>
      <x:c r="F233" s="133" t="n">
        <x:v>0</x:v>
      </x:c>
      <x:c r="G233" s="133" t="n">
        <x:v>0</x:v>
      </x:c>
      <x:c r="H233" s="133" t="n">
        <x:v>0</x:v>
      </x:c>
      <x:c r="I233" s="133" t="n">
        <x:v>1</x:v>
      </x:c>
      <x:c r="J233" s="133" t="n">
        <x:v>0</x:v>
      </x:c>
      <x:c r="K233" s="133" t="n">
        <x:f>SUM(E233:J233)</x:f>
        <x:v>1</x:v>
      </x:c>
      <x:c r="L233" s="205" t="n">
        <x:f>IFERROR(K233/D233,0)</x:f>
        <x:v>0.09202171712524156</x:v>
      </x:c>
      <x:c r="M233" s="160" t="str">
        <x:v>Confirmed lower bound — official retailer store page</x:v>
      </x:c>
      <x:c r="N233" s="160" t="str">
        <x:v>Confirmed lower bound: 1 Wegmans location verified by the retailer's official store page using a municipality-matching location name/address. Other tracked chains and nearby spillover omitted.</x:v>
      </x:c>
      <x:c r="O233" s="160" t="str">
        <x:v>Monmouth County</x:v>
      </x:c>
    </x:row>
    <x:row r="234">
      <x:c r="A234" s="28" t="n">
        <x:v>237</x:v>
      </x:c>
      <x:c r="B234" s="28" t="str">
        <x:v>Hopatcong Borough</x:v>
      </x:c>
      <x:c r="C234" s="28" t="str">
        <x:v>NJ</x:v>
      </x:c>
      <x:c r="D234" s="204" t="n">
        <x:v>10.882</x:v>
      </x:c>
      <x:c r="E234" s="133" t="n">
        <x:v>0</x:v>
      </x:c>
      <x:c r="F234" s="133" t="n">
        <x:v>0</x:v>
      </x:c>
      <x:c r="G234" s="133" t="n">
        <x:v>0</x:v>
      </x:c>
      <x:c r="H234" s="133" t="n">
        <x:v>0</x:v>
      </x:c>
      <x:c r="I234" s="133" t="n">
        <x:v>0</x:v>
      </x:c>
      <x:c r="J234" s="133" t="n">
        <x:v>1</x:v>
      </x:c>
      <x:c r="K234" s="133" t="n">
        <x:f>SUM(E234:J234)</x:f>
        <x:v>1</x:v>
      </x:c>
      <x:c r="L234" s="205" t="n">
        <x:f>IFERROR(K234/D234,0)</x:f>
        <x:v>0.09189487226612755</x:v>
      </x:c>
      <x:c r="M234" s="160" t="str">
        <x:v>Presence-floor proxy only — 10k+ municipality completion</x:v>
      </x:c>
      <x:c r="N234"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the latest Census estimates / threshold checks; local specialty-grocery evidence is county-selection support only.</x:v>
      </x:c>
      <x:c r="O234" s="160" t="str">
        <x:v>Sussex County</x:v>
      </x:c>
    </x:row>
    <x:row r="235">
      <x:c r="A235" s="28" t="n">
        <x:v>238</x:v>
      </x:c>
      <x:c r="B235" s="28" t="str">
        <x:v>Upper Uwchlan Township</x:v>
      </x:c>
      <x:c r="C235" s="28" t="str">
        <x:v>PA</x:v>
      </x:c>
      <x:c r="D235" s="204" t="n">
        <x:v>10.893</x:v>
      </x:c>
      <x:c r="E235" s="133" t="n">
        <x:v>0</x:v>
      </x:c>
      <x:c r="F235" s="133" t="n">
        <x:v>0</x:v>
      </x:c>
      <x:c r="G235" s="133" t="n">
        <x:v>0</x:v>
      </x:c>
      <x:c r="H235" s="133" t="n">
        <x:v>0</x:v>
      </x:c>
      <x:c r="I235" s="133" t="n">
        <x:v>0</x:v>
      </x:c>
      <x:c r="J235" s="133" t="n">
        <x:v>1</x:v>
      </x:c>
      <x:c r="K235" s="133" t="n">
        <x:f>SUM(E235:J235)</x:f>
        <x:v>1</x:v>
      </x:c>
      <x:c r="L235" s="205" t="n">
        <x:f>IFERROR(K235/D235,0)</x:f>
        <x:v>0.09180207472688882</x:v>
      </x:c>
      <x:c r="M235" s="160" t="str">
        <x:v>Presence-floor proxy only — 10k+ municipality completion</x:v>
      </x:c>
      <x:c r="N235" s="160" t="str">
        <x:v>Added under the 10k+ city-equivalent municipality rule: Census Vintage 2025 population &gt;=10,000; county population &gt;=500,000. Presence-floor proxy only — exact tracked-chain count requires municipal-boundary/GIS verification.</x:v>
      </x:c>
      <x:c r="O235" s="160" t="str">
        <x:v>Chester County</x:v>
      </x:c>
    </x:row>
    <x:row r="236">
      <x:c r="A236" s="28" t="n">
        <x:v>239</x:v>
      </x:c>
      <x:c r="B236" s="28" t="str">
        <x:v>Wilmington</x:v>
      </x:c>
      <x:c r="C236" s="28" t="str">
        <x:v>DE</x:v>
      </x:c>
      <x:c r="D236" s="204" t="n">
        <x:v>10.9</x:v>
      </x:c>
      <x:c r="E236" s="133" t="n">
        <x:v>0</x:v>
      </x:c>
      <x:c r="F236" s="133" t="n">
        <x:v>0</x:v>
      </x:c>
      <x:c r="G236" s="133" t="n">
        <x:v>0</x:v>
      </x:c>
      <x:c r="H236" s="133" t="n">
        <x:v>0</x:v>
      </x:c>
      <x:c r="I236" s="133" t="n">
        <x:v>1</x:v>
      </x:c>
      <x:c r="J236" s="133" t="n">
        <x:v>0</x:v>
      </x:c>
      <x:c r="K236" s="133" t="n">
        <x:f>SUM(E236:J236)</x:f>
        <x:v>1</x:v>
      </x:c>
      <x:c r="L236" s="205" t="n">
        <x:f>IFERROR(K236/D236,0)</x:f>
        <x:v>0.09174311926605504</x:v>
      </x:c>
      <x:c r="M236" s="160" t="str">
        <x:v>Confirmed lower bound — restricted-state adjacency expansion</x:v>
      </x:c>
      <x:c r="N236" s="160" t="str">
        <x:v>Census V2025 population 73,512. Wegmans Wilmington directly verified; Census QuickFacts 2020 land area.</x:v>
      </x:c>
      <x:c r="O236" s="160" t="str">
        <x:v>New Castle County</x:v>
      </x:c>
    </x:row>
    <x:row r="237">
      <x:c r="A237" s="28" t="n">
        <x:v>240</x:v>
      </x:c>
      <x:c r="B237" s="28" t="str">
        <x:v>Arcadia</x:v>
      </x:c>
      <x:c r="C237" s="28" t="str">
        <x:v>CA</x:v>
      </x:c>
      <x:c r="D237" s="204" t="n">
        <x:v>10.927</x:v>
      </x:c>
      <x:c r="E237" s="133" t="n">
        <x:v>0</x:v>
      </x:c>
      <x:c r="F237" s="133" t="n">
        <x:v>0</x:v>
      </x:c>
      <x:c r="G237" s="133" t="n">
        <x:v>0</x:v>
      </x:c>
      <x:c r="H237" s="133" t="n">
        <x:v>0</x:v>
      </x:c>
      <x:c r="I237" s="133" t="n">
        <x:v>0</x:v>
      </x:c>
      <x:c r="J237" s="133" t="n">
        <x:v>1</x:v>
      </x:c>
      <x:c r="K237" s="133" t="n">
        <x:f>SUM(E237:J237)</x:f>
        <x:v>1</x:v>
      </x:c>
      <x:c r="L237" s="205" t="n">
        <x:f>IFERROR(K237/D237,0)</x:f>
        <x:v>0.09151642719868217</x:v>
      </x:c>
      <x:c r="M237" s="160" t="str">
        <x:v>Presence-floor proxy only — 50k+ county completion</x:v>
      </x:c>
      <x:c r="N237" s="160" t="str">
        <x:v>Added to complete ≥50,000-population incorporated-place coverage in a top-5 store-count county using Census Vintage 2025 eligibility. One-store screening floor only; exact selected-chain count and 5-mile buffer require GIS verification.</x:v>
      </x:c>
      <x:c r="O237" s="160" t="str">
        <x:v>Los Angeles County</x:v>
      </x:c>
    </x:row>
    <x:row r="238">
      <x:c r="A238" s="28" t="n">
        <x:v>241</x:v>
      </x:c>
      <x:c r="B238" s="28" t="str">
        <x:v>East Whiteland Township</x:v>
      </x:c>
      <x:c r="C238" s="28" t="str">
        <x:v>PA</x:v>
      </x:c>
      <x:c r="D238" s="204" t="n">
        <x:v>10.937</x:v>
      </x:c>
      <x:c r="E238" s="133" t="n">
        <x:v>0</x:v>
      </x:c>
      <x:c r="F238" s="133" t="n">
        <x:v>0</x:v>
      </x:c>
      <x:c r="G238" s="133" t="n">
        <x:v>0</x:v>
      </x:c>
      <x:c r="H238" s="133" t="n">
        <x:v>0</x:v>
      </x:c>
      <x:c r="I238" s="133" t="n">
        <x:v>0</x:v>
      </x:c>
      <x:c r="J238" s="133" t="n">
        <x:v>1</x:v>
      </x:c>
      <x:c r="K238" s="133" t="n">
        <x:f>SUM(E238:J238)</x:f>
        <x:v>1</x:v>
      </x:c>
      <x:c r="L238" s="205" t="n">
        <x:f>IFERROR(K238/D238,0)</x:f>
        <x:v>0.09143275121148396</x:v>
      </x:c>
      <x:c r="M238" s="160" t="str">
        <x:v>Presence-floor proxy only — 10k+ municipality completion</x:v>
      </x:c>
      <x:c r="N238" s="160" t="str">
        <x:v>Added under the 10k+ city-equivalent municipality rule: Census Vintage 2025 population &gt;=10,000; county population &gt;=500,000. Presence-floor proxy only — exact tracked-chain count requires municipal-boundary/GIS verification.</x:v>
      </x:c>
      <x:c r="O238" s="160" t="str">
        <x:v>Chester County</x:v>
      </x:c>
    </x:row>
    <x:row r="239">
      <x:c r="A239" s="28" t="n">
        <x:v>242</x:v>
      </x:c>
      <x:c r="B239" s="28" t="str">
        <x:v>Warwick Township</x:v>
      </x:c>
      <x:c r="C239" s="28" t="str">
        <x:v>PA</x:v>
      </x:c>
      <x:c r="D239" s="204" t="n">
        <x:v>10.974</x:v>
      </x:c>
      <x:c r="E239" s="133" t="n">
        <x:v>0</x:v>
      </x:c>
      <x:c r="F239" s="133" t="n">
        <x:v>0</x:v>
      </x:c>
      <x:c r="G239" s="133" t="n">
        <x:v>0</x:v>
      </x:c>
      <x:c r="H239" s="133" t="n">
        <x:v>0</x:v>
      </x:c>
      <x:c r="I239" s="133" t="n">
        <x:v>0</x:v>
      </x:c>
      <x:c r="J239" s="133" t="n">
        <x:v>1</x:v>
      </x:c>
      <x:c r="K239" s="133" t="n">
        <x:f>SUM(E239:J239)</x:f>
        <x:v>1</x:v>
      </x:c>
      <x:c r="L239" s="205" t="n">
        <x:f>IFERROR(K239/D239,0)</x:f>
        <x:v>0.0911244760342628</x:v>
      </x:c>
      <x:c r="M239" s="160" t="str">
        <x:v>Presence-floor proxy only — 10k+ municipality completion</x:v>
      </x:c>
      <x:c r="N23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39" s="160" t="str">
        <x:v>Bucks County</x:v>
      </x:c>
    </x:row>
    <x:row r="240">
      <x:c r="A240" s="28" t="n">
        <x:v>243</x:v>
      </x:c>
      <x:c r="B240" s="28" t="str">
        <x:v>Tustin</x:v>
      </x:c>
      <x:c r="C240" s="28" t="str">
        <x:v>CA</x:v>
      </x:c>
      <x:c r="D240" s="204" t="n">
        <x:v>11.12</x:v>
      </x:c>
      <x:c r="E240" s="133" t="n">
        <x:v>0</x:v>
      </x:c>
      <x:c r="F240" s="133" t="n">
        <x:v>0</x:v>
      </x:c>
      <x:c r="G240" s="133" t="n">
        <x:v>0</x:v>
      </x:c>
      <x:c r="H240" s="133" t="n">
        <x:v>0</x:v>
      </x:c>
      <x:c r="I240" s="133" t="n">
        <x:v>0</x:v>
      </x:c>
      <x:c r="J240" s="133" t="n">
        <x:v>1</x:v>
      </x:c>
      <x:c r="K240" s="133" t="n">
        <x:f>SUM(E240:J240)</x:f>
        <x:v>1</x:v>
      </x:c>
      <x:c r="L240" s="205" t="n">
        <x:f>IFERROR(K240/D240,0)</x:f>
        <x:v>0.08992805755395684</x:v>
      </x:c>
      <x:c r="M240" s="160" t="str">
        <x:v>Presence-floor proxy only — 50k+ county completion</x:v>
      </x:c>
      <x:c r="N240"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240" s="160" t="str">
        <x:v>Orange County</x:v>
      </x:c>
    </x:row>
    <x:row r="241">
      <x:c r="A241" s="28" t="n">
        <x:v>244</x:v>
      </x:c>
      <x:c r="B241" s="28" t="str">
        <x:v>Weathersfield Township</x:v>
      </x:c>
      <x:c r="C241" s="28" t="str">
        <x:v>OH</x:v>
      </x:c>
      <x:c r="D241" s="204" t="n">
        <x:v>11.15</x:v>
      </x:c>
      <x:c r="E241" s="133" t="n">
        <x:v>0</x:v>
      </x:c>
      <x:c r="F241" s="133" t="n">
        <x:v>0</x:v>
      </x:c>
      <x:c r="G241" s="133" t="n">
        <x:v>0</x:v>
      </x:c>
      <x:c r="H241" s="133" t="n">
        <x:v>0</x:v>
      </x:c>
      <x:c r="I241" s="133" t="n">
        <x:v>0</x:v>
      </x:c>
      <x:c r="J241" s="133" t="n">
        <x:v>1</x:v>
      </x:c>
      <x:c r="K241" s="133" t="n">
        <x:f>SUM(E241:J241)</x:f>
        <x:v>1</x:v>
      </x:c>
      <x:c r="L241" s="205" t="n">
        <x:f>IFERROR(K241/D241,0)</x:f>
        <x:v>0.08968609865470852</x:v>
      </x:c>
      <x:c r="M241" s="160" t="str">
        <x:v>Presence-floor proxy only — 10k+ municipality completion</x:v>
      </x:c>
      <x:c r="N241" s="160" t="str">
        <x:v>Added under the &gt;=50k-county expansion rule: Census Vintage 2025 municipality population &gt;=10,000; general-purpose city-equivalent municipality; direct Census adjacency. Presence-floor proxy only — exact tracked-chain count requires municipal-boundary/GIS verification. Liberty Township is subject to the workbook's established City+State collision rule; county specialty-grocery evidence is retained separately from municipal chain counts.</x:v>
      </x:c>
      <x:c r="O241" s="160" t="str">
        <x:v>Trumbull County</x:v>
      </x:c>
    </x:row>
    <x:row r="242">
      <x:c r="A242" s="28" t="n">
        <x:v>245</x:v>
      </x:c>
      <x:c r="B242" s="28" t="str">
        <x:v>Coconut Creek</x:v>
      </x:c>
      <x:c r="C242" s="28" t="str">
        <x:v>FL</x:v>
      </x:c>
      <x:c r="D242" s="204" t="n">
        <x:v>11.2</x:v>
      </x:c>
      <x:c r="E242" s="133" t="n">
        <x:v>0</x:v>
      </x:c>
      <x:c r="F242" s="133" t="n">
        <x:v>0</x:v>
      </x:c>
      <x:c r="G242" s="133" t="n">
        <x:v>0</x:v>
      </x:c>
      <x:c r="H242" s="133" t="n">
        <x:v>0</x:v>
      </x:c>
      <x:c r="I242" s="133" t="n">
        <x:v>0</x:v>
      </x:c>
      <x:c r="J242" s="133" t="n">
        <x:v>1</x:v>
      </x:c>
      <x:c r="K242" s="133" t="n">
        <x:f>SUM(E242:J242)</x:f>
        <x:v>1</x:v>
      </x:c>
      <x:c r="L242" s="205" t="n">
        <x:f>IFERROR(K242/D242,0)</x:f>
        <x:v>0.08928571428571429</x:v>
      </x:c>
      <x:c r="M242" s="160" t="str">
        <x:v>Presence-floor proxy only — 50k+ county completion</x:v>
      </x:c>
      <x:c r="N242"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242" s="160" t="str">
        <x:v>Broward County</x:v>
      </x:c>
    </x:row>
    <x:row r="243">
      <x:c r="A243" s="28" t="n">
        <x:v>246</x:v>
      </x:c>
      <x:c r="B243" s="28" t="str">
        <x:v>Lower Burrell City</x:v>
      </x:c>
      <x:c r="C243" s="28" t="str">
        <x:v>PA</x:v>
      </x:c>
      <x:c r="D243" s="204" t="n">
        <x:v>11.27</x:v>
      </x:c>
      <x:c r="E243" s="133" t="n">
        <x:v>0</x:v>
      </x:c>
      <x:c r="F243" s="133" t="n">
        <x:v>0</x:v>
      </x:c>
      <x:c r="G243" s="133" t="n">
        <x:v>0</x:v>
      </x:c>
      <x:c r="H243" s="133" t="n">
        <x:v>0</x:v>
      </x:c>
      <x:c r="I243" s="133" t="n">
        <x:v>0</x:v>
      </x:c>
      <x:c r="J243" s="133" t="n">
        <x:v>1</x:v>
      </x:c>
      <x:c r="K243" s="133" t="n">
        <x:f>SUM(E243:J243)</x:f>
        <x:v>1</x:v>
      </x:c>
      <x:c r="L243" s="205" t="n">
        <x:f>IFERROR(K243/D243,0)</x:f>
        <x:v>0.08873114463176575</x:v>
      </x:c>
      <x:c r="M243" s="160" t="str">
        <x:v>Presence-floor proxy only — 10k+ municipality completion</x:v>
      </x:c>
      <x:c r="N243"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243" s="160" t="str">
        <x:v>Westmoreland County</x:v>
      </x:c>
    </x:row>
    <x:row r="244">
      <x:c r="A244" s="28" t="n">
        <x:v>247</x:v>
      </x:c>
      <x:c r="B244" s="28" t="str">
        <x:v>Cupertino</x:v>
      </x:c>
      <x:c r="C244" s="28" t="str">
        <x:v>CA</x:v>
      </x:c>
      <x:c r="D244" s="204" t="n">
        <x:v>11.34</x:v>
      </x:c>
      <x:c r="E244" s="133" t="n">
        <x:v>0</x:v>
      </x:c>
      <x:c r="F244" s="133" t="n">
        <x:v>0</x:v>
      </x:c>
      <x:c r="G244" s="133" t="n">
        <x:v>0</x:v>
      </x:c>
      <x:c r="H244" s="133" t="n">
        <x:v>0</x:v>
      </x:c>
      <x:c r="I244" s="133" t="n">
        <x:v>0</x:v>
      </x:c>
      <x:c r="J244" s="133" t="n">
        <x:v>1</x:v>
      </x:c>
      <x:c r="K244" s="133" t="n">
        <x:f>SUM(E244:J244)</x:f>
        <x:v>1</x:v>
      </x:c>
      <x:c r="L244" s="205" t="n">
        <x:f>IFERROR(K244/D244,0)</x:f>
        <x:v>0.08818342151675485</x:v>
      </x:c>
      <x:c r="M244" s="160" t="str">
        <x:v>Presence-floor proxy only — 50k+ county completion</x:v>
      </x:c>
      <x:c r="N244" s="160" t="str">
        <x:v>Added to complete ≥50,000-population incorporated-place coverage in counties ranked 6–10 by store count under the same Census Vintage 2025 screen. One-store screening floor only; exact selected-chain count and 5-mile buffer require GIS verification.</x:v>
      </x:c>
      <x:c r="O244" s="160" t="str">
        <x:v>Santa Clara County</x:v>
      </x:c>
    </x:row>
    <x:row r="245">
      <x:c r="A245" s="28" t="n">
        <x:v>248</x:v>
      </x:c>
      <x:c r="B245" s="28" t="str">
        <x:v>Wadsworth City</x:v>
      </x:c>
      <x:c r="C245" s="28" t="str">
        <x:v>OH</x:v>
      </x:c>
      <x:c r="D245" s="204" t="n">
        <x:v>11.461</x:v>
      </x:c>
      <x:c r="E245" s="133" t="n">
        <x:v>0</x:v>
      </x:c>
      <x:c r="F245" s="133" t="n">
        <x:v>0</x:v>
      </x:c>
      <x:c r="G245" s="133" t="n">
        <x:v>0</x:v>
      </x:c>
      <x:c r="H245" s="133" t="n">
        <x:v>0</x:v>
      </x:c>
      <x:c r="I245" s="133" t="n">
        <x:v>0</x:v>
      </x:c>
      <x:c r="J245" s="133" t="n">
        <x:v>1</x:v>
      </x:c>
      <x:c r="K245" s="133" t="n">
        <x:f>SUM(E245:J245)</x:f>
        <x:v>1</x:v>
      </x:c>
      <x:c r="L245" s="205" t="n">
        <x:f>IFERROR(K245/D245,0)</x:f>
        <x:v>0.08725242125468982</x:v>
      </x:c>
      <x:c r="M245" s="160" t="str">
        <x:v>Presence-floor proxy only — 10k+ municipality completion</x:v>
      </x:c>
      <x:c r="N245" s="160" t="str">
        <x:v>Added under the &gt;=50k-county expansion rule: Census Vintage 2025 municipality population &gt;=10,000; general-purpose city-equivalent municipality; direct Census adjacency. Presence-floor proxy only — exact tracked-chain count requires municipal-boundary/GIS verification. Medina County specialty-grocery evidence is documented separately; Medina Township remains below the 10,000 threshold.</x:v>
      </x:c>
      <x:c r="O245" s="160" t="str">
        <x:v>Medina County</x:v>
      </x:c>
    </x:row>
    <x:row r="246">
      <x:c r="A246" s="28" t="n">
        <x:v>249</x:v>
      </x:c>
      <x:c r="B246" s="28" t="str">
        <x:v>Tamarac</x:v>
      </x:c>
      <x:c r="C246" s="28" t="str">
        <x:v>FL</x:v>
      </x:c>
      <x:c r="D246" s="204" t="n">
        <x:v>11.6</x:v>
      </x:c>
      <x:c r="E246" s="133" t="n">
        <x:v>0</x:v>
      </x:c>
      <x:c r="F246" s="133" t="n">
        <x:v>0</x:v>
      </x:c>
      <x:c r="G246" s="133" t="n">
        <x:v>0</x:v>
      </x:c>
      <x:c r="H246" s="133" t="n">
        <x:v>0</x:v>
      </x:c>
      <x:c r="I246" s="133" t="n">
        <x:v>0</x:v>
      </x:c>
      <x:c r="J246" s="133" t="n">
        <x:v>1</x:v>
      </x:c>
      <x:c r="K246" s="133" t="n">
        <x:f>SUM(E246:J246)</x:f>
        <x:v>1</x:v>
      </x:c>
      <x:c r="L246" s="205" t="n">
        <x:f>IFERROR(K246/D246,0)</x:f>
        <x:v>0.08620689655172414</x:v>
      </x:c>
      <x:c r="M246" s="160" t="str">
        <x:v>Presence-floor proxy only — 50k+ county completion</x:v>
      </x:c>
      <x:c r="N246"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246" s="160" t="str">
        <x:v>Broward County</x:v>
      </x:c>
    </x:row>
    <x:row r="247">
      <x:c r="A247" s="28" t="n">
        <x:v>250</x:v>
      </x:c>
      <x:c r="B247" s="28" t="str">
        <x:v>Royal Oak</x:v>
      </x:c>
      <x:c r="C247" s="28" t="str">
        <x:v>MI</x:v>
      </x:c>
      <x:c r="D247" s="204" t="n">
        <x:v>11.79</x:v>
      </x:c>
      <x:c r="E247" s="133" t="n">
        <x:v>0</x:v>
      </x:c>
      <x:c r="F247" s="133" t="n">
        <x:v>0</x:v>
      </x:c>
      <x:c r="G247" s="133" t="n">
        <x:v>0</x:v>
      </x:c>
      <x:c r="H247" s="133" t="n">
        <x:v>0</x:v>
      </x:c>
      <x:c r="I247" s="133" t="n">
        <x:v>0</x:v>
      </x:c>
      <x:c r="J247" s="133" t="n">
        <x:v>1</x:v>
      </x:c>
      <x:c r="K247" s="133" t="n">
        <x:f>SUM(E247:J247)</x:f>
        <x:v>1</x:v>
      </x:c>
      <x:c r="L247" s="205" t="n">
        <x:f>IFERROR(K247/D247,0)</x:f>
        <x:v>0.08481764206955048</x:v>
      </x:c>
      <x:c r="M247" s="160" t="str">
        <x:v>Presence-floor proxy only — restricted-state adjacency expansion</x:v>
      </x:c>
      <x:c r="N247" s="160" t="str">
        <x:v>Census V2025 population 57,583. Added for Oakland County completion; one-store screening floor pending production GIS verification.</x:v>
      </x:c>
      <x:c r="O247" s="160" t="str">
        <x:v>Oakland County</x:v>
      </x:c>
    </x:row>
    <x:row r="248">
      <x:c r="A248" s="28" t="n">
        <x:v>251</x:v>
      </x:c>
      <x:c r="B248" s="28" t="str">
        <x:v>West Goshen Township</x:v>
      </x:c>
      <x:c r="C248" s="28" t="str">
        <x:v>PA</x:v>
      </x:c>
      <x:c r="D248" s="204" t="n">
        <x:v>11.857</x:v>
      </x:c>
      <x:c r="E248" s="133" t="n">
        <x:v>0</x:v>
      </x:c>
      <x:c r="F248" s="133" t="n">
        <x:v>0</x:v>
      </x:c>
      <x:c r="G248" s="133" t="n">
        <x:v>0</x:v>
      </x:c>
      <x:c r="H248" s="133" t="n">
        <x:v>0</x:v>
      </x:c>
      <x:c r="I248" s="133" t="n">
        <x:v>0</x:v>
      </x:c>
      <x:c r="J248" s="133" t="n">
        <x:v>1</x:v>
      </x:c>
      <x:c r="K248" s="133" t="n">
        <x:f>SUM(E248:J248)</x:f>
        <x:v>1</x:v>
      </x:c>
      <x:c r="L248" s="205" t="n">
        <x:f>IFERROR(K248/D248,0)</x:f>
        <x:v>0.08433836552247619</x:v>
      </x:c>
      <x:c r="M248" s="160" t="str">
        <x:v>Presence-floor proxy only — 10k+ municipality completion</x:v>
      </x:c>
      <x:c r="N248" s="160" t="str">
        <x:v>Added under the 10k+ city-equivalent municipality rule: Census Vintage 2025 population &gt;=10,000; county population &gt;=500,000. Presence-floor proxy only — exact tracked-chain count requires municipal-boundary/GIS verification.</x:v>
      </x:c>
      <x:c r="O248" s="160" t="str">
        <x:v>Chester County</x:v>
      </x:c>
    </x:row>
    <x:row r="249">
      <x:c r="A249" s="28" t="n">
        <x:v>252</x:v>
      </x:c>
      <x:c r="B249" s="28" t="str">
        <x:v>Newtown Township</x:v>
      </x:c>
      <x:c r="C249" s="28" t="str">
        <x:v>PA</x:v>
      </x:c>
      <x:c r="D249" s="204" t="n">
        <x:v>11.9</x:v>
      </x:c>
      <x:c r="E249" s="133" t="n">
        <x:v>0</x:v>
      </x:c>
      <x:c r="F249" s="133" t="n">
        <x:v>0</x:v>
      </x:c>
      <x:c r="G249" s="133" t="n">
        <x:v>0</x:v>
      </x:c>
      <x:c r="H249" s="133" t="n">
        <x:v>0</x:v>
      </x:c>
      <x:c r="I249" s="133" t="n">
        <x:v>0</x:v>
      </x:c>
      <x:c r="J249" s="133" t="n">
        <x:v>1</x:v>
      </x:c>
      <x:c r="K249" s="133" t="n">
        <x:f>SUM(E249:J249)</x:f>
        <x:v>1</x:v>
      </x:c>
      <x:c r="L249" s="205" t="n">
        <x:f>IFERROR(K249/D249,0)</x:f>
        <x:v>0.08403361344537814</x:v>
      </x:c>
      <x:c r="M249" s="160" t="str">
        <x:v>Presence-floor proxy only — 10k+ municipality completion</x:v>
      </x:c>
      <x:c r="N24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49" s="160" t="str">
        <x:v>Bucks County</x:v>
      </x:c>
    </x:row>
    <x:row r="250">
      <x:c r="A250" s="28" t="n">
        <x:v>253</x:v>
      </x:c>
      <x:c r="B250" s="28" t="str">
        <x:v>Mountain View</x:v>
      </x:c>
      <x:c r="C250" s="28" t="str">
        <x:v>CA</x:v>
      </x:c>
      <x:c r="D250" s="204" t="n">
        <x:v>11.958</x:v>
      </x:c>
      <x:c r="E250" s="133" t="n">
        <x:v>0</x:v>
      </x:c>
      <x:c r="F250" s="133" t="n">
        <x:v>0</x:v>
      </x:c>
      <x:c r="G250" s="133" t="n">
        <x:v>0</x:v>
      </x:c>
      <x:c r="H250" s="133" t="n">
        <x:v>0</x:v>
      </x:c>
      <x:c r="I250" s="133" t="n">
        <x:v>0</x:v>
      </x:c>
      <x:c r="J250" s="133" t="n">
        <x:v>1</x:v>
      </x:c>
      <x:c r="K250" s="133" t="n">
        <x:f>SUM(E250:J250)</x:f>
        <x:v>1</x:v>
      </x:c>
      <x:c r="L250" s="205" t="n">
        <x:f>IFERROR(K250/D250,0)</x:f>
        <x:v>0.08362602441879913</x:v>
      </x:c>
      <x:c r="M250" s="160" t="str">
        <x:v>Presence-floor proxy only — 50k+ county completion</x:v>
      </x:c>
      <x:c r="N250" s="160" t="str">
        <x:v>Added to complete ≥50,000-population incorporated-place coverage in counties ranked 6–10 by store count under the same Census Vintage 2025 screen. One-store screening floor only; exact selected-chain count and 5-mile buffer require GIS verification.</x:v>
      </x:c>
      <x:c r="O250" s="160" t="str">
        <x:v>Santa Clara County</x:v>
      </x:c>
    </x:row>
    <x:row r="251">
      <x:c r="A251" s="28" t="n">
        <x:v>254</x:v>
      </x:c>
      <x:c r="B251" s="28" t="str">
        <x:v>Brunswick Hills Township</x:v>
      </x:c>
      <x:c r="C251" s="28" t="str">
        <x:v>OH</x:v>
      </x:c>
      <x:c r="D251" s="204" t="n">
        <x:v>11.965</x:v>
      </x:c>
      <x:c r="E251" s="133" t="n">
        <x:v>0</x:v>
      </x:c>
      <x:c r="F251" s="133" t="n">
        <x:v>0</x:v>
      </x:c>
      <x:c r="G251" s="133" t="n">
        <x:v>0</x:v>
      </x:c>
      <x:c r="H251" s="133" t="n">
        <x:v>0</x:v>
      </x:c>
      <x:c r="I251" s="133" t="n">
        <x:v>0</x:v>
      </x:c>
      <x:c r="J251" s="133" t="n">
        <x:v>1</x:v>
      </x:c>
      <x:c r="K251" s="133" t="n">
        <x:f>SUM(E251:J251)</x:f>
        <x:v>1</x:v>
      </x:c>
      <x:c r="L251" s="205" t="n">
        <x:f>IFERROR(K251/D251,0)</x:f>
        <x:v>0.08357709987463435</x:v>
      </x:c>
      <x:c r="M251" s="160" t="str">
        <x:v>Presence-floor proxy only — 10k+ municipality completion</x:v>
      </x:c>
      <x:c r="N251" s="160" t="str">
        <x:v>Added under the &gt;=50k-county expansion rule: Census Vintage 2025 municipality population &gt;=10,000; general-purpose city-equivalent municipality; direct Census adjacency. Presence-floor proxy only — exact tracked-chain count requires municipal-boundary/GIS verification. Medina County specialty-grocery evidence is documented separately; Medina Township remains below the 10,000 threshold.</x:v>
      </x:c>
      <x:c r="O251" s="160" t="str">
        <x:v>Medina County</x:v>
      </x:c>
    </x:row>
    <x:row r="252">
      <x:c r="A252" s="28" t="n">
        <x:v>255</x:v>
      </x:c>
      <x:c r="B252" s="28" t="str">
        <x:v>Denville Township</x:v>
      </x:c>
      <x:c r="C252" s="28" t="str">
        <x:v>NJ</x:v>
      </x:c>
      <x:c r="D252" s="204" t="n">
        <x:v>11.989</x:v>
      </x:c>
      <x:c r="E252" s="133" t="n">
        <x:v>0</x:v>
      </x:c>
      <x:c r="F252" s="133" t="n">
        <x:v>0</x:v>
      </x:c>
      <x:c r="G252" s="133" t="n">
        <x:v>0</x:v>
      </x:c>
      <x:c r="H252" s="133" t="n">
        <x:v>0</x:v>
      </x:c>
      <x:c r="I252" s="133" t="n">
        <x:v>0</x:v>
      </x:c>
      <x:c r="J252" s="133" t="n">
        <x:v>1</x:v>
      </x:c>
      <x:c r="K252" s="133" t="n">
        <x:f>SUM(E252:J252)</x:f>
        <x:v>1</x:v>
      </x:c>
      <x:c r="L252" s="205" t="n">
        <x:f>IFERROR(K252/D252,0)</x:f>
        <x:v>0.08340979230961715</x:v>
      </x:c>
      <x:c r="M252" s="160" t="str">
        <x:v>Presence-floor proxy only — 10k+ municipality completion</x:v>
      </x:c>
      <x:c r="N25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52" s="160" t="str">
        <x:v>Morris County</x:v>
      </x:c>
    </x:row>
    <x:row r="253">
      <x:c r="A253" s="28" t="n">
        <x:v>256</x:v>
      </x:c>
      <x:c r="B253" s="28" t="str">
        <x:v>Perrysburg City</x:v>
      </x:c>
      <x:c r="C253" s="28" t="str">
        <x:v>OH</x:v>
      </x:c>
      <x:c r="D253" s="204" t="n">
        <x:v>12.098</x:v>
      </x:c>
      <x:c r="E253" s="133" t="n">
        <x:v>0</x:v>
      </x:c>
      <x:c r="F253" s="133" t="n">
        <x:v>0</x:v>
      </x:c>
      <x:c r="G253" s="133" t="n">
        <x:v>0</x:v>
      </x:c>
      <x:c r="H253" s="133" t="n">
        <x:v>0</x:v>
      </x:c>
      <x:c r="I253" s="133" t="n">
        <x:v>0</x:v>
      </x:c>
      <x:c r="J253" s="133" t="n">
        <x:v>1</x:v>
      </x:c>
      <x:c r="K253" s="133" t="n">
        <x:f>SUM(E253:J253)</x:f>
        <x:v>1</x:v>
      </x:c>
      <x:c r="L253" s="205" t="n">
        <x:f>IFERROR(K253/D253,0)</x:f>
        <x:v>0.08265829062654984</x:v>
      </x:c>
      <x:c r="M253" s="160" t="str">
        <x:v>Presence-floor proxy only — 10k+ municipality completion</x:v>
      </x:c>
      <x:c r="N253" s="160" t="str">
        <x:v>Added under the &gt;=50k-county expansion rule: Census Vintage 2025 municipality population &gt;=10,000; general-purpose city-equivalent municipality; direct Census adjacency. Presence-floor proxy only — exact tracked-chain count requires municipal-boundary/GIS verification. Perrysburg Township (2020 Census 13,571) and Lake Township (2020 Census 11,160) remain safely above the 10,000 screen; Bowling Green and Perrysburg city also qualify.</x:v>
      </x:c>
      <x:c r="O253" s="160" t="str">
        <x:v>Wood County</x:v>
      </x:c>
    </x:row>
    <x:row r="254">
      <x:c r="A254" s="28" t="n">
        <x:v>257</x:v>
      </x:c>
      <x:c r="B254" s="28" t="str">
        <x:v>San Mateo</x:v>
      </x:c>
      <x:c r="C254" s="28" t="str">
        <x:v>CA</x:v>
      </x:c>
      <x:c r="D254" s="204" t="n">
        <x:v>12.117</x:v>
      </x:c>
      <x:c r="E254" s="133" t="n">
        <x:v>1</x:v>
      </x:c>
      <x:c r="F254" s="133" t="n">
        <x:v>0</x:v>
      </x:c>
      <x:c r="G254" s="133" t="n">
        <x:v>0</x:v>
      </x:c>
      <x:c r="H254" s="133" t="n">
        <x:v>0</x:v>
      </x:c>
      <x:c r="I254" s="133" t="n">
        <x:v>0</x:v>
      </x:c>
      <x:c r="J254" s="133" t="n">
        <x:v>0</x:v>
      </x:c>
      <x:c r="K254" s="133" t="n">
        <x:f>SUM(E254:J254)</x:f>
        <x:v>1</x:v>
      </x:c>
      <x:c r="L254" s="205" t="n">
        <x:f>IFERROR(K254/D254,0)</x:f>
        <x:v>0.08252867871585376</x:v>
      </x:c>
      <x:c r="M254" s="160" t="str">
        <x:v>Confirmed lower bound — adjacent county expansion</x:v>
      </x:c>
      <x:c r="N254" s="160" t="str">
        <x:v>Added in adjacent-county expansion; Census Vintage 2025 population ≥50,000. Whole Foods store presence verified from official locator; exact all-chain 5-mile count requires GIS verification.</x:v>
      </x:c>
      <x:c r="O254" s="160" t="str">
        <x:v>San Mateo County</x:v>
      </x:c>
    </x:row>
    <x:row r="255">
      <x:c r="A255" s="28" t="n">
        <x:v>258</x:v>
      </x:c>
      <x:c r="B255" s="28" t="str">
        <x:v>Elizabeth</x:v>
      </x:c>
      <x:c r="C255" s="28" t="str">
        <x:v>NJ</x:v>
      </x:c>
      <x:c r="D255" s="204" t="n">
        <x:v>12.3</x:v>
      </x:c>
      <x:c r="E255" s="133" t="n">
        <x:v>0</x:v>
      </x:c>
      <x:c r="F255" s="133" t="n">
        <x:v>0</x:v>
      </x:c>
      <x:c r="G255" s="133" t="n">
        <x:v>0</x:v>
      </x:c>
      <x:c r="H255" s="133" t="n">
        <x:v>0</x:v>
      </x:c>
      <x:c r="I255" s="133" t="n">
        <x:v>0</x:v>
      </x:c>
      <x:c r="J255" s="133" t="n">
        <x:v>1</x:v>
      </x:c>
      <x:c r="K255" s="133" t="n">
        <x:f>SUM(E255:J255)</x:f>
        <x:v>1</x:v>
      </x:c>
      <x:c r="L255" s="205" t="n">
        <x:f>IFERROR(K255/D255,0)</x:f>
        <x:v>0.08130081300813008</x:v>
      </x:c>
      <x:c r="M255" s="160" t="str">
        <x:v>Presence-floor proxy only — 200-city expansion</x:v>
      </x:c>
      <x:c r="N255" s="160" t="str">
        <x:v>Added in the 200-city screening expansion. One-store screening floor only; exact selected-chain count and 5-mile buffer require GIS verification.</x:v>
      </x:c>
      <x:c r="O255" s="160" t="str">
        <x:v>Union County</x:v>
      </x:c>
    </x:row>
    <x:row r="256">
      <x:c r="A256" s="28" t="n">
        <x:v>259</x:v>
      </x:c>
      <x:c r="B256" s="28" t="str">
        <x:v>Downey</x:v>
      </x:c>
      <x:c r="C256" s="28" t="str">
        <x:v>CA</x:v>
      </x:c>
      <x:c r="D256" s="204" t="n">
        <x:v>12.409</x:v>
      </x:c>
      <x:c r="E256" s="133" t="n">
        <x:v>0</x:v>
      </x:c>
      <x:c r="F256" s="133" t="n">
        <x:v>0</x:v>
      </x:c>
      <x:c r="G256" s="133" t="n">
        <x:v>0</x:v>
      </x:c>
      <x:c r="H256" s="133" t="n">
        <x:v>0</x:v>
      </x:c>
      <x:c r="I256" s="133" t="n">
        <x:v>0</x:v>
      </x:c>
      <x:c r="J256" s="133" t="n">
        <x:v>1</x:v>
      </x:c>
      <x:c r="K256" s="133" t="n">
        <x:f>SUM(E256:J256)</x:f>
        <x:v>1</x:v>
      </x:c>
      <x:c r="L256" s="205" t="n">
        <x:f>IFERROR(K256/D256,0)</x:f>
        <x:v>0.08058667096462245</x:v>
      </x:c>
      <x:c r="M256" s="160" t="str">
        <x:v>Presence-floor proxy only — 50k+ county completion</x:v>
      </x:c>
      <x:c r="N256" s="160" t="str">
        <x:v>Added to complete ≥50,000-population incorporated-place coverage in a top-5 store-count county using Census Vintage 2025 eligibility. One-store screening floor only; exact selected-chain count and 5-mile buffer require GIS verification.</x:v>
      </x:c>
      <x:c r="O256" s="160" t="str">
        <x:v>Los Angeles County</x:v>
      </x:c>
    </x:row>
    <x:row r="257">
      <x:c r="A257" s="28" t="n">
        <x:v>261</x:v>
      </x:c>
      <x:c r="B257" s="28" t="str">
        <x:v>Westerville City</x:v>
      </x:c>
      <x:c r="C257" s="28" t="str">
        <x:v>OH</x:v>
      </x:c>
      <x:c r="D257" s="204" t="n">
        <x:v>12.602</x:v>
      </x:c>
      <x:c r="E257" s="133" t="n">
        <x:v>0</x:v>
      </x:c>
      <x:c r="F257" s="133" t="n">
        <x:v>0</x:v>
      </x:c>
      <x:c r="G257" s="133" t="n">
        <x:v>0</x:v>
      </x:c>
      <x:c r="H257" s="133" t="n">
        <x:v>0</x:v>
      </x:c>
      <x:c r="I257" s="133" t="n">
        <x:v>0</x:v>
      </x:c>
      <x:c r="J257" s="133" t="n">
        <x:v>1</x:v>
      </x:c>
      <x:c r="K257" s="133" t="n">
        <x:f>SUM(E257:J257)</x:f>
        <x:v>1</x:v>
      </x:c>
      <x:c r="L257" s="205" t="n">
        <x:f>IFERROR(K257/D257,0)</x:f>
        <x:v>0.07935248373274083</x:v>
      </x:c>
      <x:c r="M257" s="160" t="str">
        <x:v>Presence-floor proxy only — 10k+ municipality completion</x:v>
      </x:c>
      <x:c r="N257" s="160" t="str">
        <x:v>Added under the &gt;=50k-county expansion rule: Census Vintage 2025 municipality population &gt;=10,000; general-purpose city-equivalent municipality; direct Census adjacency. Presence-floor proxy only — exact tracked-chain count requires municipal-boundary/GIS verification. Westerville City spans multiple counties and is canonically assigned to Delaware County for this expansion; full Census place land area is used. Fresh Thyme's Westerville-branded store is retained as county-selection evidence only because postal branding alone does not establish county/municipal boundary attribution.</x:v>
      </x:c>
      <x:c r="O257" s="160" t="str">
        <x:v>Delaware County</x:v>
      </x:c>
    </x:row>
    <x:row r="258">
      <x:c r="A258" s="28" t="n">
        <x:v>262</x:v>
      </x:c>
      <x:c r="B258" s="28" t="str">
        <x:v>Troy City</x:v>
      </x:c>
      <x:c r="C258" s="28" t="str">
        <x:v>OH</x:v>
      </x:c>
      <x:c r="D258" s="204" t="n">
        <x:v>12.635</x:v>
      </x:c>
      <x:c r="E258" s="133" t="n">
        <x:v>0</x:v>
      </x:c>
      <x:c r="F258" s="133" t="n">
        <x:v>0</x:v>
      </x:c>
      <x:c r="G258" s="133" t="n">
        <x:v>0</x:v>
      </x:c>
      <x:c r="H258" s="133" t="n">
        <x:v>0</x:v>
      </x:c>
      <x:c r="I258" s="133" t="n">
        <x:v>0</x:v>
      </x:c>
      <x:c r="J258" s="133" t="n">
        <x:v>1</x:v>
      </x:c>
      <x:c r="K258" s="133" t="n">
        <x:f>SUM(E258:J258)</x:f>
        <x:v>1</x:v>
      </x:c>
      <x:c r="L258" s="205" t="n">
        <x:f>IFERROR(K258/D258,0)</x:f>
        <x:v>0.07914523149980214</x:v>
      </x:c>
      <x:c r="M258" s="160" t="str">
        <x:v>Presence-floor proxy only — 10k+ municipality completion</x:v>
      </x:c>
      <x:c r="N258" s="160" t="str">
        <x:v>Added under the &gt;=50k-county expansion rule: Census Vintage 2025 municipality population &gt;=10,000; general-purpose city-equivalent municipality; direct Census adjacency. Presence-floor proxy only — exact tracked-chain count requires municipal-boundary/GIS verification. Tipp City is V2025 10,644; Troy and Piqua remain well above 10,000.</x:v>
      </x:c>
      <x:c r="O258" s="160" t="str">
        <x:v>Miami County</x:v>
      </x:c>
    </x:row>
    <x:row r="259">
      <x:c r="A259" s="28" t="n">
        <x:v>263</x:v>
      </x:c>
      <x:c r="B259" s="28" t="str">
        <x:v>Eastvale</x:v>
      </x:c>
      <x:c r="C259" s="28" t="str">
        <x:v>CA</x:v>
      </x:c>
      <x:c r="D259" s="204" t="n">
        <x:v>12.679</x:v>
      </x:c>
      <x:c r="E259" s="133" t="n">
        <x:v>0</x:v>
      </x:c>
      <x:c r="F259" s="133" t="n">
        <x:v>0</x:v>
      </x:c>
      <x:c r="G259" s="133" t="n">
        <x:v>0</x:v>
      </x:c>
      <x:c r="H259" s="133" t="n">
        <x:v>0</x:v>
      </x:c>
      <x:c r="I259" s="133" t="n">
        <x:v>0</x:v>
      </x:c>
      <x:c r="J259" s="133" t="n">
        <x:v>1</x:v>
      </x:c>
      <x:c r="K259" s="133" t="n">
        <x:f>SUM(E259:J259)</x:f>
        <x:v>1</x:v>
      </x:c>
      <x:c r="L259" s="205" t="n">
        <x:f>IFERROR(K259/D259,0)</x:f>
        <x:v>0.07887057338906854</x:v>
      </x:c>
      <x:c r="M259" s="160" t="str">
        <x:v>Presence-floor proxy only — 50k+ county completion</x:v>
      </x:c>
      <x:c r="N25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259" s="160" t="str">
        <x:v>Riverside County</x:v>
      </x:c>
    </x:row>
    <x:row r="260">
      <x:c r="A260" s="28" t="n">
        <x:v>264</x:v>
      </x:c>
      <x:c r="B260" s="28" t="str">
        <x:v>Middletown Town</x:v>
      </x:c>
      <x:c r="C260" s="28" t="str">
        <x:v>RI</x:v>
      </x:c>
      <x:c r="D260" s="204" t="n">
        <x:v>12.7</x:v>
      </x:c>
      <x:c r="E260" s="133" t="n">
        <x:v>0</x:v>
      </x:c>
      <x:c r="F260" s="133" t="n">
        <x:v>0</x:v>
      </x:c>
      <x:c r="G260" s="133" t="n">
        <x:v>0</x:v>
      </x:c>
      <x:c r="H260" s="133" t="n">
        <x:v>0</x:v>
      </x:c>
      <x:c r="I260" s="133" t="n">
        <x:v>0</x:v>
      </x:c>
      <x:c r="J260" s="133" t="n">
        <x:v>1</x:v>
      </x:c>
      <x:c r="K260" s="133" t="n">
        <x:f>SUM(E260:J260)</x:f>
        <x:v>1</x:v>
      </x:c>
      <x:c r="L260" s="205" t="n">
        <x:f>IFERROR(K260/D260,0)</x:f>
        <x:v>0.07874015748031496</x:v>
      </x:c>
      <x:c r="M260" s="160" t="str">
        <x:v>Presence-floor proxy only — 10k+ municipality completion</x:v>
      </x:c>
      <x:c r="N260"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Census Vintage 2025.</x:v>
      </x:c>
      <x:c r="O260" s="160" t="str">
        <x:v>Newport County</x:v>
      </x:c>
    </x:row>
    <x:row r="261">
      <x:c r="A261" s="28" t="n">
        <x:v>265</x:v>
      </x:c>
      <x:c r="B261" s="28" t="str">
        <x:v>Santa Cruz</x:v>
      </x:c>
      <x:c r="C261" s="28" t="str">
        <x:v>CA</x:v>
      </x:c>
      <x:c r="D261" s="204" t="n">
        <x:v>12.741</x:v>
      </x:c>
      <x:c r="E261" s="133" t="n">
        <x:v>1</x:v>
      </x:c>
      <x:c r="F261" s="133" t="n">
        <x:v>0</x:v>
      </x:c>
      <x:c r="G261" s="133" t="n">
        <x:v>0</x:v>
      </x:c>
      <x:c r="H261" s="133" t="n">
        <x:v>0</x:v>
      </x:c>
      <x:c r="I261" s="133" t="n">
        <x:v>0</x:v>
      </x:c>
      <x:c r="J261" s="133" t="n">
        <x:v>0</x:v>
      </x:c>
      <x:c r="K261" s="133" t="n">
        <x:f>SUM(E261:J261)</x:f>
        <x:v>1</x:v>
      </x:c>
      <x:c r="L261" s="205" t="n">
        <x:f>IFERROR(K261/D261,0)</x:f>
        <x:v>0.07848677497841614</x:v>
      </x:c>
      <x:c r="M261" s="160" t="str">
        <x:v>Confirmed lower bound — adjacent-county expansion</x:v>
      </x:c>
      <x:c r="N261" s="160" t="str">
        <x:v>Added in second adjacent-county expansion; Whole Foods location verified. Census Vintage 2025 eligibility; Census 2025 Gazetteer land area.</x:v>
      </x:c>
      <x:c r="O261" s="160" t="str">
        <x:v>Santa Cruz County</x:v>
      </x:c>
    </x:row>
    <x:row r="262">
      <x:c r="A262" s="28" t="n">
        <x:v>266</x:v>
      </x:c>
      <x:c r="B262" s="28" t="str">
        <x:v>Fulshear</x:v>
      </x:c>
      <x:c r="C262" s="28" t="str">
        <x:v>TX</x:v>
      </x:c>
      <x:c r="D262" s="204" t="n">
        <x:v>12.818</x:v>
      </x:c>
      <x:c r="E262" s="133" t="n">
        <x:v>0</x:v>
      </x:c>
      <x:c r="F262" s="133" t="n">
        <x:v>0</x:v>
      </x:c>
      <x:c r="G262" s="133" t="n">
        <x:v>0</x:v>
      </x:c>
      <x:c r="H262" s="133" t="n">
        <x:v>0</x:v>
      </x:c>
      <x:c r="I262" s="133" t="n">
        <x:v>0</x:v>
      </x:c>
      <x:c r="J262" s="133" t="n">
        <x:v>1</x:v>
      </x:c>
      <x:c r="K262" s="133" t="n">
        <x:f>SUM(E262:J262)</x:f>
        <x:v>1</x:v>
      </x:c>
      <x:c r="L262" s="205" t="n">
        <x:f>IFERROR(K262/D262,0)</x:f>
        <x:v>0.07801529099703543</x:v>
      </x:c>
      <x:c r="M262" s="160" t="str">
        <x:v>Presence-floor proxy only — adjacent county expansion</x:v>
      </x:c>
      <x:c r="N262" s="160" t="str">
        <x:v>Added in adjacent-county expansion; Census Vintage 2025 population ≥50,000. No tracked-chain city count was verified in this screening pass, so the workbook's one-store screening floor is used; exact all-chain 5-mile count requires GIS verification.</x:v>
      </x:c>
      <x:c r="O262" s="160" t="str">
        <x:v>Fort Bend County</x:v>
      </x:c>
    </x:row>
    <x:row r="263">
      <x:c r="A263" s="28" t="n">
        <x:v>267</x:v>
      </x:c>
      <x:c r="B263" s="28" t="str">
        <x:v>Port Huron Charter Township</x:v>
      </x:c>
      <x:c r="C263" s="28" t="str">
        <x:v>MI</x:v>
      </x:c>
      <x:c r="D263" s="204" t="n">
        <x:v>12.83</x:v>
      </x:c>
      <x:c r="E263" s="133" t="n">
        <x:v>0</x:v>
      </x:c>
      <x:c r="F263" s="133" t="n">
        <x:v>0</x:v>
      </x:c>
      <x:c r="G263" s="133" t="n">
        <x:v>0</x:v>
      </x:c>
      <x:c r="H263" s="133" t="n">
        <x:v>0</x:v>
      </x:c>
      <x:c r="I263" s="133" t="n">
        <x:v>0</x:v>
      </x:c>
      <x:c r="J263" s="133" t="n">
        <x:v>1</x:v>
      </x:c>
      <x:c r="K263" s="133" t="n">
        <x:f>SUM(E263:J263)</x:f>
        <x:v>1</x:v>
      </x:c>
      <x:c r="L263" s="205" t="n">
        <x:f>IFERROR(K263/D263,0)</x:f>
        <x:v>0.0779423226812159</x:v>
      </x:c>
      <x:c r="M263" s="160" t="str">
        <x:v>Presence-floor proxy only — 10k+ municipality completion</x:v>
      </x:c>
      <x:c r="N263" s="160" t="str">
        <x:v>Added under the &gt;=50k-county expansion rule: Census Vintage 2025 municipality population &gt;=10,000; general-purpose city-equivalent municipality; direct Census adjacency. Presence-floor proxy only — exact tracked-chain count requires municipal-boundary/GIS verification. Port Huron Charter Township is V2025 10,665; all three clear the municipal threshold.</x:v>
      </x:c>
      <x:c r="O263" s="160" t="str">
        <x:v>St. Clair County</x:v>
      </x:c>
    </x:row>
    <x:row r="264">
      <x:c r="A264" s="28" t="n">
        <x:v>268</x:v>
      </x:c>
      <x:c r="B264" s="28" t="str">
        <x:v>West Whiteland Township</x:v>
      </x:c>
      <x:c r="C264" s="28" t="str">
        <x:v>PA</x:v>
      </x:c>
      <x:c r="D264" s="204" t="n">
        <x:v>12.835</x:v>
      </x:c>
      <x:c r="E264" s="133" t="n">
        <x:v>0</x:v>
      </x:c>
      <x:c r="F264" s="133" t="n">
        <x:v>0</x:v>
      </x:c>
      <x:c r="G264" s="133" t="n">
        <x:v>0</x:v>
      </x:c>
      <x:c r="H264" s="133" t="n">
        <x:v>0</x:v>
      </x:c>
      <x:c r="I264" s="133" t="n">
        <x:v>0</x:v>
      </x:c>
      <x:c r="J264" s="133" t="n">
        <x:v>1</x:v>
      </x:c>
      <x:c r="K264" s="133" t="n">
        <x:f>SUM(E264:J264)</x:f>
        <x:v>1</x:v>
      </x:c>
      <x:c r="L264" s="205" t="n">
        <x:f>IFERROR(K264/D264,0)</x:f>
        <x:v>0.07791195948578106</x:v>
      </x:c>
      <x:c r="M264" s="160" t="str">
        <x:v>Presence-floor proxy only — 10k+ municipality completion</x:v>
      </x:c>
      <x:c r="N264" s="160" t="str">
        <x:v>Added under the 10k+ city-equivalent municipality rule: Census Vintage 2025 population &gt;=10,000; county population &gt;=500,000. Presence-floor proxy only — exact tracked-chain count requires municipal-boundary/GIS verification.</x:v>
      </x:c>
      <x:c r="O264" s="160" t="str">
        <x:v>Chester County</x:v>
      </x:c>
    </x:row>
    <x:row r="265">
      <x:c r="A265" s="28" t="n">
        <x:v>269</x:v>
      </x:c>
      <x:c r="B265" s="28" t="str">
        <x:v>Whitpain Township</x:v>
      </x:c>
      <x:c r="C265" s="28" t="str">
        <x:v>PA</x:v>
      </x:c>
      <x:c r="D265" s="204" t="n">
        <x:v>12.845</x:v>
      </x:c>
      <x:c r="E265" s="133" t="n">
        <x:v>0</x:v>
      </x:c>
      <x:c r="F265" s="133" t="n">
        <x:v>0</x:v>
      </x:c>
      <x:c r="G265" s="133" t="n">
        <x:v>0</x:v>
      </x:c>
      <x:c r="H265" s="133" t="n">
        <x:v>0</x:v>
      </x:c>
      <x:c r="I265" s="133" t="n">
        <x:v>0</x:v>
      </x:c>
      <x:c r="J265" s="133" t="n">
        <x:v>1</x:v>
      </x:c>
      <x:c r="K265" s="133" t="n">
        <x:f>SUM(E265:J265)</x:f>
        <x:v>1</x:v>
      </x:c>
      <x:c r="L265" s="205" t="n">
        <x:f>IFERROR(K265/D265,0)</x:f>
        <x:v>0.07785130400934215</x:v>
      </x:c>
      <x:c r="M265" s="160" t="str">
        <x:v>Presence-floor proxy only — 10k+ municipality completion</x:v>
      </x:c>
      <x:c r="N26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65" s="160" t="str">
        <x:v>Montgomery County</x:v>
      </x:c>
    </x:row>
    <x:row r="266">
      <x:c r="A266" s="28" t="n">
        <x:v>270</x:v>
      </x:c>
      <x:c r="B266" s="28" t="str">
        <x:v>Lumberton Township</x:v>
      </x:c>
      <x:c r="C266" s="28" t="str">
        <x:v>NJ</x:v>
      </x:c>
      <x:c r="D266" s="204" t="n">
        <x:v>12.881</x:v>
      </x:c>
      <x:c r="E266" s="133" t="n">
        <x:v>0</x:v>
      </x:c>
      <x:c r="F266" s="133" t="n">
        <x:v>0</x:v>
      </x:c>
      <x:c r="G266" s="133" t="n">
        <x:v>0</x:v>
      </x:c>
      <x:c r="H266" s="133" t="n">
        <x:v>0</x:v>
      </x:c>
      <x:c r="I266" s="133" t="n">
        <x:v>0</x:v>
      </x:c>
      <x:c r="J266" s="133" t="n">
        <x:v>1</x:v>
      </x:c>
      <x:c r="K266" s="133" t="n">
        <x:f>SUM(E266:J266)</x:f>
        <x:v>1</x:v>
      </x:c>
      <x:c r="L266" s="205" t="n">
        <x:f>IFERROR(K266/D266,0)</x:f>
        <x:v>0.07763372408974459</x:v>
      </x:c>
      <x:c r="M266" s="160" t="str">
        <x:v>Presence-floor proxy only — 10k+ municipality completion</x:v>
      </x:c>
      <x:c r="N26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266" s="160" t="str">
        <x:v>Burlington County</x:v>
      </x:c>
    </x:row>
    <x:row r="267">
      <x:c r="A267" s="28" t="n">
        <x:v>271</x:v>
      </x:c>
      <x:c r="B267" s="28" t="str">
        <x:v>Hampton Town</x:v>
      </x:c>
      <x:c r="C267" s="28" t="str">
        <x:v>NH</x:v>
      </x:c>
      <x:c r="D267" s="204" t="n">
        <x:v>12.911</x:v>
      </x:c>
      <x:c r="E267" s="133" t="n">
        <x:v>0</x:v>
      </x:c>
      <x:c r="F267" s="133" t="n">
        <x:v>0</x:v>
      </x:c>
      <x:c r="G267" s="133" t="n">
        <x:v>0</x:v>
      </x:c>
      <x:c r="H267" s="133" t="n">
        <x:v>0</x:v>
      </x:c>
      <x:c r="I267" s="133" t="n">
        <x:v>0</x:v>
      </x:c>
      <x:c r="J267" s="133" t="n">
        <x:v>1</x:v>
      </x:c>
      <x:c r="K267" s="133" t="n">
        <x:f>SUM(E267:J267)</x:f>
        <x:v>1</x:v>
      </x:c>
      <x:c r="L267" s="205" t="n">
        <x:f>IFERROR(K267/D267,0)</x:f>
        <x:v>0.07745333436604446</x:v>
      </x:c>
      <x:c r="M267" s="160" t="str">
        <x:v>Presence-floor proxy only — 10k+ municipality completion</x:v>
      </x:c>
      <x:c r="N267"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267" s="160" t="str">
        <x:v>Rockingham County</x:v>
      </x:c>
    </x:row>
    <x:row r="268">
      <x:c r="A268" s="28" t="n">
        <x:v>272</x:v>
      </x:c>
      <x:c r="B268" s="28" t="str">
        <x:v>Penn Township</x:v>
      </x:c>
      <x:c r="C268" s="28" t="str">
        <x:v>PA</x:v>
      </x:c>
      <x:c r="D268" s="204" t="n">
        <x:v>12.963</x:v>
      </x:c>
      <x:c r="E268" s="133" t="n">
        <x:v>0</x:v>
      </x:c>
      <x:c r="F268" s="133" t="n">
        <x:v>0</x:v>
      </x:c>
      <x:c r="G268" s="133" t="n">
        <x:v>0</x:v>
      </x:c>
      <x:c r="H268" s="133" t="n">
        <x:v>0</x:v>
      </x:c>
      <x:c r="I268" s="133" t="n">
        <x:v>0</x:v>
      </x:c>
      <x:c r="J268" s="133" t="n">
        <x:v>1</x:v>
      </x:c>
      <x:c r="K268" s="133" t="n">
        <x:f>SUM(E268:J268)</x:f>
        <x:v>1</x:v>
      </x:c>
      <x:c r="L268" s="205" t="n">
        <x:f>IFERROR(K268/D268,0)</x:f>
        <x:v>0.07714263673532362</x:v>
      </x:c>
      <x:c r="M268" s="160" t="str">
        <x:v>Presence-floor proxy only — 10k+ municipality completion</x:v>
      </x:c>
      <x:c r="N26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268" s="160" t="str">
        <x:v>York County</x:v>
      </x:c>
    </x:row>
    <x:row r="269">
      <x:c r="A269" s="28" t="n">
        <x:v>273</x:v>
      </x:c>
      <x:c r="B269" s="28" t="str">
        <x:v>Brunswick City</x:v>
      </x:c>
      <x:c r="C269" s="28" t="str">
        <x:v>OH</x:v>
      </x:c>
      <x:c r="D269" s="204" t="n">
        <x:v>13.025</x:v>
      </x:c>
      <x:c r="E269" s="133" t="n">
        <x:v>0</x:v>
      </x:c>
      <x:c r="F269" s="133" t="n">
        <x:v>0</x:v>
      </x:c>
      <x:c r="G269" s="133" t="n">
        <x:v>0</x:v>
      </x:c>
      <x:c r="H269" s="133" t="n">
        <x:v>0</x:v>
      </x:c>
      <x:c r="I269" s="133" t="n">
        <x:v>0</x:v>
      </x:c>
      <x:c r="J269" s="133" t="n">
        <x:v>1</x:v>
      </x:c>
      <x:c r="K269" s="133" t="n">
        <x:f>SUM(E269:J269)</x:f>
        <x:v>1</x:v>
      </x:c>
      <x:c r="L269" s="205" t="n">
        <x:f>IFERROR(K269/D269,0)</x:f>
        <x:v>0.07677543186180422</x:v>
      </x:c>
      <x:c r="M269" s="160" t="str">
        <x:v>Presence-floor proxy only — 10k+ municipality completion</x:v>
      </x:c>
      <x:c r="N269" s="160" t="str">
        <x:v>Added under the &gt;=50k-county expansion rule: Census Vintage 2025 municipality population &gt;=10,000; general-purpose city-equivalent municipality; direct Census adjacency. Presence-floor proxy only — exact tracked-chain count requires municipal-boundary/GIS verification. Medina County specialty-grocery evidence is documented separately; Medina Township remains below the 10,000 threshold.</x:v>
      </x:c>
      <x:c r="O269" s="160" t="str">
        <x:v>Medina County</x:v>
      </x:c>
    </x:row>
    <x:row r="270">
      <x:c r="A270" s="28" t="n">
        <x:v>274</x:v>
      </x:c>
      <x:c r="B270" s="28" t="str">
        <x:v>Bowling Green City</x:v>
      </x:c>
      <x:c r="C270" s="28" t="str">
        <x:v>OH</x:v>
      </x:c>
      <x:c r="D270" s="204" t="n">
        <x:v>13.082</x:v>
      </x:c>
      <x:c r="E270" s="133" t="n">
        <x:v>0</x:v>
      </x:c>
      <x:c r="F270" s="133" t="n">
        <x:v>0</x:v>
      </x:c>
      <x:c r="G270" s="133" t="n">
        <x:v>0</x:v>
      </x:c>
      <x:c r="H270" s="133" t="n">
        <x:v>0</x:v>
      </x:c>
      <x:c r="I270" s="133" t="n">
        <x:v>0</x:v>
      </x:c>
      <x:c r="J270" s="133" t="n">
        <x:v>1</x:v>
      </x:c>
      <x:c r="K270" s="133" t="n">
        <x:f>SUM(E270:J270)</x:f>
        <x:v>1</x:v>
      </x:c>
      <x:c r="L270" s="205" t="n">
        <x:f>IFERROR(K270/D270,0)</x:f>
        <x:v>0.07644091117566121</x:v>
      </x:c>
      <x:c r="M270" s="160" t="str">
        <x:v>Presence-floor proxy only — 10k+ municipality completion</x:v>
      </x:c>
      <x:c r="N270" s="160" t="str">
        <x:v>Added under the &gt;=50k-county expansion rule: Census Vintage 2025 municipality population &gt;=10,000; general-purpose city-equivalent municipality; direct Census adjacency. Presence-floor proxy only — exact tracked-chain count requires municipal-boundary/GIS verification. Perrysburg Township (2020 Census 13,571) and Lake Township (2020 Census 11,160) remain safely above the 10,000 screen; Bowling Green and Perrysburg city also qualify.</x:v>
      </x:c>
      <x:c r="O270" s="160" t="str">
        <x:v>Wood County</x:v>
      </x:c>
    </x:row>
    <x:row r="271">
      <x:c r="A271" s="28" t="n">
        <x:v>275</x:v>
      </x:c>
      <x:c r="B271" s="28" t="str">
        <x:v>Xenia City</x:v>
      </x:c>
      <x:c r="C271" s="28" t="str">
        <x:v>OH</x:v>
      </x:c>
      <x:c r="D271" s="204" t="n">
        <x:v>13.092</x:v>
      </x:c>
      <x:c r="E271" s="133" t="n">
        <x:v>0</x:v>
      </x:c>
      <x:c r="F271" s="133" t="n">
        <x:v>0</x:v>
      </x:c>
      <x:c r="G271" s="133" t="n">
        <x:v>0</x:v>
      </x:c>
      <x:c r="H271" s="133" t="n">
        <x:v>0</x:v>
      </x:c>
      <x:c r="I271" s="133" t="n">
        <x:v>0</x:v>
      </x:c>
      <x:c r="J271" s="133" t="n">
        <x:v>1</x:v>
      </x:c>
      <x:c r="K271" s="133" t="n">
        <x:f>SUM(E271:J271)</x:f>
        <x:v>1</x:v>
      </x:c>
      <x:c r="L271" s="205" t="n">
        <x:f>IFERROR(K271/D271,0)</x:f>
        <x:v>0.07638252367858234</x:v>
      </x:c>
      <x:c r="M271" s="160" t="str">
        <x:v>Presence-floor proxy only — 10k+ municipality completion</x:v>
      </x:c>
      <x:c r="N271" s="160" t="str">
        <x:v>Added under the &gt;=50k-county expansion rule: Census Vintage 2025 municipality population &gt;=10,000; general-purpose city-equivalent municipality; direct Census adjacency. Presence-floor proxy only — exact tracked-chain count requires municipal-boundary/GIS verification. County V2025 population 174,322; all five are above the 10,000 municipal threshold.</x:v>
      </x:c>
      <x:c r="O271" s="160" t="str">
        <x:v>Greene County</x:v>
      </x:c>
    </x:row>
    <x:row r="272">
      <x:c r="A272" s="28" t="n">
        <x:v>276</x:v>
      </x:c>
      <x:c r="B272" s="28" t="str">
        <x:v>Piqua City</x:v>
      </x:c>
      <x:c r="C272" s="28" t="str">
        <x:v>OH</x:v>
      </x:c>
      <x:c r="D272" s="204" t="n">
        <x:v>13.155</x:v>
      </x:c>
      <x:c r="E272" s="133" t="n">
        <x:v>0</x:v>
      </x:c>
      <x:c r="F272" s="133" t="n">
        <x:v>0</x:v>
      </x:c>
      <x:c r="G272" s="133" t="n">
        <x:v>0</x:v>
      </x:c>
      <x:c r="H272" s="133" t="n">
        <x:v>0</x:v>
      </x:c>
      <x:c r="I272" s="133" t="n">
        <x:v>0</x:v>
      </x:c>
      <x:c r="J272" s="133" t="n">
        <x:v>1</x:v>
      </x:c>
      <x:c r="K272" s="133" t="n">
        <x:f>SUM(E272:J272)</x:f>
        <x:v>1</x:v>
      </x:c>
      <x:c r="L272" s="205" t="n">
        <x:f>IFERROR(K272/D272,0)</x:f>
        <x:v>0.07601672367920943</x:v>
      </x:c>
      <x:c r="M272" s="160" t="str">
        <x:v>Presence-floor proxy only — 10k+ municipality completion</x:v>
      </x:c>
      <x:c r="N272" s="160" t="str">
        <x:v>Added under the &gt;=50k-county expansion rule: Census Vintage 2025 municipality population &gt;=10,000; general-purpose city-equivalent municipality; direct Census adjacency. Presence-floor proxy only — exact tracked-chain count requires municipal-boundary/GIS verification. Tipp City is V2025 10,644; Troy and Piqua remain well above 10,000.</x:v>
      </x:c>
      <x:c r="O272" s="160" t="str">
        <x:v>Miami County</x:v>
      </x:c>
    </x:row>
    <x:row r="273">
      <x:c r="A273" s="28" t="n">
        <x:v>277</x:v>
      </x:c>
      <x:c r="B273" s="28" t="str">
        <x:v>Upper Dublin Township</x:v>
      </x:c>
      <x:c r="C273" s="28" t="str">
        <x:v>PA</x:v>
      </x:c>
      <x:c r="D273" s="204" t="n">
        <x:v>13.235</x:v>
      </x:c>
      <x:c r="E273" s="133" t="n">
        <x:v>0</x:v>
      </x:c>
      <x:c r="F273" s="133" t="n">
        <x:v>0</x:v>
      </x:c>
      <x:c r="G273" s="133" t="n">
        <x:v>0</x:v>
      </x:c>
      <x:c r="H273" s="133" t="n">
        <x:v>0</x:v>
      </x:c>
      <x:c r="I273" s="133" t="n">
        <x:v>0</x:v>
      </x:c>
      <x:c r="J273" s="133" t="n">
        <x:v>1</x:v>
      </x:c>
      <x:c r="K273" s="133" t="n">
        <x:f>SUM(E273:J273)</x:f>
        <x:v>1</x:v>
      </x:c>
      <x:c r="L273" s="205" t="n">
        <x:f>IFERROR(K273/D273,0)</x:f>
        <x:v>0.07555723460521345</x:v>
      </x:c>
      <x:c r="M273" s="160" t="str">
        <x:v>Presence-floor proxy only — 10k+ municipality completion</x:v>
      </x:c>
      <x:c r="N27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73" s="160" t="str">
        <x:v>Montgomery County</x:v>
      </x:c>
    </x:row>
    <x:row r="274">
      <x:c r="A274" s="28" t="n">
        <x:v>278</x:v>
      </x:c>
      <x:c r="B274" s="28" t="str">
        <x:v>Upper Allen Township</x:v>
      </x:c>
      <x:c r="C274" s="28" t="str">
        <x:v>PA</x:v>
      </x:c>
      <x:c r="D274" s="204" t="n">
        <x:v>13.247</x:v>
      </x:c>
      <x:c r="E274" s="133" t="n">
        <x:v>0</x:v>
      </x:c>
      <x:c r="F274" s="133" t="n">
        <x:v>0</x:v>
      </x:c>
      <x:c r="G274" s="133" t="n">
        <x:v>0</x:v>
      </x:c>
      <x:c r="H274" s="133" t="n">
        <x:v>0</x:v>
      </x:c>
      <x:c r="I274" s="133" t="n">
        <x:v>0</x:v>
      </x:c>
      <x:c r="J274" s="133" t="n">
        <x:v>1</x:v>
      </x:c>
      <x:c r="K274" s="133" t="n">
        <x:f>SUM(E274:J274)</x:f>
        <x:v>1</x:v>
      </x:c>
      <x:c r="L274" s="205" t="n">
        <x:f>IFERROR(K274/D274,0)</x:f>
        <x:v>0.07548878991469767</x:v>
      </x:c>
      <x:c r="M274" s="160" t="str">
        <x:v>Presence-floor proxy only — 10k+ municipality completion</x:v>
      </x:c>
      <x:c r="N274"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274" s="160" t="str">
        <x:v>Cumberland County</x:v>
      </x:c>
    </x:row>
    <x:row r="275">
      <x:c r="A275" s="28" t="n">
        <x:v>279</x:v>
      </x:c>
      <x:c r="B275" s="28" t="str">
        <x:v>San Leandro</x:v>
      </x:c>
      <x:c r="C275" s="28" t="str">
        <x:v>CA</x:v>
      </x:c>
      <x:c r="D275" s="204" t="n">
        <x:v>13.323</x:v>
      </x:c>
      <x:c r="E275" s="133" t="n">
        <x:v>0</x:v>
      </x:c>
      <x:c r="F275" s="133" t="n">
        <x:v>0</x:v>
      </x:c>
      <x:c r="G275" s="133" t="n">
        <x:v>0</x:v>
      </x:c>
      <x:c r="H275" s="133" t="n">
        <x:v>0</x:v>
      </x:c>
      <x:c r="I275" s="133" t="n">
        <x:v>0</x:v>
      </x:c>
      <x:c r="J275" s="133" t="n">
        <x:v>1</x:v>
      </x:c>
      <x:c r="K275" s="133" t="n">
        <x:f>SUM(E275:J275)</x:f>
        <x:v>1</x:v>
      </x:c>
      <x:c r="L275" s="205" t="n">
        <x:f>IFERROR(K275/D275,0)</x:f>
        <x:v>0.0750581700818134</x:v>
      </x:c>
      <x:c r="M275" s="160" t="str">
        <x:v>Presence-floor proxy only — 50k+ county completion</x:v>
      </x:c>
      <x:c r="N275"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275" s="160" t="str">
        <x:v>Alameda County</x:v>
      </x:c>
    </x:row>
    <x:row r="276">
      <x:c r="A276" s="28" t="n">
        <x:v>280</x:v>
      </x:c>
      <x:c r="B276" s="28" t="str">
        <x:v>Easthampton City</x:v>
      </x:c>
      <x:c r="C276" s="28" t="str">
        <x:v>MA</x:v>
      </x:c>
      <x:c r="D276" s="204" t="n">
        <x:v>13.323</x:v>
      </x:c>
      <x:c r="E276" s="133" t="n">
        <x:v>0</x:v>
      </x:c>
      <x:c r="F276" s="133" t="n">
        <x:v>0</x:v>
      </x:c>
      <x:c r="G276" s="133" t="n">
        <x:v>0</x:v>
      </x:c>
      <x:c r="H276" s="133" t="n">
        <x:v>0</x:v>
      </x:c>
      <x:c r="I276" s="133" t="n">
        <x:v>0</x:v>
      </x:c>
      <x:c r="J276" s="133" t="n">
        <x:v>1</x:v>
      </x:c>
      <x:c r="K276" s="133" t="n">
        <x:f>SUM(E276:J276)</x:f>
        <x:v>1</x:v>
      </x:c>
      <x:c r="L276" s="205" t="n">
        <x:f>IFERROR(K276/D276,0)</x:f>
        <x:v>0.0750581700818134</x:v>
      </x:c>
      <x:c r="M276" s="160" t="str">
        <x:v>Presence-floor proxy only — 10k+ municipality completion</x:v>
      </x:c>
      <x:c r="N276"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276" s="160" t="str">
        <x:v>Hampshire County</x:v>
      </x:c>
    </x:row>
    <x:row r="277">
      <x:c r="A277" s="28" t="n">
        <x:v>281</x:v>
      </x:c>
      <x:c r="B277" s="28" t="str">
        <x:v>Plains Township</x:v>
      </x:c>
      <x:c r="C277" s="28" t="str">
        <x:v>PA</x:v>
      </x:c>
      <x:c r="D277" s="204" t="n">
        <x:v>13.398</x:v>
      </x:c>
      <x:c r="E277" s="133" t="n">
        <x:v>0</x:v>
      </x:c>
      <x:c r="F277" s="133" t="n">
        <x:v>0</x:v>
      </x:c>
      <x:c r="G277" s="133" t="n">
        <x:v>0</x:v>
      </x:c>
      <x:c r="H277" s="133" t="n">
        <x:v>0</x:v>
      </x:c>
      <x:c r="I277" s="133" t="n">
        <x:v>0</x:v>
      </x:c>
      <x:c r="J277" s="133" t="n">
        <x:v>1</x:v>
      </x:c>
      <x:c r="K277" s="133" t="n">
        <x:f>SUM(E277:J277)</x:f>
        <x:v>1</x:v>
      </x:c>
      <x:c r="L277" s="205" t="n">
        <x:f>IFERROR(K277/D277,0)</x:f>
        <x:v>0.07463800567248843</x:v>
      </x:c>
      <x:c r="M277" s="160" t="str">
        <x:v>Presence-floor proxy only — 10k+ municipality completion</x:v>
      </x:c>
      <x:c r="N277"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277" s="160" t="str">
        <x:v>Luzerne County</x:v>
      </x:c>
    </x:row>
    <x:row r="278">
      <x:c r="A278" s="28" t="n">
        <x:v>282</x:v>
      </x:c>
      <x:c r="B278" s="28" t="str">
        <x:v>Lebanon City</x:v>
      </x:c>
      <x:c r="C278" s="28" t="str">
        <x:v>OH</x:v>
      </x:c>
      <x:c r="D278" s="204" t="n">
        <x:v>13.475</x:v>
      </x:c>
      <x:c r="E278" s="133" t="n">
        <x:v>0</x:v>
      </x:c>
      <x:c r="F278" s="133" t="n">
        <x:v>0</x:v>
      </x:c>
      <x:c r="G278" s="133" t="n">
        <x:v>0</x:v>
      </x:c>
      <x:c r="H278" s="133" t="n">
        <x:v>0</x:v>
      </x:c>
      <x:c r="I278" s="133" t="n">
        <x:v>0</x:v>
      </x:c>
      <x:c r="J278" s="133" t="n">
        <x:v>1</x:v>
      </x:c>
      <x:c r="K278" s="133" t="n">
        <x:f>SUM(E278:J278)</x:f>
        <x:v>1</x:v>
      </x:c>
      <x:c r="L278" s="205" t="n">
        <x:f>IFERROR(K278/D278,0)</x:f>
        <x:v>0.07421150278293136</x:v>
      </x:c>
      <x:c r="M278" s="160" t="str">
        <x:v>Presence-floor proxy only — 10k+ municipality completion</x:v>
      </x:c>
      <x:c r="N278" s="160" t="str">
        <x:v>Added under the &gt;=50k-county expansion rule: Census Vintage 2025 municipality population &gt;=10,000; general-purpose city-equivalent municipality; direct Census adjacency. Presence-floor proxy only — exact tracked-chain count requires municipal-boundary/GIS verification.</x:v>
      </x:c>
      <x:c r="O278" s="160" t="str">
        <x:v>Warren County</x:v>
      </x:c>
    </x:row>
    <x:row r="279">
      <x:c r="A279" s="28" t="n">
        <x:v>283</x:v>
      </x:c>
      <x:c r="B279" s="28" t="str">
        <x:v>Burlington Township</x:v>
      </x:c>
      <x:c r="C279" s="28" t="str">
        <x:v>NJ</x:v>
      </x:c>
      <x:c r="D279" s="204" t="n">
        <x:v>13.476</x:v>
      </x:c>
      <x:c r="E279" s="133" t="n">
        <x:v>0</x:v>
      </x:c>
      <x:c r="F279" s="133" t="n">
        <x:v>0</x:v>
      </x:c>
      <x:c r="G279" s="133" t="n">
        <x:v>0</x:v>
      </x:c>
      <x:c r="H279" s="133" t="n">
        <x:v>0</x:v>
      </x:c>
      <x:c r="I279" s="133" t="n">
        <x:v>0</x:v>
      </x:c>
      <x:c r="J279" s="133" t="n">
        <x:v>1</x:v>
      </x:c>
      <x:c r="K279" s="133" t="n">
        <x:f>SUM(E279:J279)</x:f>
        <x:v>1</x:v>
      </x:c>
      <x:c r="L279" s="205" t="n">
        <x:f>IFERROR(K279/D279,0)</x:f>
        <x:v>0.07420599584446423</x:v>
      </x:c>
      <x:c r="M279" s="160" t="str">
        <x:v>Presence-floor proxy only — 10k+ municipality completion</x:v>
      </x:c>
      <x:c r="N279"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279" s="160" t="str">
        <x:v>Burlington County</x:v>
      </x:c>
    </x:row>
    <x:row r="280">
      <x:c r="A280" s="28" t="n">
        <x:v>284</x:v>
      </x:c>
      <x:c r="B280" s="28" t="str">
        <x:v>Milpitas</x:v>
      </x:c>
      <x:c r="C280" s="28" t="str">
        <x:v>CA</x:v>
      </x:c>
      <x:c r="D280" s="204" t="n">
        <x:v>13.481</x:v>
      </x:c>
      <x:c r="E280" s="133" t="n">
        <x:v>0</x:v>
      </x:c>
      <x:c r="F280" s="133" t="n">
        <x:v>0</x:v>
      </x:c>
      <x:c r="G280" s="133" t="n">
        <x:v>0</x:v>
      </x:c>
      <x:c r="H280" s="133" t="n">
        <x:v>0</x:v>
      </x:c>
      <x:c r="I280" s="133" t="n">
        <x:v>0</x:v>
      </x:c>
      <x:c r="J280" s="133" t="n">
        <x:v>1</x:v>
      </x:c>
      <x:c r="K280" s="133" t="n">
        <x:f>SUM(E280:J280)</x:f>
        <x:v>1</x:v>
      </x:c>
      <x:c r="L280" s="205" t="n">
        <x:f>IFERROR(K280/D280,0)</x:f>
        <x:v>0.07417847340701729</x:v>
      </x:c>
      <x:c r="M280" s="160" t="str">
        <x:v>Presence-floor proxy only — 50k+ county completion</x:v>
      </x:c>
      <x:c r="N280" s="160" t="str">
        <x:v>Added to complete ≥50,000-population incorporated-place coverage in counties ranked 6–10 by store count under the same Census Vintage 2025 screen. One-store screening floor only; exact selected-chain count and 5-mile buffer require GIS verification.</x:v>
      </x:c>
      <x:c r="O280" s="160" t="str">
        <x:v>Santa Clara County</x:v>
      </x:c>
    </x:row>
    <x:row r="281">
      <x:c r="A281" s="28" t="n">
        <x:v>285</x:v>
      </x:c>
      <x:c r="B281" s="28" t="str">
        <x:v>Rockville</x:v>
      </x:c>
      <x:c r="C281" s="28" t="str">
        <x:v>MD</x:v>
      </x:c>
      <x:c r="D281" s="204" t="n">
        <x:v>13.567</x:v>
      </x:c>
      <x:c r="E281" s="133" t="n">
        <x:v>1</x:v>
      </x:c>
      <x:c r="F281" s="133" t="n">
        <x:v>0</x:v>
      </x:c>
      <x:c r="G281" s="133" t="n">
        <x:v>0</x:v>
      </x:c>
      <x:c r="H281" s="133" t="n">
        <x:v>0</x:v>
      </x:c>
      <x:c r="I281" s="133" t="n">
        <x:v>0</x:v>
      </x:c>
      <x:c r="J281" s="133" t="n">
        <x:v>0</x:v>
      </x:c>
      <x:c r="K281" s="133" t="n">
        <x:f>SUM(E281:J281)</x:f>
        <x:v>1</x:v>
      </x:c>
      <x:c r="L281" s="205" t="n">
        <x:f>IFERROR(K281/D281,0)</x:f>
        <x:v>0.07370826269624825</x:v>
      </x:c>
      <x:c r="M281" s="160" t="str">
        <x:v>Confirmed lower bound — adjacent county expansion</x:v>
      </x:c>
      <x:c r="N281" s="160" t="str">
        <x:v>Added in adjacent-county expansion; Census Vintage 2025 population ≥50,000. Whole Foods store presence verified from official locator; exact all-chain 5-mile count requires GIS verification.</x:v>
      </x:c>
      <x:c r="O281" s="160" t="str">
        <x:v>Montgomery County</x:v>
      </x:c>
    </x:row>
    <x:row r="282">
      <x:c r="A282" s="28" t="n">
        <x:v>286</x:v>
      </x:c>
      <x:c r="B282" s="28" t="str">
        <x:v>Las Vegas</x:v>
      </x:c>
      <x:c r="C282" s="28" t="str">
        <x:v>NV</x:v>
      </x:c>
      <x:c r="D282" s="204" t="n">
        <x:v>135.815</x:v>
      </x:c>
      <x:c r="E282" s="133" t="n">
        <x:v>0</x:v>
      </x:c>
      <x:c r="F282" s="133" t="n">
        <x:v>10</x:v>
      </x:c>
      <x:c r="G282" s="133" t="n">
        <x:v>0</x:v>
      </x:c>
      <x:c r="H282" s="133" t="n">
        <x:v>0</x:v>
      </x:c>
      <x:c r="I282" s="133" t="n">
        <x:v>0</x:v>
      </x:c>
      <x:c r="J282" s="133" t="n">
        <x:v>0</x:v>
      </x:c>
      <x:c r="K282" s="133" t="n">
        <x:f>SUM(E282:J282)</x:f>
        <x:v>10</x:v>
      </x:c>
      <x:c r="L282" s="205" t="n">
        <x:f>IFERROR(K282/D282,0)</x:f>
        <x:v>0.07362956963516548</x:v>
      </x:c>
      <x:c r="M282" s="160" t="str">
        <x:v>Confirmed lower bound</x:v>
      </x:c>
      <x:c r="N282" s="160" t="str">
        <x:v>Verified public-directory count for ≥1 major chain; other selected chains and 5-mile spillover omitted.</x:v>
      </x:c>
      <x:c r="O282" s="160" t="str">
        <x:v>Clark County</x:v>
      </x:c>
    </x:row>
    <x:row r="283">
      <x:c r="A283" s="28" t="n">
        <x:v>287</x:v>
      </x:c>
      <x:c r="B283" s="28" t="str">
        <x:v>Lowell</x:v>
      </x:c>
      <x:c r="C283" s="28" t="str">
        <x:v>MA</x:v>
      </x:c>
      <x:c r="D283" s="204" t="n">
        <x:v>13.6</x:v>
      </x:c>
      <x:c r="E283" s="133" t="n">
        <x:v>0</x:v>
      </x:c>
      <x:c r="F283" s="133" t="n">
        <x:v>0</x:v>
      </x:c>
      <x:c r="G283" s="133" t="n">
        <x:v>0</x:v>
      </x:c>
      <x:c r="H283" s="133" t="n">
        <x:v>0</x:v>
      </x:c>
      <x:c r="I283" s="133" t="n">
        <x:v>0</x:v>
      </x:c>
      <x:c r="J283" s="133" t="n">
        <x:v>1</x:v>
      </x:c>
      <x:c r="K283" s="133" t="n">
        <x:f>SUM(E283:J283)</x:f>
        <x:v>1</x:v>
      </x:c>
      <x:c r="L283" s="205" t="n">
        <x:f>IFERROR(K283/D283,0)</x:f>
        <x:v>0.07352941176470588</x:v>
      </x:c>
      <x:c r="M283" s="160" t="str">
        <x:v>Presence-floor proxy only — 300-city expansion</x:v>
      </x:c>
      <x:c r="N283" s="160" t="str">
        <x:v>Added in the 300-city screening expansion. One-store screening floor only; exact selected-chain count and 5-mile buffer require GIS verification.</x:v>
      </x:c>
      <x:c r="O283" s="160" t="str">
        <x:v>Middlesex County</x:v>
      </x:c>
    </x:row>
    <x:row r="284">
      <x:c r="A284" s="28" t="n">
        <x:v>288</x:v>
      </x:c>
      <x:c r="B284" s="28" t="str">
        <x:v>Concord Township</x:v>
      </x:c>
      <x:c r="C284" s="28" t="str">
        <x:v>PA</x:v>
      </x:c>
      <x:c r="D284" s="204" t="n">
        <x:v>13.624</x:v>
      </x:c>
      <x:c r="E284" s="133" t="n">
        <x:v>0</x:v>
      </x:c>
      <x:c r="F284" s="133" t="n">
        <x:v>0</x:v>
      </x:c>
      <x:c r="G284" s="133" t="n">
        <x:v>0</x:v>
      </x:c>
      <x:c r="H284" s="133" t="n">
        <x:v>0</x:v>
      </x:c>
      <x:c r="I284" s="133" t="n">
        <x:v>0</x:v>
      </x:c>
      <x:c r="J284" s="133" t="n">
        <x:v>1</x:v>
      </x:c>
      <x:c r="K284" s="133" t="n">
        <x:f>SUM(E284:J284)</x:f>
        <x:v>1</x:v>
      </x:c>
      <x:c r="L284" s="205" t="n">
        <x:f>IFERROR(K284/D284,0)</x:f>
        <x:v>0.0733998825601879</x:v>
      </x:c>
      <x:c r="M284" s="160" t="str">
        <x:v>Presence-floor proxy only — 10k+ municipality completion</x:v>
      </x:c>
      <x:c r="N284" s="160" t="str">
        <x:v>Added under the 10k+ city-equivalent municipality rule: Census Vintage 2025 population &gt;=10,000; county population &gt;=500,000. Presence-floor proxy only — exact tracked-chain count requires municipal-boundary/GIS verification.</x:v>
      </x:c>
      <x:c r="O284" s="160" t="str">
        <x:v>Delaware County</x:v>
      </x:c>
    </x:row>
    <x:row r="285">
      <x:c r="A285" s="28" t="n">
        <x:v>289</x:v>
      </x:c>
      <x:c r="B285" s="28" t="str">
        <x:v>Warrington Township</x:v>
      </x:c>
      <x:c r="C285" s="28" t="str">
        <x:v>PA</x:v>
      </x:c>
      <x:c r="D285" s="204" t="n">
        <x:v>13.69</x:v>
      </x:c>
      <x:c r="E285" s="133" t="n">
        <x:v>0</x:v>
      </x:c>
      <x:c r="F285" s="133" t="n">
        <x:v>0</x:v>
      </x:c>
      <x:c r="G285" s="133" t="n">
        <x:v>0</x:v>
      </x:c>
      <x:c r="H285" s="133" t="n">
        <x:v>0</x:v>
      </x:c>
      <x:c r="I285" s="133" t="n">
        <x:v>1</x:v>
      </x:c>
      <x:c r="J285" s="133" t="n">
        <x:v>0</x:v>
      </x:c>
      <x:c r="K285" s="133" t="n">
        <x:f>SUM(E285:J285)</x:f>
        <x:v>1</x:v>
      </x:c>
      <x:c r="L285" s="205" t="n">
        <x:f>IFERROR(K285/D285,0)</x:f>
        <x:v>0.07304601899196494</x:v>
      </x:c>
      <x:c r="M285" s="160" t="str">
        <x:v>Confirmed lower bound — official retailer store page</x:v>
      </x:c>
      <x:c r="N285" s="160" t="str">
        <x:v>Confirmed lower bound: 1 Wegmans location verified by the retailer's official store page using a municipality-matching location name/address. Other tracked chains and nearby spillover omitted.</x:v>
      </x:c>
      <x:c r="O285" s="160" t="str">
        <x:v>Bucks County</x:v>
      </x:c>
    </x:row>
    <x:row r="286">
      <x:c r="A286" s="28" t="n">
        <x:v>290</x:v>
      </x:c>
      <x:c r="B286" s="28" t="str">
        <x:v>Radnor Township</x:v>
      </x:c>
      <x:c r="C286" s="28" t="str">
        <x:v>PA</x:v>
      </x:c>
      <x:c r="D286" s="204" t="n">
        <x:v>13.772</x:v>
      </x:c>
      <x:c r="E286" s="133" t="n">
        <x:v>0</x:v>
      </x:c>
      <x:c r="F286" s="133" t="n">
        <x:v>0</x:v>
      </x:c>
      <x:c r="G286" s="133" t="n">
        <x:v>0</x:v>
      </x:c>
      <x:c r="H286" s="133" t="n">
        <x:v>0</x:v>
      </x:c>
      <x:c r="I286" s="133" t="n">
        <x:v>0</x:v>
      </x:c>
      <x:c r="J286" s="133" t="n">
        <x:v>1</x:v>
      </x:c>
      <x:c r="K286" s="133" t="n">
        <x:f>SUM(E286:J286)</x:f>
        <x:v>1</x:v>
      </x:c>
      <x:c r="L286" s="205" t="n">
        <x:f>IFERROR(K286/D286,0)</x:f>
        <x:v>0.07261109497531222</x:v>
      </x:c>
      <x:c r="M286" s="160" t="str">
        <x:v>Presence-floor proxy only — 10k+ municipality completion</x:v>
      </x:c>
      <x:c r="N286" s="160" t="str">
        <x:v>Added under the 10k+ city-equivalent municipality rule: Census Vintage 2025 population &gt;=10,000; county population &gt;=500,000. Presence-floor proxy only — exact tracked-chain count requires municipal-boundary/GIS verification.</x:v>
      </x:c>
      <x:c r="O286" s="160" t="str">
        <x:v>Delaware County</x:v>
      </x:c>
    </x:row>
    <x:row r="287">
      <x:c r="A287" s="28" t="n">
        <x:v>291</x:v>
      </x:c>
      <x:c r="B287" s="28" t="str">
        <x:v>Skippack Township</x:v>
      </x:c>
      <x:c r="C287" s="28" t="str">
        <x:v>PA</x:v>
      </x:c>
      <x:c r="D287" s="204" t="n">
        <x:v>13.855</x:v>
      </x:c>
      <x:c r="E287" s="133" t="n">
        <x:v>0</x:v>
      </x:c>
      <x:c r="F287" s="133" t="n">
        <x:v>0</x:v>
      </x:c>
      <x:c r="G287" s="133" t="n">
        <x:v>0</x:v>
      </x:c>
      <x:c r="H287" s="133" t="n">
        <x:v>0</x:v>
      </x:c>
      <x:c r="I287" s="133" t="n">
        <x:v>0</x:v>
      </x:c>
      <x:c r="J287" s="133" t="n">
        <x:v>1</x:v>
      </x:c>
      <x:c r="K287" s="133" t="n">
        <x:f>SUM(E287:J287)</x:f>
        <x:v>1</x:v>
      </x:c>
      <x:c r="L287" s="205" t="n">
        <x:f>IFERROR(K287/D287,0)</x:f>
        <x:v>0.07217610970768676</x:v>
      </x:c>
      <x:c r="M287" s="160" t="str">
        <x:v>Presence-floor proxy only — 10k+ municipality completion</x:v>
      </x:c>
      <x:c r="N28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87" s="160" t="str">
        <x:v>Montgomery County</x:v>
      </x:c>
    </x:row>
    <x:row r="288">
      <x:c r="A288" s="28" t="n">
        <x:v>292</x:v>
      </x:c>
      <x:c r="B288" s="28" t="str">
        <x:v>Narragansett Town</x:v>
      </x:c>
      <x:c r="C288" s="28" t="str">
        <x:v>RI</x:v>
      </x:c>
      <x:c r="D288" s="204" t="n">
        <x:v>13.865</x:v>
      </x:c>
      <x:c r="E288" s="133" t="n">
        <x:v>0</x:v>
      </x:c>
      <x:c r="F288" s="133" t="n">
        <x:v>0</x:v>
      </x:c>
      <x:c r="G288" s="133" t="n">
        <x:v>0</x:v>
      </x:c>
      <x:c r="H288" s="133" t="n">
        <x:v>0</x:v>
      </x:c>
      <x:c r="I288" s="133" t="n">
        <x:v>0</x:v>
      </x:c>
      <x:c r="J288" s="133" t="n">
        <x:v>1</x:v>
      </x:c>
      <x:c r="K288" s="133" t="n">
        <x:f>SUM(E288:J288)</x:f>
        <x:v>1</x:v>
      </x:c>
      <x:c r="L288" s="205" t="n">
        <x:f>IFERROR(K288/D288,0)</x:f>
        <x:v>0.07212405337179949</x:v>
      </x:c>
      <x:c r="M288" s="160" t="str">
        <x:v>Presence-floor proxy only — 10k+ municipality completion</x:v>
      </x:c>
      <x:c r="N288" s="160" t="str">
        <x:v>Added under the &gt;=50k-county expansion rule: Census Vintage 2025 municipality population &gt;=10,000; general-purpose city-equivalent municipality; direct Census adjacency. Presence-floor proxy only — exact tracked-chain count requires municipal-boundary/GIS verification. Rhode Island towns are general-purpose municipalities; smaller Washington County towns remain below the 10,000 threshold.</x:v>
      </x:c>
      <x:c r="O288" s="160" t="str">
        <x:v>Washington County</x:v>
      </x:c>
    </x:row>
    <x:row r="289">
      <x:c r="A289" s="28" t="n">
        <x:v>293</x:v>
      </x:c>
      <x:c r="B289" s="28" t="str">
        <x:v>Franconia Township</x:v>
      </x:c>
      <x:c r="C289" s="28" t="str">
        <x:v>PA</x:v>
      </x:c>
      <x:c r="D289" s="204" t="n">
        <x:v>13.881</x:v>
      </x:c>
      <x:c r="E289" s="133" t="n">
        <x:v>0</x:v>
      </x:c>
      <x:c r="F289" s="133" t="n">
        <x:v>0</x:v>
      </x:c>
      <x:c r="G289" s="133" t="n">
        <x:v>0</x:v>
      </x:c>
      <x:c r="H289" s="133" t="n">
        <x:v>0</x:v>
      </x:c>
      <x:c r="I289" s="133" t="n">
        <x:v>0</x:v>
      </x:c>
      <x:c r="J289" s="133" t="n">
        <x:v>1</x:v>
      </x:c>
      <x:c r="K289" s="133" t="n">
        <x:f>SUM(E289:J289)</x:f>
        <x:v>1</x:v>
      </x:c>
      <x:c r="L289" s="205" t="n">
        <x:f>IFERROR(K289/D289,0)</x:f>
        <x:v>0.07204091924212953</x:v>
      </x:c>
      <x:c r="M289" s="160" t="str">
        <x:v>Presence-floor proxy only — 10k+ municipality completion</x:v>
      </x:c>
      <x:c r="N28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89" s="160" t="str">
        <x:v>Montgomery County</x:v>
      </x:c>
    </x:row>
    <x:row r="290">
      <x:c r="A290" s="28" t="n">
        <x:v>294</x:v>
      </x:c>
      <x:c r="B290" s="28" t="str">
        <x:v>Niagara Falls city</x:v>
      </x:c>
      <x:c r="C290" s="28" t="str">
        <x:v>NY</x:v>
      </x:c>
      <x:c r="D290" s="204" t="n">
        <x:v>14.082</x:v>
      </x:c>
      <x:c r="E290" s="133" t="n">
        <x:v>0</x:v>
      </x:c>
      <x:c r="F290" s="133" t="n">
        <x:v>0</x:v>
      </x:c>
      <x:c r="G290" s="133" t="n">
        <x:v>0</x:v>
      </x:c>
      <x:c r="H290" s="133" t="n">
        <x:v>0</x:v>
      </x:c>
      <x:c r="I290" s="133" t="n">
        <x:v>0</x:v>
      </x:c>
      <x:c r="J290" s="133" t="n">
        <x:v>1</x:v>
      </x:c>
      <x:c r="K290" s="133" t="n">
        <x:f>SUM(E290:J290)</x:f>
        <x:v>1</x:v>
      </x:c>
      <x:c r="L290" s="205" t="n">
        <x:f>IFERROR(K290/D290,0)</x:f>
        <x:v>0.0710126402499645</x:v>
      </x:c>
      <x:c r="M290" s="160" t="str">
        <x:v>Presence-floor proxy only — 10k+ municipality completion</x:v>
      </x:c>
      <x:c r="N290"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290" s="160" t="str">
        <x:v>Niagara County</x:v>
      </x:c>
    </x:row>
    <x:row r="291">
      <x:c r="A291" s="28" t="n">
        <x:v>295</x:v>
      </x:c>
      <x:c r="B291" s="28" t="str">
        <x:v>Palatine</x:v>
      </x:c>
      <x:c r="C291" s="28" t="str">
        <x:v>IL</x:v>
      </x:c>
      <x:c r="D291" s="204" t="n">
        <x:v>14.101</x:v>
      </x:c>
      <x:c r="E291" s="133" t="n">
        <x:v>0</x:v>
      </x:c>
      <x:c r="F291" s="133" t="n">
        <x:v>0</x:v>
      </x:c>
      <x:c r="G291" s="133" t="n">
        <x:v>0</x:v>
      </x:c>
      <x:c r="H291" s="133" t="n">
        <x:v>0</x:v>
      </x:c>
      <x:c r="I291" s="133" t="n">
        <x:v>0</x:v>
      </x:c>
      <x:c r="J291" s="133" t="n">
        <x:v>1</x:v>
      </x:c>
      <x:c r="K291" s="133" t="n">
        <x:f>SUM(E291:J291)</x:f>
        <x:v>1</x:v>
      </x:c>
      <x:c r="L291" s="205" t="n">
        <x:f>IFERROR(K291/D291,0)</x:f>
        <x:v>0.070916956244238</x:v>
      </x:c>
      <x:c r="M291" s="160" t="str">
        <x:v>Presence-floor proxy only — 50k+ county completion</x:v>
      </x:c>
      <x:c r="N291" s="160" t="str">
        <x:v>Added to complete ≥50,000-population incorporated-place coverage in counties ranked 6–10 by store count under the same Census Vintage 2025 screen. One-store screening floor only; exact selected-chain count and 5-mile buffer require GIS verification.</x:v>
      </x:c>
      <x:c r="O291" s="160" t="str">
        <x:v>Cook County</x:v>
      </x:c>
    </x:row>
    <x:row r="292">
      <x:c r="A292" s="28" t="n">
        <x:v>296</x:v>
      </x:c>
      <x:c r="B292" s="28" t="str">
        <x:v>Bangor Charter Township</x:v>
      </x:c>
      <x:c r="C292" s="28" t="str">
        <x:v>MI</x:v>
      </x:c>
      <x:c r="D292" s="204" t="n">
        <x:v>14.112</x:v>
      </x:c>
      <x:c r="E292" s="133" t="n">
        <x:v>0</x:v>
      </x:c>
      <x:c r="F292" s="133" t="n">
        <x:v>0</x:v>
      </x:c>
      <x:c r="G292" s="133" t="n">
        <x:v>0</x:v>
      </x:c>
      <x:c r="H292" s="133" t="n">
        <x:v>0</x:v>
      </x:c>
      <x:c r="I292" s="133" t="n">
        <x:v>0</x:v>
      </x:c>
      <x:c r="J292" s="133" t="n">
        <x:v>1</x:v>
      </x:c>
      <x:c r="K292" s="133" t="n">
        <x:f>SUM(E292:J292)</x:f>
        <x:v>1</x:v>
      </x:c>
      <x:c r="L292" s="205" t="n">
        <x:f>IFERROR(K292/D292,0)</x:f>
        <x:v>0.07086167800453515</x:v>
      </x:c>
      <x:c r="M292" s="160" t="str">
        <x:v>Presence-floor proxy only — 10k+ municipality completion</x:v>
      </x:c>
      <x:c r="N292" s="160" t="str">
        <x:v>Added under the &gt;=50k-county expansion rule: Census Vintage 2025 municipality population &gt;=10,000; general-purpose city-equivalent municipality; direct Census adjacency. Presence-floor proxy only — exact tracked-chain count requires municipal-boundary/GIS verification. Monitor Charter Township is V2025 10,597; Hampton Charter Township is below 10,000 and excluded.</x:v>
      </x:c>
      <x:c r="O292" s="160" t="str">
        <x:v>Bay County</x:v>
      </x:c>
    </x:row>
    <x:row r="293">
      <x:c r="A293" s="28" t="n">
        <x:v>297</x:v>
      </x:c>
      <x:c r="B293" s="28" t="str">
        <x:v>Muskegon City</x:v>
      </x:c>
      <x:c r="C293" s="28" t="str">
        <x:v>MI</x:v>
      </x:c>
      <x:c r="D293" s="204" t="n">
        <x:v>14.143</x:v>
      </x:c>
      <x:c r="E293" s="133" t="n">
        <x:v>0</x:v>
      </x:c>
      <x:c r="F293" s="133" t="n">
        <x:v>0</x:v>
      </x:c>
      <x:c r="G293" s="133" t="n">
        <x:v>0</x:v>
      </x:c>
      <x:c r="H293" s="133" t="n">
        <x:v>0</x:v>
      </x:c>
      <x:c r="I293" s="133" t="n">
        <x:v>0</x:v>
      </x:c>
      <x:c r="J293" s="133" t="n">
        <x:v>1</x:v>
      </x:c>
      <x:c r="K293" s="133" t="n">
        <x:f>SUM(E293:J293)</x:f>
        <x:v>1</x:v>
      </x:c>
      <x:c r="L293" s="205" t="n">
        <x:f>IFERROR(K293/D293,0)</x:f>
        <x:v>0.07070635650144948</x:v>
      </x:c>
      <x:c r="M293" s="160" t="str">
        <x:v>Presence-floor proxy only — 10k+ municipality completion</x:v>
      </x:c>
      <x:c r="N293" s="160" t="str">
        <x:v>Added under the &gt;=50k-county expansion rule: Census Vintage 2025 municipality population &gt;=10,000; general-purpose city-equivalent municipality; direct Census adjacency. Presence-floor proxy only — exact tracked-chain count requires municipal-boundary/GIS verification. Sweetwater Local Foods Market provides county specialty-grocery evidence; Dalton Township is below 10,000 in V2025.</x:v>
      </x:c>
      <x:c r="O293" s="160" t="str">
        <x:v>Muskegon County</x:v>
      </x:c>
    </x:row>
    <x:row r="294">
      <x:c r="A294" s="28" t="n">
        <x:v>298</x:v>
      </x:c>
      <x:c r="B294" s="28" t="str">
        <x:v>Des Plaines</x:v>
      </x:c>
      <x:c r="C294" s="28" t="str">
        <x:v>IL</x:v>
      </x:c>
      <x:c r="D294" s="204" t="n">
        <x:v>14.238</x:v>
      </x:c>
      <x:c r="E294" s="133" t="n">
        <x:v>0</x:v>
      </x:c>
      <x:c r="F294" s="133" t="n">
        <x:v>0</x:v>
      </x:c>
      <x:c r="G294" s="133" t="n">
        <x:v>0</x:v>
      </x:c>
      <x:c r="H294" s="133" t="n">
        <x:v>0</x:v>
      </x:c>
      <x:c r="I294" s="133" t="n">
        <x:v>0</x:v>
      </x:c>
      <x:c r="J294" s="133" t="n">
        <x:v>1</x:v>
      </x:c>
      <x:c r="K294" s="133" t="n">
        <x:f>SUM(E294:J294)</x:f>
        <x:v>1</x:v>
      </x:c>
      <x:c r="L294" s="205" t="n">
        <x:f>IFERROR(K294/D294,0)</x:f>
        <x:v>0.0702345835089198</x:v>
      </x:c>
      <x:c r="M294" s="160" t="str">
        <x:v>Presence-floor proxy only — 50k+ county completion</x:v>
      </x:c>
      <x:c r="N294" s="160" t="str">
        <x:v>Added to complete ≥50,000-population incorporated-place coverage in counties ranked 6–10 by store count under the same Census Vintage 2025 screen. One-store screening floor only; exact selected-chain count and 5-mile buffer require GIS verification.</x:v>
      </x:c>
      <x:c r="O294" s="160" t="str">
        <x:v>Cook County</x:v>
      </x:c>
    </x:row>
    <x:row r="295">
      <x:c r="A295" s="28" t="n">
        <x:v>299</x:v>
      </x:c>
      <x:c r="B295" s="28" t="str">
        <x:v>East Greenwich Township</x:v>
      </x:c>
      <x:c r="C295" s="28" t="str">
        <x:v>NJ</x:v>
      </x:c>
      <x:c r="D295" s="204" t="n">
        <x:v>14.443</x:v>
      </x:c>
      <x:c r="E295" s="133" t="n">
        <x:v>0</x:v>
      </x:c>
      <x:c r="F295" s="133" t="n">
        <x:v>0</x:v>
      </x:c>
      <x:c r="G295" s="133" t="n">
        <x:v>0</x:v>
      </x:c>
      <x:c r="H295" s="133" t="n">
        <x:v>0</x:v>
      </x:c>
      <x:c r="I295" s="133" t="n">
        <x:v>0</x:v>
      </x:c>
      <x:c r="J295" s="133" t="n">
        <x:v>1</x:v>
      </x:c>
      <x:c r="K295" s="133" t="n">
        <x:f>SUM(E295:J295)</x:f>
        <x:v>1</x:v>
      </x:c>
      <x:c r="L295" s="205" t="n">
        <x:f>IFERROR(K295/D295,0)</x:f>
        <x:v>0.06923769300006924</x:v>
      </x:c>
      <x:c r="M295" s="160" t="str">
        <x:v>Presence-floor proxy only — 10k+ municipality completion</x:v>
      </x:c>
      <x:c r="N295"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295" s="160" t="str">
        <x:v>Gloucester County</x:v>
      </x:c>
    </x:row>
    <x:row r="296">
      <x:c r="A296" s="28" t="n">
        <x:v>300</x:v>
      </x:c>
      <x:c r="B296" s="28" t="str">
        <x:v>Lower Salford Township</x:v>
      </x:c>
      <x:c r="C296" s="28" t="str">
        <x:v>PA</x:v>
      </x:c>
      <x:c r="D296" s="204" t="n">
        <x:v>14.468</x:v>
      </x:c>
      <x:c r="E296" s="133" t="n">
        <x:v>0</x:v>
      </x:c>
      <x:c r="F296" s="133" t="n">
        <x:v>0</x:v>
      </x:c>
      <x:c r="G296" s="133" t="n">
        <x:v>0</x:v>
      </x:c>
      <x:c r="H296" s="133" t="n">
        <x:v>0</x:v>
      </x:c>
      <x:c r="I296" s="133" t="n">
        <x:v>0</x:v>
      </x:c>
      <x:c r="J296" s="133" t="n">
        <x:v>1</x:v>
      </x:c>
      <x:c r="K296" s="133" t="n">
        <x:f>SUM(E296:J296)</x:f>
        <x:v>1</x:v>
      </x:c>
      <x:c r="L296" s="205" t="n">
        <x:f>IFERROR(K296/D296,0)</x:f>
        <x:v>0.06911805363560962</x:v>
      </x:c>
      <x:c r="M296" s="160" t="str">
        <x:v>Presence-floor proxy only — 10k+ municipality completion</x:v>
      </x:c>
      <x:c r="N29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96" s="160" t="str">
        <x:v>Montgomery County</x:v>
      </x:c>
    </x:row>
    <x:row r="297">
      <x:c r="A297" s="28" t="n">
        <x:v>301</x:v>
      </x:c>
      <x:c r="B297" s="28" t="str">
        <x:v>El Cajon</x:v>
      </x:c>
      <x:c r="C297" s="28" t="str">
        <x:v>CA</x:v>
      </x:c>
      <x:c r="D297" s="204" t="n">
        <x:v>14.51</x:v>
      </x:c>
      <x:c r="E297" s="133" t="n">
        <x:v>0</x:v>
      </x:c>
      <x:c r="F297" s="133" t="n">
        <x:v>0</x:v>
      </x:c>
      <x:c r="G297" s="133" t="n">
        <x:v>0</x:v>
      </x:c>
      <x:c r="H297" s="133" t="n">
        <x:v>0</x:v>
      </x:c>
      <x:c r="I297" s="133" t="n">
        <x:v>0</x:v>
      </x:c>
      <x:c r="J297" s="133" t="n">
        <x:v>1</x:v>
      </x:c>
      <x:c r="K297" s="133" t="n">
        <x:f>SUM(E297:J297)</x:f>
        <x:v>1</x:v>
      </x:c>
      <x:c r="L297" s="205" t="n">
        <x:f>IFERROR(K297/D297,0)</x:f>
        <x:v>0.06891798759476224</x:v>
      </x:c>
      <x:c r="M297" s="160" t="str">
        <x:v>Presence-floor proxy only — 50k+ county completion</x:v>
      </x:c>
      <x:c r="N297" s="160" t="str">
        <x:v>Added to complete ≥50,000-population incorporated-place coverage in a top-5 store-count county using Census Vintage 2025 eligibility. One-store screening floor only; exact selected-chain count and 5-mile buffer require GIS verification.</x:v>
      </x:c>
      <x:c r="O297" s="160" t="str">
        <x:v>San Diego County</x:v>
      </x:c>
    </x:row>
    <x:row r="298">
      <x:c r="A298" s="28" t="n">
        <x:v>302</x:v>
      </x:c>
      <x:c r="B298" s="28" t="str">
        <x:v>Fairborn City</x:v>
      </x:c>
      <x:c r="C298" s="28" t="str">
        <x:v>OH</x:v>
      </x:c>
      <x:c r="D298" s="204" t="n">
        <x:v>14.57</x:v>
      </x:c>
      <x:c r="E298" s="133" t="n">
        <x:v>0</x:v>
      </x:c>
      <x:c r="F298" s="133" t="n">
        <x:v>0</x:v>
      </x:c>
      <x:c r="G298" s="133" t="n">
        <x:v>0</x:v>
      </x:c>
      <x:c r="H298" s="133" t="n">
        <x:v>0</x:v>
      </x:c>
      <x:c r="I298" s="133" t="n">
        <x:v>0</x:v>
      </x:c>
      <x:c r="J298" s="133" t="n">
        <x:v>1</x:v>
      </x:c>
      <x:c r="K298" s="133" t="n">
        <x:f>SUM(E298:J298)</x:f>
        <x:v>1</x:v>
      </x:c>
      <x:c r="L298" s="205" t="n">
        <x:f>IFERROR(K298/D298,0)</x:f>
        <x:v>0.06863417982155114</x:v>
      </x:c>
      <x:c r="M298" s="160" t="str">
        <x:v>Presence-floor proxy only — 10k+ municipality completion</x:v>
      </x:c>
      <x:c r="N298" s="160" t="str">
        <x:v>Added under the &gt;=50k-county expansion rule: Census Vintage 2025 municipality population &gt;=10,000; general-purpose city-equivalent municipality; direct Census adjacency. Presence-floor proxy only — exact tracked-chain count requires municipal-boundary/GIS verification. County V2025 population 174,322; all five are above the 10,000 municipal threshold.</x:v>
      </x:c>
      <x:c r="O298" s="160" t="str">
        <x:v>Greene County</x:v>
      </x:c>
    </x:row>
    <x:row r="299">
      <x:c r="A299" s="28" t="n">
        <x:v>303</x:v>
      </x:c>
      <x:c r="B299" s="28" t="str">
        <x:v>Whitemarsh Township</x:v>
      </x:c>
      <x:c r="C299" s="28" t="str">
        <x:v>PA</x:v>
      </x:c>
      <x:c r="D299" s="204" t="n">
        <x:v>14.639</x:v>
      </x:c>
      <x:c r="E299" s="133" t="n">
        <x:v>0</x:v>
      </x:c>
      <x:c r="F299" s="133" t="n">
        <x:v>0</x:v>
      </x:c>
      <x:c r="G299" s="133" t="n">
        <x:v>0</x:v>
      </x:c>
      <x:c r="H299" s="133" t="n">
        <x:v>0</x:v>
      </x:c>
      <x:c r="I299" s="133" t="n">
        <x:v>0</x:v>
      </x:c>
      <x:c r="J299" s="133" t="n">
        <x:v>1</x:v>
      </x:c>
      <x:c r="K299" s="133" t="n">
        <x:f>SUM(E299:J299)</x:f>
        <x:v>1</x:v>
      </x:c>
      <x:c r="L299" s="205" t="n">
        <x:f>IFERROR(K299/D299,0)</x:f>
        <x:v>0.06831067695880866</x:v>
      </x:c>
      <x:c r="M299" s="160" t="str">
        <x:v>Presence-floor proxy only — 10k+ municipality completion</x:v>
      </x:c>
      <x:c r="N29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299" s="160" t="str">
        <x:v>Montgomery County</x:v>
      </x:c>
    </x:row>
    <x:row r="300">
      <x:c r="A300" s="28" t="n">
        <x:v>304</x:v>
      </x:c>
      <x:c r="B300" s="28" t="str">
        <x:v>New Britain Township</x:v>
      </x:c>
      <x:c r="C300" s="28" t="str">
        <x:v>PA</x:v>
      </x:c>
      <x:c r="D300" s="204" t="n">
        <x:v>14.686</x:v>
      </x:c>
      <x:c r="E300" s="133" t="n">
        <x:v>0</x:v>
      </x:c>
      <x:c r="F300" s="133" t="n">
        <x:v>0</x:v>
      </x:c>
      <x:c r="G300" s="133" t="n">
        <x:v>0</x:v>
      </x:c>
      <x:c r="H300" s="133" t="n">
        <x:v>0</x:v>
      </x:c>
      <x:c r="I300" s="133" t="n">
        <x:v>0</x:v>
      </x:c>
      <x:c r="J300" s="133" t="n">
        <x:v>1</x:v>
      </x:c>
      <x:c r="K300" s="133" t="n">
        <x:f>SUM(E300:J300)</x:f>
        <x:v>1</x:v>
      </x:c>
      <x:c r="L300" s="205" t="n">
        <x:f>IFERROR(K300/D300,0)</x:f>
        <x:v>0.0680920604657497</x:v>
      </x:c>
      <x:c r="M300" s="160" t="str">
        <x:v>Presence-floor proxy only — 10k+ municipality completion</x:v>
      </x:c>
      <x:c r="N30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00" s="160" t="str">
        <x:v>Bucks County</x:v>
      </x:c>
    </x:row>
    <x:row r="301">
      <x:c r="A301" s="28" t="n">
        <x:v>305</x:v>
      </x:c>
      <x:c r="B301" s="28" t="str">
        <x:v>Moorestown Township</x:v>
      </x:c>
      <x:c r="C301" s="28" t="str">
        <x:v>NJ</x:v>
      </x:c>
      <x:c r="D301" s="204" t="n">
        <x:v>14.729</x:v>
      </x:c>
      <x:c r="E301" s="133" t="n">
        <x:v>0</x:v>
      </x:c>
      <x:c r="F301" s="133" t="n">
        <x:v>0</x:v>
      </x:c>
      <x:c r="G301" s="133" t="n">
        <x:v>0</x:v>
      </x:c>
      <x:c r="H301" s="133" t="n">
        <x:v>0</x:v>
      </x:c>
      <x:c r="I301" s="133" t="n">
        <x:v>0</x:v>
      </x:c>
      <x:c r="J301" s="133" t="n">
        <x:v>1</x:v>
      </x:c>
      <x:c r="K301" s="133" t="n">
        <x:f>SUM(E301:J301)</x:f>
        <x:v>1</x:v>
      </x:c>
      <x:c r="L301" s="205" t="n">
        <x:f>IFERROR(K301/D301,0)</x:f>
        <x:v>0.06789327177676692</x:v>
      </x:c>
      <x:c r="M301" s="160" t="str">
        <x:v>Presence-floor proxy only — 10k+ municipality completion</x:v>
      </x:c>
      <x:c r="N301"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301" s="160" t="str">
        <x:v>Burlington County</x:v>
      </x:c>
    </x:row>
    <x:row r="302">
      <x:c r="A302" s="28" t="n">
        <x:v>306</x:v>
      </x:c>
      <x:c r="B302" s="28" t="str">
        <x:v>Laguna Niguel</x:v>
      </x:c>
      <x:c r="C302" s="28" t="str">
        <x:v>CA</x:v>
      </x:c>
      <x:c r="D302" s="204" t="n">
        <x:v>14.79</x:v>
      </x:c>
      <x:c r="E302" s="133" t="n">
        <x:v>0</x:v>
      </x:c>
      <x:c r="F302" s="133" t="n">
        <x:v>0</x:v>
      </x:c>
      <x:c r="G302" s="133" t="n">
        <x:v>0</x:v>
      </x:c>
      <x:c r="H302" s="133" t="n">
        <x:v>0</x:v>
      </x:c>
      <x:c r="I302" s="133" t="n">
        <x:v>0</x:v>
      </x:c>
      <x:c r="J302" s="133" t="n">
        <x:v>1</x:v>
      </x:c>
      <x:c r="K302" s="133" t="n">
        <x:f>SUM(E302:J302)</x:f>
        <x:v>1</x:v>
      </x:c>
      <x:c r="L302" s="205" t="n">
        <x:f>IFERROR(K302/D302,0)</x:f>
        <x:v>0.0676132521974307</x:v>
      </x:c>
      <x:c r="M302" s="160" t="str">
        <x:v>Presence-floor proxy only — 50k+ county completion</x:v>
      </x:c>
      <x:c r="N302"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02" s="160" t="str">
        <x:v>Orange County</x:v>
      </x:c>
    </x:row>
    <x:row r="303">
      <x:c r="A303" s="28" t="n">
        <x:v>307</x:v>
      </x:c>
      <x:c r="B303" s="28" t="str">
        <x:v>Whittier</x:v>
      </x:c>
      <x:c r="C303" s="28" t="str">
        <x:v>CA</x:v>
      </x:c>
      <x:c r="D303" s="204" t="n">
        <x:v>14.792</x:v>
      </x:c>
      <x:c r="E303" s="133" t="n">
        <x:v>0</x:v>
      </x:c>
      <x:c r="F303" s="133" t="n">
        <x:v>0</x:v>
      </x:c>
      <x:c r="G303" s="133" t="n">
        <x:v>0</x:v>
      </x:c>
      <x:c r="H303" s="133" t="n">
        <x:v>0</x:v>
      </x:c>
      <x:c r="I303" s="133" t="n">
        <x:v>0</x:v>
      </x:c>
      <x:c r="J303" s="133" t="n">
        <x:v>1</x:v>
      </x:c>
      <x:c r="K303" s="133" t="n">
        <x:f>SUM(E303:J303)</x:f>
        <x:v>1</x:v>
      </x:c>
      <x:c r="L303" s="205" t="n">
        <x:f>IFERROR(K303/D303,0)</x:f>
        <x:v>0.06760411032990805</x:v>
      </x:c>
      <x:c r="M303" s="160" t="str">
        <x:v>Presence-floor proxy only — 50k+ county completion</x:v>
      </x:c>
      <x:c r="N303" s="160" t="str">
        <x:v>Added to complete ≥50,000-population incorporated-place coverage in a top-5 store-count county using Census Vintage 2025 eligibility. One-store screening floor only; exact selected-chain count and 5-mile buffer require GIS verification.</x:v>
      </x:c>
      <x:c r="O303" s="160" t="str">
        <x:v>Los Angeles County</x:v>
      </x:c>
    </x:row>
    <x:row r="304">
      <x:c r="A304" s="28" t="n">
        <x:v>308</x:v>
      </x:c>
      <x:c r="B304" s="28" t="str">
        <x:v>Jersey City</x:v>
      </x:c>
      <x:c r="C304" s="28" t="str">
        <x:v>NJ</x:v>
      </x:c>
      <x:c r="D304" s="204" t="n">
        <x:v>14.794</x:v>
      </x:c>
      <x:c r="E304" s="133" t="n">
        <x:v>0</x:v>
      </x:c>
      <x:c r="F304" s="133" t="n">
        <x:v>0</x:v>
      </x:c>
      <x:c r="G304" s="133" t="n">
        <x:v>0</x:v>
      </x:c>
      <x:c r="H304" s="133" t="n">
        <x:v>0</x:v>
      </x:c>
      <x:c r="I304" s="133" t="n">
        <x:v>0</x:v>
      </x:c>
      <x:c r="J304" s="133" t="n">
        <x:v>1</x:v>
      </x:c>
      <x:c r="K304" s="133" t="n">
        <x:f>SUM(E304:J304)</x:f>
        <x:v>1</x:v>
      </x:c>
      <x:c r="L304" s="205" t="n">
        <x:f>IFERROR(K304/D304,0)</x:f>
        <x:v>0.0675949709341625</x:v>
      </x:c>
      <x:c r="M304" s="160" t="str">
        <x:v>Presence-floor proxy only</x:v>
      </x:c>
      <x:c r="N304" s="160" t="str">
        <x:v>One-store screening floor only; exact selected-chain count and 5-mile buffer require GIS verification.</x:v>
      </x:c>
      <x:c r="O304" s="160" t="str">
        <x:v>Hudson County</x:v>
      </x:c>
    </x:row>
    <x:row r="305">
      <x:c r="A305" s="28" t="n">
        <x:v>309</x:v>
      </x:c>
      <x:c r="B305" s="28" t="str">
        <x:v>Diamond Bar</x:v>
      </x:c>
      <x:c r="C305" s="28" t="str">
        <x:v>CA</x:v>
      </x:c>
      <x:c r="D305" s="204" t="n">
        <x:v>14.878</x:v>
      </x:c>
      <x:c r="E305" s="133" t="n">
        <x:v>0</x:v>
      </x:c>
      <x:c r="F305" s="133" t="n">
        <x:v>0</x:v>
      </x:c>
      <x:c r="G305" s="133" t="n">
        <x:v>0</x:v>
      </x:c>
      <x:c r="H305" s="133" t="n">
        <x:v>0</x:v>
      </x:c>
      <x:c r="I305" s="133" t="n">
        <x:v>0</x:v>
      </x:c>
      <x:c r="J305" s="133" t="n">
        <x:v>1</x:v>
      </x:c>
      <x:c r="K305" s="133" t="n">
        <x:f>SUM(E305:J305)</x:f>
        <x:v>1</x:v>
      </x:c>
      <x:c r="L305" s="205" t="n">
        <x:f>IFERROR(K305/D305,0)</x:f>
        <x:v>0.06721333512568893</x:v>
      </x:c>
      <x:c r="M305" s="160" t="str">
        <x:v>Presence-floor proxy only — 50k+ county completion</x:v>
      </x:c>
      <x:c r="N305" s="160" t="str">
        <x:v>Added to complete ≥50,000-population incorporated-place coverage in a top-5 store-count county using Census Vintage 2025 eligibility. One-store screening floor only; exact selected-chain count and 5-mile buffer require GIS verification.</x:v>
      </x:c>
      <x:c r="O305" s="160" t="str">
        <x:v>Los Angeles County</x:v>
      </x:c>
    </x:row>
    <x:row r="306">
      <x:c r="A306" s="28" t="n">
        <x:v>310</x:v>
      </x:c>
      <x:c r="B306" s="28" t="str">
        <x:v>Alexandria</x:v>
      </x:c>
      <x:c r="C306" s="28" t="str">
        <x:v>VA</x:v>
      </x:c>
      <x:c r="D306" s="204" t="n">
        <x:v>14.9</x:v>
      </x:c>
      <x:c r="E306" s="28" t="n">
        <x:v>0</x:v>
      </x:c>
      <x:c r="F306" s="28" t="n">
        <x:v>0</x:v>
      </x:c>
      <x:c r="G306" s="28" t="n">
        <x:v>0</x:v>
      </x:c>
      <x:c r="H306" s="28" t="n">
        <x:v>0</x:v>
      </x:c>
      <x:c r="I306" s="28" t="n">
        <x:v>0</x:v>
      </x:c>
      <x:c r="J306" s="28" t="n">
        <x:v>1</x:v>
      </x:c>
      <x:c r="K306" s="28" t="n">
        <x:f>SUM(E306:J306)</x:f>
        <x:v>1</x:v>
      </x:c>
      <x:c r="L306" s="205" t="n">
        <x:f>IFERROR(K306/D306,0)</x:f>
        <x:v>0.06711409395973154</x:v>
      </x:c>
      <x:c r="M306" s="160" t="str">
        <x:v>Presence-floor proxy only — 200-city expansion</x:v>
      </x:c>
      <x:c r="N306" s="160" t="str">
        <x:v>Added in the 200-city screening expansion. One-store screening floor only; exact selected-chain count and 5-mile buffer require GIS verification.</x:v>
      </x:c>
      <x:c r="O306" s="160" t="str">
        <x:v>Alexandria city</x:v>
      </x:c>
    </x:row>
    <x:row r="307">
      <x:c r="A307" s="28" t="n">
        <x:v>311</x:v>
      </x:c>
      <x:c r="B307" s="28" t="str">
        <x:v>East Bradford Township</x:v>
      </x:c>
      <x:c r="C307" s="28" t="str">
        <x:v>PA</x:v>
      </x:c>
      <x:c r="D307" s="204" t="n">
        <x:v>14.945</x:v>
      </x:c>
      <x:c r="E307" s="28" t="n">
        <x:v>0</x:v>
      </x:c>
      <x:c r="F307" s="28" t="n">
        <x:v>0</x:v>
      </x:c>
      <x:c r="G307" s="28" t="n">
        <x:v>0</x:v>
      </x:c>
      <x:c r="H307" s="28" t="n">
        <x:v>0</x:v>
      </x:c>
      <x:c r="I307" s="28" t="n">
        <x:v>0</x:v>
      </x:c>
      <x:c r="J307" s="28" t="n">
        <x:v>1</x:v>
      </x:c>
      <x:c r="K307" s="28" t="n">
        <x:f>SUM(E307:J307)</x:f>
        <x:v>1</x:v>
      </x:c>
      <x:c r="L307" s="205" t="n">
        <x:f>IFERROR(K307/D307,0)</x:f>
        <x:v>0.06691201070592172</x:v>
      </x:c>
      <x:c r="M307" s="160" t="str">
        <x:v>Presence-floor proxy only — 10k+ municipality completion</x:v>
      </x:c>
      <x:c r="N307" s="160" t="str">
        <x:v>Added under the 10k+ city-equivalent municipality rule: Census Vintage 2025 population &gt;=10,000; county population &gt;=500,000. Presence-floor proxy only — exact tracked-chain count requires municipal-boundary/GIS verification.</x:v>
      </x:c>
      <x:c r="O307" s="160" t="str">
        <x:v>Chester County</x:v>
      </x:c>
    </x:row>
    <x:row r="308">
      <x:c r="A308" s="28" t="n">
        <x:v>313</x:v>
      </x:c>
      <x:c r="B308" s="28" t="str">
        <x:v>Deerfield Beach</x:v>
      </x:c>
      <x:c r="C308" s="28" t="str">
        <x:v>FL</x:v>
      </x:c>
      <x:c r="D308" s="204" t="n">
        <x:v>15.09</x:v>
      </x:c>
      <x:c r="E308" s="28" t="n">
        <x:v>0</x:v>
      </x:c>
      <x:c r="F308" s="28" t="n">
        <x:v>0</x:v>
      </x:c>
      <x:c r="G308" s="28" t="n">
        <x:v>0</x:v>
      </x:c>
      <x:c r="H308" s="28" t="n">
        <x:v>0</x:v>
      </x:c>
      <x:c r="I308" s="28" t="n">
        <x:v>0</x:v>
      </x:c>
      <x:c r="J308" s="28" t="n">
        <x:v>1</x:v>
      </x:c>
      <x:c r="K308" s="28" t="n">
        <x:f>SUM(E308:J308)</x:f>
        <x:v>1</x:v>
      </x:c>
      <x:c r="L308" s="205" t="n">
        <x:f>IFERROR(K308/D308,0)</x:f>
        <x:v>0.06626905235255136</x:v>
      </x:c>
      <x:c r="M308" s="160" t="str">
        <x:v>Presence-floor proxy only — 50k+ county completion</x:v>
      </x:c>
      <x:c r="N308"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08" s="160" t="str">
        <x:v>Broward County</x:v>
      </x:c>
    </x:row>
    <x:row r="309">
      <x:c r="A309" s="28" t="n">
        <x:v>314</x:v>
      </x:c>
      <x:c r="B309" s="28" t="str">
        <x:v>Dublin</x:v>
      </x:c>
      <x:c r="C309" s="28" t="str">
        <x:v>CA</x:v>
      </x:c>
      <x:c r="D309" s="204" t="n">
        <x:v>15.229</x:v>
      </x:c>
      <x:c r="E309" s="28" t="n">
        <x:v>0</x:v>
      </x:c>
      <x:c r="F309" s="28" t="n">
        <x:v>0</x:v>
      </x:c>
      <x:c r="G309" s="28" t="n">
        <x:v>0</x:v>
      </x:c>
      <x:c r="H309" s="28" t="n">
        <x:v>0</x:v>
      </x:c>
      <x:c r="I309" s="28" t="n">
        <x:v>0</x:v>
      </x:c>
      <x:c r="J309" s="28" t="n">
        <x:v>1</x:v>
      </x:c>
      <x:c r="K309" s="28" t="n">
        <x:f>SUM(E309:J309)</x:f>
        <x:v>1</x:v>
      </x:c>
      <x:c r="L309" s="205" t="n">
        <x:f>IFERROR(K309/D309,0)</x:f>
        <x:v>0.06566419331538513</x:v>
      </x:c>
      <x:c r="M309" s="160" t="str">
        <x:v>Presence-floor proxy only — 50k+ county completion</x:v>
      </x:c>
      <x:c r="N30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309" s="160" t="str">
        <x:v>Alameda County</x:v>
      </x:c>
    </x:row>
    <x:row r="310">
      <x:c r="A310" s="28" t="n">
        <x:v>315</x:v>
      </x:c>
      <x:c r="B310" s="28" t="str">
        <x:v>Center Township</x:v>
      </x:c>
      <x:c r="C310" s="28" t="str">
        <x:v>PA</x:v>
      </x:c>
      <x:c r="D310" s="204" t="n">
        <x:v>15.23</x:v>
      </x:c>
      <x:c r="E310" s="28" t="n">
        <x:v>0</x:v>
      </x:c>
      <x:c r="F310" s="28" t="n">
        <x:v>0</x:v>
      </x:c>
      <x:c r="G310" s="28" t="n">
        <x:v>0</x:v>
      </x:c>
      <x:c r="H310" s="28" t="n">
        <x:v>0</x:v>
      </x:c>
      <x:c r="I310" s="28" t="n">
        <x:v>0</x:v>
      </x:c>
      <x:c r="J310" s="28" t="n">
        <x:v>1</x:v>
      </x:c>
      <x:c r="K310" s="28" t="n">
        <x:f>SUM(E310:J310)</x:f>
        <x:v>1</x:v>
      </x:c>
      <x:c r="L310" s="205" t="n">
        <x:f>IFERROR(K310/D310,0)</x:f>
        <x:v>0.06565988181221273</x:v>
      </x:c>
      <x:c r="M310" s="160" t="str">
        <x:v>Presence-floor proxy only — 10k+ municipality completion</x:v>
      </x:c>
      <x:c r="N310" s="160" t="str">
        <x:v>Added under the &gt;=50k-county expansion rule: Census Vintage 2025 municipality population &gt;=10,000; general-purpose city-equivalent municipality; direct Census adjacency. Presence-floor proxy only — exact tracked-chain count requires municipal-boundary/GIS verification. Center Township is V2025 11,998 and Hopewell Township 13,104.</x:v>
      </x:c>
      <x:c r="O310" s="160" t="str">
        <x:v>Beaver County</x:v>
      </x:c>
    </x:row>
    <x:row r="311">
      <x:c r="A311" s="28" t="n">
        <x:v>316</x:v>
      </x:c>
      <x:c r="B311" s="28" t="str">
        <x:v>Douglass Township</x:v>
      </x:c>
      <x:c r="C311" s="28" t="str">
        <x:v>PA</x:v>
      </x:c>
      <x:c r="D311" s="204" t="n">
        <x:v>15.24</x:v>
      </x:c>
      <x:c r="E311" s="28" t="n">
        <x:v>0</x:v>
      </x:c>
      <x:c r="F311" s="28" t="n">
        <x:v>0</x:v>
      </x:c>
      <x:c r="G311" s="28" t="n">
        <x:v>0</x:v>
      </x:c>
      <x:c r="H311" s="28" t="n">
        <x:v>0</x:v>
      </x:c>
      <x:c r="I311" s="28" t="n">
        <x:v>0</x:v>
      </x:c>
      <x:c r="J311" s="28" t="n">
        <x:v>1</x:v>
      </x:c>
      <x:c r="K311" s="28" t="n">
        <x:f>SUM(E311:J311)</x:f>
        <x:v>1</x:v>
      </x:c>
      <x:c r="L311" s="205" t="n">
        <x:f>IFERROR(K311/D311,0)</x:f>
        <x:v>0.06561679790026247</x:v>
      </x:c>
      <x:c r="M311" s="160" t="str">
        <x:v>Presence-floor proxy only — 10k+ municipality completion</x:v>
      </x:c>
      <x:c r="N31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1" s="160" t="str">
        <x:v>Montgomery County</x:v>
      </x:c>
    </x:row>
    <x:row r="312">
      <x:c r="A312" s="28" t="n">
        <x:v>317</x:v>
      </x:c>
      <x:c r="B312" s="28" t="str">
        <x:v>Lower Providence Township</x:v>
      </x:c>
      <x:c r="C312" s="28" t="str">
        <x:v>PA</x:v>
      </x:c>
      <x:c r="D312" s="204" t="n">
        <x:v>15.247</x:v>
      </x:c>
      <x:c r="E312" s="28" t="n">
        <x:v>0</x:v>
      </x:c>
      <x:c r="F312" s="28" t="n">
        <x:v>0</x:v>
      </x:c>
      <x:c r="G312" s="28" t="n">
        <x:v>0</x:v>
      </x:c>
      <x:c r="H312" s="28" t="n">
        <x:v>0</x:v>
      </x:c>
      <x:c r="I312" s="28" t="n">
        <x:v>0</x:v>
      </x:c>
      <x:c r="J312" s="28" t="n">
        <x:v>1</x:v>
      </x:c>
      <x:c r="K312" s="28" t="n">
        <x:f>SUM(E312:J312)</x:f>
        <x:v>1</x:v>
      </x:c>
      <x:c r="L312" s="205" t="n">
        <x:f>IFERROR(K312/D312,0)</x:f>
        <x:v>0.06558667278808947</x:v>
      </x:c>
      <x:c r="M312" s="160" t="str">
        <x:v>Presence-floor proxy only — 10k+ municipality completion</x:v>
      </x:c>
      <x:c r="N31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2" s="160" t="str">
        <x:v>Montgomery County</x:v>
      </x:c>
    </x:row>
    <x:row r="313">
      <x:c r="A313" s="28" t="n">
        <x:v>318</x:v>
      </x:c>
      <x:c r="B313" s="28" t="str">
        <x:v>West Deptford Township</x:v>
      </x:c>
      <x:c r="C313" s="28" t="str">
        <x:v>NJ</x:v>
      </x:c>
      <x:c r="D313" s="204" t="n">
        <x:v>15.358</x:v>
      </x:c>
      <x:c r="E313" s="28" t="n">
        <x:v>0</x:v>
      </x:c>
      <x:c r="F313" s="28" t="n">
        <x:v>0</x:v>
      </x:c>
      <x:c r="G313" s="28" t="n">
        <x:v>0</x:v>
      </x:c>
      <x:c r="H313" s="28" t="n">
        <x:v>0</x:v>
      </x:c>
      <x:c r="I313" s="28" t="n">
        <x:v>0</x:v>
      </x:c>
      <x:c r="J313" s="28" t="n">
        <x:v>1</x:v>
      </x:c>
      <x:c r="K313" s="28" t="n">
        <x:f>SUM(E313:J313)</x:f>
        <x:v>1</x:v>
      </x:c>
      <x:c r="L313" s="205" t="n">
        <x:f>IFERROR(K313/D313,0)</x:f>
        <x:v>0.06511264487563484</x:v>
      </x:c>
      <x:c r="M313" s="160" t="str">
        <x:v>Presence-floor proxy only — 10k+ municipality completion</x:v>
      </x:c>
      <x:c r="N31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313" s="160" t="str">
        <x:v>Gloucester County</x:v>
      </x:c>
    </x:row>
    <x:row r="314">
      <x:c r="A314" s="28" t="n">
        <x:v>319</x:v>
      </x:c>
      <x:c r="B314" s="28" t="str">
        <x:v>Doylestown Township</x:v>
      </x:c>
      <x:c r="C314" s="28" t="str">
        <x:v>PA</x:v>
      </x:c>
      <x:c r="D314" s="204" t="n">
        <x:v>15.442</x:v>
      </x:c>
      <x:c r="E314" s="28" t="n">
        <x:v>0</x:v>
      </x:c>
      <x:c r="F314" s="28" t="n">
        <x:v>0</x:v>
      </x:c>
      <x:c r="G314" s="28" t="n">
        <x:v>0</x:v>
      </x:c>
      <x:c r="H314" s="28" t="n">
        <x:v>0</x:v>
      </x:c>
      <x:c r="I314" s="28" t="n">
        <x:v>0</x:v>
      </x:c>
      <x:c r="J314" s="28" t="n">
        <x:v>1</x:v>
      </x:c>
      <x:c r="K314" s="28" t="n">
        <x:f>SUM(E314:J314)</x:f>
        <x:v>1</x:v>
      </x:c>
      <x:c r="L314" s="205" t="n">
        <x:f>IFERROR(K314/D314,0)</x:f>
        <x:v>0.06475845097785261</x:v>
      </x:c>
      <x:c r="M314" s="160" t="str">
        <x:v>Presence-floor proxy only — 10k+ municipality completion</x:v>
      </x:c>
      <x:c r="N31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4" s="160" t="str">
        <x:v>Bucks County</x:v>
      </x:c>
    </x:row>
    <x:row r="315">
      <x:c r="A315" s="28" t="n">
        <x:v>320</x:v>
      </x:c>
      <x:c r="B315" s="28" t="str">
        <x:v>Tinton Falls Borough</x:v>
      </x:c>
      <x:c r="C315" s="28" t="str">
        <x:v>NJ</x:v>
      </x:c>
      <x:c r="D315" s="204" t="n">
        <x:v>15.476</x:v>
      </x:c>
      <x:c r="E315" s="28" t="n">
        <x:v>0</x:v>
      </x:c>
      <x:c r="F315" s="28" t="n">
        <x:v>0</x:v>
      </x:c>
      <x:c r="G315" s="28" t="n">
        <x:v>0</x:v>
      </x:c>
      <x:c r="H315" s="28" t="n">
        <x:v>0</x:v>
      </x:c>
      <x:c r="I315" s="28" t="n">
        <x:v>0</x:v>
      </x:c>
      <x:c r="J315" s="28" t="n">
        <x:v>1</x:v>
      </x:c>
      <x:c r="K315" s="28" t="n">
        <x:f>SUM(E315:J315)</x:f>
        <x:v>1</x:v>
      </x:c>
      <x:c r="L315" s="205" t="n">
        <x:f>IFERROR(K315/D315,0)</x:f>
        <x:v>0.06461617989144482</x:v>
      </x:c>
      <x:c r="M315" s="160" t="str">
        <x:v>Presence-floor proxy only — 10k+ municipality completion</x:v>
      </x:c>
      <x:c r="N31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5" s="160" t="str">
        <x:v>Monmouth County</x:v>
      </x:c>
    </x:row>
    <x:row r="316">
      <x:c r="A316" s="28" t="n">
        <x:v>321</x:v>
      </x:c>
      <x:c r="B316" s="28" t="str">
        <x:v>Abington Township</x:v>
      </x:c>
      <x:c r="C316" s="28" t="str">
        <x:v>PA</x:v>
      </x:c>
      <x:c r="D316" s="204" t="n">
        <x:v>15.517</x:v>
      </x:c>
      <x:c r="E316" s="28" t="n">
        <x:v>0</x:v>
      </x:c>
      <x:c r="F316" s="28" t="n">
        <x:v>0</x:v>
      </x:c>
      <x:c r="G316" s="28" t="n">
        <x:v>0</x:v>
      </x:c>
      <x:c r="H316" s="28" t="n">
        <x:v>0</x:v>
      </x:c>
      <x:c r="I316" s="28" t="n">
        <x:v>0</x:v>
      </x:c>
      <x:c r="J316" s="28" t="n">
        <x:v>1</x:v>
      </x:c>
      <x:c r="K316" s="28" t="n">
        <x:f>SUM(E316:J316)</x:f>
        <x:v>1</x:v>
      </x:c>
      <x:c r="L316" s="205" t="n">
        <x:f>IFERROR(K316/D316,0)</x:f>
        <x:v>0.06444544692917445</x:v>
      </x:c>
      <x:c r="M316" s="160" t="str">
        <x:v>Presence-floor proxy only — 10k+ municipality completion</x:v>
      </x:c>
      <x:c r="N31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6" s="160" t="str">
        <x:v>Montgomery County</x:v>
      </x:c>
    </x:row>
    <x:row r="317">
      <x:c r="A317" s="28" t="n">
        <x:v>322</x:v>
      </x:c>
      <x:c r="B317" s="28" t="str">
        <x:v>Portsmouth City</x:v>
      </x:c>
      <x:c r="C317" s="28" t="str">
        <x:v>NH</x:v>
      </x:c>
      <x:c r="D317" s="204" t="n">
        <x:v>15.663</x:v>
      </x:c>
      <x:c r="E317" s="28" t="n">
        <x:v>1</x:v>
      </x:c>
      <x:c r="F317" s="28" t="n">
        <x:v>0</x:v>
      </x:c>
      <x:c r="G317" s="28" t="n">
        <x:v>0</x:v>
      </x:c>
      <x:c r="H317" s="28" t="n">
        <x:v>0</x:v>
      </x:c>
      <x:c r="I317" s="28" t="n">
        <x:v>0</x:v>
      </x:c>
      <x:c r="J317" s="28" t="n">
        <x:v>0</x:v>
      </x:c>
      <x:c r="K317" s="28" t="n">
        <x:f>SUM(E317:J317)</x:f>
        <x:v>1</x:v>
      </x:c>
      <x:c r="L317" s="205" t="n">
        <x:f>IFERROR(K317/D317,0)</x:f>
        <x:v>0.06384472961757007</x:v>
      </x:c>
      <x:c r="M317" s="160" t="str">
        <x:v>Confirmed lower bound — official retailer store page</x:v>
      </x:c>
      <x:c r="N317" s="160" t="str">
        <x:v>Confirmed lower bound: 1 Whole Foods location verified by the retailer's official store page with a municipality-matching street address. Other tracked chains and nearby spillover omitted. Newmarket and Seabrook are below the Census Vintage 2025 10,000 threshold.</x:v>
      </x:c>
      <x:c r="O317" s="160" t="str">
        <x:v>Rockingham County</x:v>
      </x:c>
    </x:row>
    <x:row r="318">
      <x:c r="A318" s="28" t="n">
        <x:v>323</x:v>
      </x:c>
      <x:c r="B318" s="28" t="str">
        <x:v>Morris Township</x:v>
      </x:c>
      <x:c r="C318" s="28" t="str">
        <x:v>NJ</x:v>
      </x:c>
      <x:c r="D318" s="204" t="n">
        <x:v>15.682</x:v>
      </x:c>
      <x:c r="E318" s="28" t="n">
        <x:v>0</x:v>
      </x:c>
      <x:c r="F318" s="28" t="n">
        <x:v>0</x:v>
      </x:c>
      <x:c r="G318" s="28" t="n">
        <x:v>0</x:v>
      </x:c>
      <x:c r="H318" s="28" t="n">
        <x:v>0</x:v>
      </x:c>
      <x:c r="I318" s="28" t="n">
        <x:v>0</x:v>
      </x:c>
      <x:c r="J318" s="28" t="n">
        <x:v>1</x:v>
      </x:c>
      <x:c r="K318" s="28" t="n">
        <x:f>SUM(E318:J318)</x:f>
        <x:v>1</x:v>
      </x:c>
      <x:c r="L318" s="205" t="n">
        <x:f>IFERROR(K318/D318,0)</x:f>
        <x:v>0.06376737661012626</x:v>
      </x:c>
      <x:c r="M318" s="160" t="str">
        <x:v>Presence-floor proxy only — 10k+ municipality completion</x:v>
      </x:c>
      <x:c r="N31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18" s="160" t="str">
        <x:v>Morris County</x:v>
      </x:c>
    </x:row>
    <x:row r="319">
      <x:c r="A319" s="28" t="n">
        <x:v>324</x:v>
      </x:c>
      <x:c r="B319" s="28" t="str">
        <x:v>Costa Mesa</x:v>
      </x:c>
      <x:c r="C319" s="28" t="str">
        <x:v>CA</x:v>
      </x:c>
      <x:c r="D319" s="204" t="n">
        <x:v>15.8</x:v>
      </x:c>
      <x:c r="E319" s="28" t="n">
        <x:v>0</x:v>
      </x:c>
      <x:c r="F319" s="28" t="n">
        <x:v>0</x:v>
      </x:c>
      <x:c r="G319" s="28" t="n">
        <x:v>0</x:v>
      </x:c>
      <x:c r="H319" s="28" t="n">
        <x:v>0</x:v>
      </x:c>
      <x:c r="I319" s="28" t="n">
        <x:v>0</x:v>
      </x:c>
      <x:c r="J319" s="28" t="n">
        <x:v>1</x:v>
      </x:c>
      <x:c r="K319" s="28" t="n">
        <x:f>SUM(E319:J319)</x:f>
        <x:v>1</x:v>
      </x:c>
      <x:c r="L319" s="205" t="n">
        <x:f>IFERROR(K319/D319,0)</x:f>
        <x:v>0.06329113924050632</x:v>
      </x:c>
      <x:c r="M319" s="160" t="str">
        <x:v>Presence-floor proxy only — 300-city expansion</x:v>
      </x:c>
      <x:c r="N319" s="160" t="str">
        <x:v>Added in the 300-city screening expansion. One-store screening floor only; exact selected-chain count and 5-mile buffer require GIS verification.</x:v>
      </x:c>
      <x:c r="O319" s="160" t="str">
        <x:v>Orange County</x:v>
      </x:c>
    </x:row>
    <x:row r="320">
      <x:c r="A320" s="28" t="n">
        <x:v>325</x:v>
      </x:c>
      <x:c r="B320" s="28" t="str">
        <x:v>Manchester Township</x:v>
      </x:c>
      <x:c r="C320" s="28" t="str">
        <x:v>PA</x:v>
      </x:c>
      <x:c r="D320" s="204" t="n">
        <x:v>15.84</x:v>
      </x:c>
      <x:c r="E320" s="28" t="n">
        <x:v>0</x:v>
      </x:c>
      <x:c r="F320" s="28" t="n">
        <x:v>0</x:v>
      </x:c>
      <x:c r="G320" s="28" t="n">
        <x:v>0</x:v>
      </x:c>
      <x:c r="H320" s="28" t="n">
        <x:v>0</x:v>
      </x:c>
      <x:c r="I320" s="28" t="n">
        <x:v>0</x:v>
      </x:c>
      <x:c r="J320" s="28" t="n">
        <x:v>1</x:v>
      </x:c>
      <x:c r="K320" s="28" t="n">
        <x:f>SUM(E320:J320)</x:f>
        <x:v>1</x:v>
      </x:c>
      <x:c r="L320" s="205" t="n">
        <x:f>IFERROR(K320/D320,0)</x:f>
        <x:v>0.06313131313131314</x:v>
      </x:c>
      <x:c r="M320" s="160" t="str">
        <x:v>Presence-floor proxy only — 10k+ municipality completion</x:v>
      </x:c>
      <x:c r="N32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320" s="160" t="str">
        <x:v>York County</x:v>
      </x:c>
    </x:row>
    <x:row r="321">
      <x:c r="A321" s="28" t="n">
        <x:v>326</x:v>
      </x:c>
      <x:c r="B321" s="28" t="str">
        <x:v>Bristol Township</x:v>
      </x:c>
      <x:c r="C321" s="28" t="str">
        <x:v>PA</x:v>
      </x:c>
      <x:c r="D321" s="204" t="n">
        <x:v>15.842</x:v>
      </x:c>
      <x:c r="E321" s="28" t="n">
        <x:v>0</x:v>
      </x:c>
      <x:c r="F321" s="28" t="n">
        <x:v>0</x:v>
      </x:c>
      <x:c r="G321" s="28" t="n">
        <x:v>0</x:v>
      </x:c>
      <x:c r="H321" s="28" t="n">
        <x:v>0</x:v>
      </x:c>
      <x:c r="I321" s="28" t="n">
        <x:v>0</x:v>
      </x:c>
      <x:c r="J321" s="28" t="n">
        <x:v>1</x:v>
      </x:c>
      <x:c r="K321" s="28" t="n">
        <x:f>SUM(E321:J321)</x:f>
        <x:v>1</x:v>
      </x:c>
      <x:c r="L321" s="205" t="n">
        <x:f>IFERROR(K321/D321,0)</x:f>
        <x:v>0.06312334301224592</x:v>
      </x:c>
      <x:c r="M321" s="160" t="str">
        <x:v>Presence-floor proxy only — 10k+ municipality completion</x:v>
      </x:c>
      <x:c r="N32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21" s="160" t="str">
        <x:v>Bucks County</x:v>
      </x:c>
    </x:row>
    <x:row r="322">
      <x:c r="A322" s="28" t="n">
        <x:v>327</x:v>
      </x:c>
      <x:c r="B322" s="28" t="str">
        <x:v>Fort Gratiot Charter Township</x:v>
      </x:c>
      <x:c r="C322" s="28" t="str">
        <x:v>MI</x:v>
      </x:c>
      <x:c r="D322" s="204" t="n">
        <x:v>15.96</x:v>
      </x:c>
      <x:c r="E322" s="28" t="n">
        <x:v>0</x:v>
      </x:c>
      <x:c r="F322" s="28" t="n">
        <x:v>0</x:v>
      </x:c>
      <x:c r="G322" s="28" t="n">
        <x:v>0</x:v>
      </x:c>
      <x:c r="H322" s="28" t="n">
        <x:v>0</x:v>
      </x:c>
      <x:c r="I322" s="28" t="n">
        <x:v>0</x:v>
      </x:c>
      <x:c r="J322" s="28" t="n">
        <x:v>1</x:v>
      </x:c>
      <x:c r="K322" s="28" t="n">
        <x:f>SUM(E322:J322)</x:f>
        <x:v>1</x:v>
      </x:c>
      <x:c r="L322" s="205" t="n">
        <x:f>IFERROR(K322/D322,0)</x:f>
        <x:v>0.06265664160401002</x:v>
      </x:c>
      <x:c r="M322" s="160" t="str">
        <x:v>Presence-floor proxy only — 10k+ municipality completion</x:v>
      </x:c>
      <x:c r="N322" s="160" t="str">
        <x:v>Added under the &gt;=50k-county expansion rule: Census Vintage 2025 municipality population &gt;=10,000; general-purpose city-equivalent municipality; direct Census adjacency. Presence-floor proxy only — exact tracked-chain count requires municipal-boundary/GIS verification. Port Huron Charter Township is V2025 10,665; all three clear the municipal threshold.</x:v>
      </x:c>
      <x:c r="O322" s="160" t="str">
        <x:v>St. Clair County</x:v>
      </x:c>
    </x:row>
    <x:row r="323">
      <x:c r="A323" s="28" t="n">
        <x:v>328</x:v>
      </x:c>
      <x:c r="B323" s="28" t="str">
        <x:v>Mantua Township</x:v>
      </x:c>
      <x:c r="C323" s="28" t="str">
        <x:v>NJ</x:v>
      </x:c>
      <x:c r="D323" s="204" t="n">
        <x:v>16.005</x:v>
      </x:c>
      <x:c r="E323" s="28" t="n">
        <x:v>0</x:v>
      </x:c>
      <x:c r="F323" s="28" t="n">
        <x:v>0</x:v>
      </x:c>
      <x:c r="G323" s="28" t="n">
        <x:v>0</x:v>
      </x:c>
      <x:c r="H323" s="28" t="n">
        <x:v>0</x:v>
      </x:c>
      <x:c r="I323" s="28" t="n">
        <x:v>0</x:v>
      </x:c>
      <x:c r="J323" s="28" t="n">
        <x:v>1</x:v>
      </x:c>
      <x:c r="K323" s="28" t="n">
        <x:f>SUM(E323:J323)</x:f>
        <x:v>1</x:v>
      </x:c>
      <x:c r="L323" s="205" t="n">
        <x:f>IFERROR(K323/D323,0)</x:f>
        <x:v>0.062480474851608875</x:v>
      </x:c>
      <x:c r="M323" s="160" t="str">
        <x:v>Presence-floor proxy only — 10k+ municipality completion</x:v>
      </x:c>
      <x:c r="N32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323" s="160" t="str">
        <x:v>Gloucester County</x:v>
      </x:c>
    </x:row>
    <x:row r="324">
      <x:c r="A324" s="28" t="n">
        <x:v>329</x:v>
      </x:c>
      <x:c r="B324" s="28" t="str">
        <x:v>Deerfield Township</x:v>
      </x:c>
      <x:c r="C324" s="28" t="str">
        <x:v>OH</x:v>
      </x:c>
      <x:c r="D324" s="204" t="n">
        <x:v>16.013</x:v>
      </x:c>
      <x:c r="E324" s="28" t="n">
        <x:v>0</x:v>
      </x:c>
      <x:c r="F324" s="28" t="n">
        <x:v>0</x:v>
      </x:c>
      <x:c r="G324" s="28" t="n">
        <x:v>0</x:v>
      </x:c>
      <x:c r="H324" s="28" t="n">
        <x:v>0</x:v>
      </x:c>
      <x:c r="I324" s="28" t="n">
        <x:v>0</x:v>
      </x:c>
      <x:c r="J324" s="28" t="n">
        <x:v>1</x:v>
      </x:c>
      <x:c r="K324" s="28" t="n">
        <x:f>SUM(E324:J324)</x:f>
        <x:v>1</x:v>
      </x:c>
      <x:c r="L324" s="205" t="n">
        <x:f>IFERROR(K324/D324,0)</x:f>
        <x:v>0.062449259976269274</x:v>
      </x:c>
      <x:c r="M324" s="160" t="str">
        <x:v>Presence-floor proxy only — 10k+ municipality completion</x:v>
      </x:c>
      <x:c r="N324" s="160" t="str">
        <x:v>Added under the &gt;=50k-county expansion rule: Census Vintage 2025 municipality population &gt;=10,000; general-purpose city-equivalent municipality; direct Census adjacency. Presence-floor proxy only — exact tracked-chain count requires municipal-boundary/GIS verification.</x:v>
      </x:c>
      <x:c r="O324" s="160" t="str">
        <x:v>Warren County</x:v>
      </x:c>
    </x:row>
    <x:row r="325">
      <x:c r="A325" s="28" t="n">
        <x:v>330</x:v>
      </x:c>
      <x:c r="B325" s="28" t="str">
        <x:v>Warren City</x:v>
      </x:c>
      <x:c r="C325" s="28" t="str">
        <x:v>OH</x:v>
      </x:c>
      <x:c r="D325" s="204" t="n">
        <x:v>16.03</x:v>
      </x:c>
      <x:c r="E325" s="28" t="n">
        <x:v>0</x:v>
      </x:c>
      <x:c r="F325" s="28" t="n">
        <x:v>0</x:v>
      </x:c>
      <x:c r="G325" s="28" t="n">
        <x:v>0</x:v>
      </x:c>
      <x:c r="H325" s="28" t="n">
        <x:v>0</x:v>
      </x:c>
      <x:c r="I325" s="28" t="n">
        <x:v>0</x:v>
      </x:c>
      <x:c r="J325" s="28" t="n">
        <x:v>1</x:v>
      </x:c>
      <x:c r="K325" s="28" t="n">
        <x:f>SUM(E325:J325)</x:f>
        <x:v>1</x:v>
      </x:c>
      <x:c r="L325" s="205" t="n">
        <x:f>IFERROR(K325/D325,0)</x:f>
        <x:v>0.06238303181534622</x:v>
      </x:c>
      <x:c r="M325" s="160" t="str">
        <x:v>Presence-floor proxy only — 10k+ municipality completion</x:v>
      </x:c>
      <x:c r="N325" s="160" t="str">
        <x:v>Added under the &gt;=50k-county expansion rule: Census Vintage 2025 municipality population &gt;=10,000; general-purpose city-equivalent municipality; direct Census adjacency. Presence-floor proxy only — exact tracked-chain count requires municipal-boundary/GIS verification. Liberty Township is subject to the workbook's established City+State collision rule; county specialty-grocery evidence is retained separately from municipal chain counts.</x:v>
      </x:c>
      <x:c r="O325" s="160" t="str">
        <x:v>Trumbull County</x:v>
      </x:c>
    </x:row>
    <x:row r="326">
      <x:c r="A326" s="28" t="n">
        <x:v>331</x:v>
      </x:c>
      <x:c r="B326" s="28" t="str">
        <x:v>West Covina</x:v>
      </x:c>
      <x:c r="C326" s="28" t="str">
        <x:v>CA</x:v>
      </x:c>
      <x:c r="D326" s="204" t="n">
        <x:v>16.036</x:v>
      </x:c>
      <x:c r="E326" s="28" t="n">
        <x:v>0</x:v>
      </x:c>
      <x:c r="F326" s="28" t="n">
        <x:v>0</x:v>
      </x:c>
      <x:c r="G326" s="28" t="n">
        <x:v>0</x:v>
      </x:c>
      <x:c r="H326" s="28" t="n">
        <x:v>0</x:v>
      </x:c>
      <x:c r="I326" s="28" t="n">
        <x:v>0</x:v>
      </x:c>
      <x:c r="J326" s="28" t="n">
        <x:v>1</x:v>
      </x:c>
      <x:c r="K326" s="28" t="n">
        <x:f>SUM(E326:J326)</x:f>
        <x:v>1</x:v>
      </x:c>
      <x:c r="L326" s="205" t="n">
        <x:f>IFERROR(K326/D326,0)</x:f>
        <x:v>0.062359690695934146</x:v>
      </x:c>
      <x:c r="M326" s="160" t="str">
        <x:v>Presence-floor proxy only — 50k+ county completion</x:v>
      </x:c>
      <x:c r="N326" s="160" t="str">
        <x:v>Added to complete ≥50,000-population incorporated-place coverage in a top-5 store-count county using Census Vintage 2025 eligibility. One-store screening floor only; exact selected-chain count and 5-mile buffer require GIS verification.</x:v>
      </x:c>
      <x:c r="O326" s="160" t="str">
        <x:v>Los Angeles County</x:v>
      </x:c>
    </x:row>
    <x:row r="327">
      <x:c r="A327" s="28" t="n">
        <x:v>332</x:v>
      </x:c>
      <x:c r="B327" s="28" t="str">
        <x:v>Boston</x:v>
      </x:c>
      <x:c r="C327" s="28" t="str">
        <x:v>MA</x:v>
      </x:c>
      <x:c r="D327" s="204" t="n">
        <x:v>48.277</x:v>
      </x:c>
      <x:c r="E327" s="28" t="n">
        <x:v>3</x:v>
      </x:c>
      <x:c r="F327" s="28" t="n">
        <x:v>0</x:v>
      </x:c>
      <x:c r="G327" s="28" t="n">
        <x:v>0</x:v>
      </x:c>
      <x:c r="H327" s="28" t="n">
        <x:v>0</x:v>
      </x:c>
      <x:c r="I327" s="28" t="n">
        <x:v>0</x:v>
      </x:c>
      <x:c r="J327" s="28" t="n">
        <x:v>0</x:v>
      </x:c>
      <x:c r="K327" s="28" t="n">
        <x:f>SUM(E327:J327)</x:f>
        <x:v>3</x:v>
      </x:c>
      <x:c r="L327" s="205" t="n">
        <x:f>IFERROR(K327/D327,0)</x:f>
        <x:v>0.062141392381465294</x:v>
      </x:c>
      <x:c r="M327" s="160" t="str">
        <x:v>Confirmed lower bound</x:v>
      </x:c>
      <x:c r="N327" s="160" t="str">
        <x:v>Verified public-directory count for ≥1 major chain; other selected chains and 5-mile spillover omitted.</x:v>
      </x:c>
      <x:c r="O327" s="160" t="str">
        <x:v>Suffolk County</x:v>
      </x:c>
    </x:row>
    <x:row r="328">
      <x:c r="A328" s="28" t="n">
        <x:v>333</x:v>
      </x:c>
      <x:c r="B328" s="28" t="str">
        <x:v>Bridgeport</x:v>
      </x:c>
      <x:c r="C328" s="28" t="str">
        <x:v>CT</x:v>
      </x:c>
      <x:c r="D328" s="204" t="n">
        <x:v>16.1</x:v>
      </x:c>
      <x:c r="E328" s="28" t="n">
        <x:v>0</x:v>
      </x:c>
      <x:c r="F328" s="28" t="n">
        <x:v>0</x:v>
      </x:c>
      <x:c r="G328" s="28" t="n">
        <x:v>0</x:v>
      </x:c>
      <x:c r="H328" s="28" t="n">
        <x:v>0</x:v>
      </x:c>
      <x:c r="I328" s="28" t="n">
        <x:v>0</x:v>
      </x:c>
      <x:c r="J328" s="28" t="n">
        <x:v>1</x:v>
      </x:c>
      <x:c r="K328" s="28" t="n">
        <x:f>SUM(E328:J328)</x:f>
        <x:v>1</x:v>
      </x:c>
      <x:c r="L328" s="205" t="n">
        <x:f>IFERROR(K328/D328,0)</x:f>
        <x:v>0.06211180124223602</x:v>
      </x:c>
      <x:c r="M328" s="160" t="str">
        <x:v>Presence-floor proxy only — 200-city expansion</x:v>
      </x:c>
      <x:c r="N328" s="160" t="str">
        <x:v>Added in the 200-city screening expansion. One-store screening floor only; exact selected-chain count and 5-mile buffer require GIS verification.</x:v>
      </x:c>
      <x:c r="O328" s="160" t="str">
        <x:v>Fairfield County</x:v>
      </x:c>
    </x:row>
    <x:row r="329">
      <x:c r="A329" s="28" t="n">
        <x:v>334</x:v>
      </x:c>
      <x:c r="B329" s="28" t="str">
        <x:v>New Garden Township</x:v>
      </x:c>
      <x:c r="C329" s="28" t="str">
        <x:v>PA</x:v>
      </x:c>
      <x:c r="D329" s="204" t="n">
        <x:v>16.114</x:v>
      </x:c>
      <x:c r="E329" s="28" t="n">
        <x:v>0</x:v>
      </x:c>
      <x:c r="F329" s="28" t="n">
        <x:v>0</x:v>
      </x:c>
      <x:c r="G329" s="28" t="n">
        <x:v>0</x:v>
      </x:c>
      <x:c r="H329" s="28" t="n">
        <x:v>0</x:v>
      </x:c>
      <x:c r="I329" s="28" t="n">
        <x:v>0</x:v>
      </x:c>
      <x:c r="J329" s="28" t="n">
        <x:v>1</x:v>
      </x:c>
      <x:c r="K329" s="28" t="n">
        <x:f>SUM(E329:J329)</x:f>
        <x:v>1</x:v>
      </x:c>
      <x:c r="L329" s="205" t="n">
        <x:f>IFERROR(K329/D329,0)</x:f>
        <x:v>0.06205783790492739</x:v>
      </x:c>
      <x:c r="M329" s="160" t="str">
        <x:v>Presence-floor proxy only — 10k+ municipality completion</x:v>
      </x:c>
      <x:c r="N329" s="160" t="str">
        <x:v>Added under the 10k+ city-equivalent municipality rule: Census Vintage 2025 population &gt;=10,000; county population &gt;=500,000. Presence-floor proxy only — exact tracked-chain count requires municipal-boundary/GIS verification.</x:v>
      </x:c>
      <x:c r="O329" s="160" t="str">
        <x:v>Chester County</x:v>
      </x:c>
    </x:row>
    <x:row r="330">
      <x:c r="A330" s="28" t="n">
        <x:v>335</x:v>
      </x:c>
      <x:c r="B330" s="28" t="str">
        <x:v>Tinley Park</x:v>
      </x:c>
      <x:c r="C330" s="28" t="str">
        <x:v>IL</x:v>
      </x:c>
      <x:c r="D330" s="204" t="n">
        <x:v>16.176</x:v>
      </x:c>
      <x:c r="E330" s="28" t="n">
        <x:v>0</x:v>
      </x:c>
      <x:c r="F330" s="28" t="n">
        <x:v>0</x:v>
      </x:c>
      <x:c r="G330" s="28" t="n">
        <x:v>0</x:v>
      </x:c>
      <x:c r="H330" s="28" t="n">
        <x:v>0</x:v>
      </x:c>
      <x:c r="I330" s="28" t="n">
        <x:v>0</x:v>
      </x:c>
      <x:c r="J330" s="28" t="n">
        <x:v>1</x:v>
      </x:c>
      <x:c r="K330" s="28" t="n">
        <x:f>SUM(E330:J330)</x:f>
        <x:v>1</x:v>
      </x:c>
      <x:c r="L330" s="205" t="n">
        <x:f>IFERROR(K330/D330,0)</x:f>
        <x:v>0.06181998021760634</x:v>
      </x:c>
      <x:c r="M330" s="160" t="str">
        <x:v>Presence-floor proxy only — 50k+ county completion</x:v>
      </x:c>
      <x:c r="N330" s="160" t="str">
        <x:v>Added to complete ≥50,000-population incorporated-place coverage in counties ranked 6–10 by store count under the same Census Vintage 2025 screen. One-store screening floor only; exact selected-chain count and 5-mile buffer require GIS verification.</x:v>
      </x:c>
      <x:c r="O330" s="160" t="str">
        <x:v>Cook County</x:v>
      </x:c>
    </x:row>
    <x:row r="331">
      <x:c r="A331" s="28" t="n">
        <x:v>337</x:v>
      </x:c>
      <x:c r="B331" s="28" t="str">
        <x:v>Worcester Township</x:v>
      </x:c>
      <x:c r="C331" s="28" t="str">
        <x:v>PA</x:v>
      </x:c>
      <x:c r="D331" s="204" t="n">
        <x:v>16.22</x:v>
      </x:c>
      <x:c r="E331" s="28" t="n">
        <x:v>0</x:v>
      </x:c>
      <x:c r="F331" s="28" t="n">
        <x:v>0</x:v>
      </x:c>
      <x:c r="G331" s="28" t="n">
        <x:v>0</x:v>
      </x:c>
      <x:c r="H331" s="28" t="n">
        <x:v>0</x:v>
      </x:c>
      <x:c r="I331" s="28" t="n">
        <x:v>0</x:v>
      </x:c>
      <x:c r="J331" s="28" t="n">
        <x:v>1</x:v>
      </x:c>
      <x:c r="K331" s="28" t="n">
        <x:f>SUM(E331:J331)</x:f>
        <x:v>1</x:v>
      </x:c>
      <x:c r="L331" s="205" t="n">
        <x:f>IFERROR(K331/D331,0)</x:f>
        <x:v>0.06165228113440198</x:v>
      </x:c>
      <x:c r="M331" s="160" t="str">
        <x:v>Presence-floor proxy only — 10k+ municipality completion</x:v>
      </x:c>
      <x:c r="N33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31" s="160" t="str">
        <x:v>Montgomery County</x:v>
      </x:c>
    </x:row>
    <x:row r="332">
      <x:c r="A332" s="28" t="n">
        <x:v>338</x:v>
      </x:c>
      <x:c r="B332" s="28" t="str">
        <x:v>Peabody</x:v>
      </x:c>
      <x:c r="C332" s="28" t="str">
        <x:v>MA</x:v>
      </x:c>
      <x:c r="D332" s="204" t="n">
        <x:v>16.24</x:v>
      </x:c>
      <x:c r="E332" s="28" t="n">
        <x:v>0</x:v>
      </x:c>
      <x:c r="F332" s="28" t="n">
        <x:v>0</x:v>
      </x:c>
      <x:c r="G332" s="28" t="n">
        <x:v>0</x:v>
      </x:c>
      <x:c r="H332" s="28" t="n">
        <x:v>0</x:v>
      </x:c>
      <x:c r="I332" s="28" t="n">
        <x:v>0</x:v>
      </x:c>
      <x:c r="J332" s="28" t="n">
        <x:v>1</x:v>
      </x:c>
      <x:c r="K332" s="28" t="n">
        <x:f>SUM(E332:J332)</x:f>
        <x:v>1</x:v>
      </x:c>
      <x:c r="L332" s="205" t="n">
        <x:f>IFERROR(K332/D332,0)</x:f>
        <x:v>0.061576354679802964</x:v>
      </x:c>
      <x:c r="M332" s="160" t="str">
        <x:v>Presence-floor proxy only — restricted-state adjacency expansion</x:v>
      </x:c>
      <x:c r="N332" s="160" t="str">
        <x:v>Census V2025 population 55,953. Added to complete ≥50,000 city coverage in Essex County; one-store screening floor.</x:v>
      </x:c>
      <x:c r="O332" s="160" t="str">
        <x:v>Essex County</x:v>
      </x:c>
    </x:row>
    <x:row r="333">
      <x:c r="A333" s="28" t="n">
        <x:v>339</x:v>
      </x:c>
      <x:c r="B333" s="28" t="str">
        <x:v>Springettsbury Township</x:v>
      </x:c>
      <x:c r="C333" s="28" t="str">
        <x:v>PA</x:v>
      </x:c>
      <x:c r="D333" s="204" t="n">
        <x:v>16.371</x:v>
      </x:c>
      <x:c r="E333" s="28" t="n">
        <x:v>0</x:v>
      </x:c>
      <x:c r="F333" s="28" t="n">
        <x:v>0</x:v>
      </x:c>
      <x:c r="G333" s="28" t="n">
        <x:v>0</x:v>
      </x:c>
      <x:c r="H333" s="28" t="n">
        <x:v>0</x:v>
      </x:c>
      <x:c r="I333" s="28" t="n">
        <x:v>0</x:v>
      </x:c>
      <x:c r="J333" s="28" t="n">
        <x:v>1</x:v>
      </x:c>
      <x:c r="K333" s="28" t="n">
        <x:f>SUM(E333:J333)</x:f>
        <x:v>1</x:v>
      </x:c>
      <x:c r="L333" s="205" t="n">
        <x:f>IFERROR(K333/D333,0)</x:f>
        <x:v>0.06108362348054487</x:v>
      </x:c>
      <x:c r="M333" s="160" t="str">
        <x:v>Presence-floor proxy only — 10k+ municipality completion</x:v>
      </x:c>
      <x:c r="N33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333" s="160" t="str">
        <x:v>York County</x:v>
      </x:c>
    </x:row>
    <x:row r="334">
      <x:c r="A334" s="28" t="n">
        <x:v>341</x:v>
      </x:c>
      <x:c r="B334" s="28" t="str">
        <x:v>Spring Lake Township</x:v>
      </x:c>
      <x:c r="C334" s="28" t="str">
        <x:v>MI</x:v>
      </x:c>
      <x:c r="D334" s="204" t="n">
        <x:v>16.506</x:v>
      </x:c>
      <x:c r="E334" s="28" t="n">
        <x:v>0</x:v>
      </x:c>
      <x:c r="F334" s="28" t="n">
        <x:v>0</x:v>
      </x:c>
      <x:c r="G334" s="28" t="n">
        <x:v>0</x:v>
      </x:c>
      <x:c r="H334" s="28" t="n">
        <x:v>0</x:v>
      </x:c>
      <x:c r="I334" s="28" t="n">
        <x:v>0</x:v>
      </x:c>
      <x:c r="J334" s="28" t="n">
        <x:v>1</x:v>
      </x:c>
      <x:c r="K334" s="28" t="n">
        <x:f>SUM(E334:J334)</x:f>
        <x:v>1</x:v>
      </x:c>
      <x:c r="L334" s="205" t="n">
        <x:f>IFERROR(K334/D334,0)</x:f>
        <x:v>0.060584030049678904</x:v>
      </x:c>
      <x:c r="M334" s="160" t="str">
        <x:v>Presence-floor proxy only — 10k+ municipality completion</x:v>
      </x:c>
      <x:c r="N334"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334" s="160" t="str">
        <x:v>Ottawa County</x:v>
      </x:c>
    </x:row>
    <x:row r="335">
      <x:c r="A335" s="28" t="n">
        <x:v>342</x:v>
      </x:c>
      <x:c r="B335" s="28" t="str">
        <x:v>Santee</x:v>
      </x:c>
      <x:c r="C335" s="28" t="str">
        <x:v>CA</x:v>
      </x:c>
      <x:c r="D335" s="204" t="n">
        <x:v>16.534</x:v>
      </x:c>
      <x:c r="E335" s="28" t="n">
        <x:v>0</x:v>
      </x:c>
      <x:c r="F335" s="28" t="n">
        <x:v>0</x:v>
      </x:c>
      <x:c r="G335" s="28" t="n">
        <x:v>0</x:v>
      </x:c>
      <x:c r="H335" s="28" t="n">
        <x:v>0</x:v>
      </x:c>
      <x:c r="I335" s="28" t="n">
        <x:v>0</x:v>
      </x:c>
      <x:c r="J335" s="28" t="n">
        <x:v>1</x:v>
      </x:c>
      <x:c r="K335" s="28" t="n">
        <x:f>SUM(E335:J335)</x:f>
        <x:v>1</x:v>
      </x:c>
      <x:c r="L335" s="205" t="n">
        <x:f>IFERROR(K335/D335,0)</x:f>
        <x:v>0.06048143220031451</x:v>
      </x:c>
      <x:c r="M335" s="160" t="str">
        <x:v>Presence-floor proxy only — 50k+ county completion</x:v>
      </x:c>
      <x:c r="N335" s="160" t="str">
        <x:v>Added to complete ≥50,000-population incorporated-place coverage in a top-5 store-count county using Census Vintage 2025 eligibility. One-store screening floor only; exact selected-chain count and 5-mile buffer require GIS verification.</x:v>
      </x:c>
      <x:c r="O335" s="160" t="str">
        <x:v>San Diego County</x:v>
      </x:c>
    </x:row>
    <x:row r="336">
      <x:c r="A336" s="28" t="n">
        <x:v>343</x:v>
      </x:c>
      <x:c r="B336" s="28" t="str">
        <x:v>Quincy</x:v>
      </x:c>
      <x:c r="C336" s="28" t="str">
        <x:v>MA</x:v>
      </x:c>
      <x:c r="D336" s="204" t="n">
        <x:v>16.57</x:v>
      </x:c>
      <x:c r="E336" s="28" t="n">
        <x:v>0</x:v>
      </x:c>
      <x:c r="F336" s="28" t="n">
        <x:v>0</x:v>
      </x:c>
      <x:c r="G336" s="28" t="n">
        <x:v>0</x:v>
      </x:c>
      <x:c r="H336" s="28" t="n">
        <x:v>0</x:v>
      </x:c>
      <x:c r="I336" s="28" t="n">
        <x:v>0</x:v>
      </x:c>
      <x:c r="J336" s="28" t="n">
        <x:v>1</x:v>
      </x:c>
      <x:c r="K336" s="28" t="n">
        <x:f>SUM(E336:J336)</x:f>
        <x:v>1</x:v>
      </x:c>
      <x:c r="L336" s="205" t="n">
        <x:f>IFERROR(K336/D336,0)</x:f>
        <x:v>0.060350030175015085</x:v>
      </x:c>
      <x:c r="M336" s="160" t="str">
        <x:v>Presence-floor proxy only — restricted-state adjacency expansion</x:v>
      </x:c>
      <x:c r="N336" s="160" t="str">
        <x:v>Census V2025 population 103,173. Added to complete ≥50,000 city coverage in Norfolk County; one-store screening floor.</x:v>
      </x:c>
      <x:c r="O336" s="160" t="str">
        <x:v>Norfolk County</x:v>
      </x:c>
    </x:row>
    <x:row r="337">
      <x:c r="A337" s="28" t="n">
        <x:v>344</x:v>
      </x:c>
      <x:c r="B337" s="28" t="str">
        <x:v>Gilroy</x:v>
      </x:c>
      <x:c r="C337" s="28" t="str">
        <x:v>CA</x:v>
      </x:c>
      <x:c r="D337" s="204" t="n">
        <x:v>16.577</x:v>
      </x:c>
      <x:c r="E337" s="28" t="n">
        <x:v>0</x:v>
      </x:c>
      <x:c r="F337" s="28" t="n">
        <x:v>0</x:v>
      </x:c>
      <x:c r="G337" s="28" t="n">
        <x:v>0</x:v>
      </x:c>
      <x:c r="H337" s="28" t="n">
        <x:v>0</x:v>
      </x:c>
      <x:c r="I337" s="28" t="n">
        <x:v>0</x:v>
      </x:c>
      <x:c r="J337" s="28" t="n">
        <x:v>1</x:v>
      </x:c>
      <x:c r="K337" s="28" t="n">
        <x:f>SUM(E337:J337)</x:f>
        <x:v>1</x:v>
      </x:c>
      <x:c r="L337" s="205" t="n">
        <x:f>IFERROR(K337/D337,0)</x:f>
        <x:v>0.06032454605779091</x:v>
      </x:c>
      <x:c r="M337" s="160" t="str">
        <x:v>Presence-floor proxy only — 50k+ county completion</x:v>
      </x:c>
      <x:c r="N337" s="160" t="str">
        <x:v>Added to complete ≥50,000-population incorporated-place coverage in counties ranked 6–10 by store count under the same Census Vintage 2025 screen. One-store screening floor only; exact selected-chain count and 5-mile buffer require GIS verification.</x:v>
      </x:c>
      <x:c r="O337" s="160" t="str">
        <x:v>Santa Clara County</x:v>
      </x:c>
    </x:row>
    <x:row r="338">
      <x:c r="A338" s="28" t="n">
        <x:v>345</x:v>
      </x:c>
      <x:c r="B338" s="28" t="str">
        <x:v>San Rafael</x:v>
      </x:c>
      <x:c r="C338" s="28" t="str">
        <x:v>CA</x:v>
      </x:c>
      <x:c r="D338" s="204" t="n">
        <x:v>16.587</x:v>
      </x:c>
      <x:c r="E338" s="28" t="n">
        <x:v>1</x:v>
      </x:c>
      <x:c r="F338" s="28" t="n">
        <x:v>0</x:v>
      </x:c>
      <x:c r="G338" s="28" t="n">
        <x:v>0</x:v>
      </x:c>
      <x:c r="H338" s="28" t="n">
        <x:v>0</x:v>
      </x:c>
      <x:c r="I338" s="28" t="n">
        <x:v>0</x:v>
      </x:c>
      <x:c r="J338" s="28" t="n">
        <x:v>0</x:v>
      </x:c>
      <x:c r="K338" s="28" t="n">
        <x:f>SUM(E338:J338)</x:f>
        <x:v>1</x:v>
      </x:c>
      <x:c r="L338" s="205" t="n">
        <x:f>IFERROR(K338/D338,0)</x:f>
        <x:v>0.060288177488394525</x:v>
      </x:c>
      <x:c r="M338" s="160" t="str">
        <x:v>Confirmed lower bound — adjacent-county expansion</x:v>
      </x:c>
      <x:c r="N338" s="160" t="str">
        <x:v>Added in second adjacent-county expansion; Whole Foods location verified. Census Vintage 2025 eligibility; Census 2025 Gazetteer land area.</x:v>
      </x:c>
      <x:c r="O338" s="160" t="str">
        <x:v>Marin County</x:v>
      </x:c>
    </x:row>
    <x:row r="339">
      <x:c r="A339" s="28" t="n">
        <x:v>346</x:v>
      </x:c>
      <x:c r="B339" s="28" t="str">
        <x:v>Arlington Heights</x:v>
      </x:c>
      <x:c r="C339" s="28" t="str">
        <x:v>IL</x:v>
      </x:c>
      <x:c r="D339" s="204" t="n">
        <x:v>16.614</x:v>
      </x:c>
      <x:c r="E339" s="28" t="n">
        <x:v>0</x:v>
      </x:c>
      <x:c r="F339" s="28" t="n">
        <x:v>0</x:v>
      </x:c>
      <x:c r="G339" s="28" t="n">
        <x:v>0</x:v>
      </x:c>
      <x:c r="H339" s="28" t="n">
        <x:v>0</x:v>
      </x:c>
      <x:c r="I339" s="28" t="n">
        <x:v>0</x:v>
      </x:c>
      <x:c r="J339" s="28" t="n">
        <x:v>1</x:v>
      </x:c>
      <x:c r="K339" s="28" t="n">
        <x:f>SUM(E339:J339)</x:f>
        <x:v>1</x:v>
      </x:c>
      <x:c r="L339" s="205" t="n">
        <x:f>IFERROR(K339/D339,0)</x:f>
        <x:v>0.06019020103527146</x:v>
      </x:c>
      <x:c r="M339" s="160" t="str">
        <x:v>Presence-floor proxy only — 50k+ county completion</x:v>
      </x:c>
      <x:c r="N339" s="160" t="str">
        <x:v>Added to complete ≥50,000-population incorporated-place coverage in counties ranked 6–10 by store count under the same Census Vintage 2025 screen. One-store screening floor only; exact selected-chain count and 5-mile buffer require GIS verification.</x:v>
      </x:c>
      <x:c r="O339" s="160" t="str">
        <x:v>Cook County</x:v>
      </x:c>
    </x:row>
    <x:row r="340">
      <x:c r="A340" s="28" t="n">
        <x:v>347</x:v>
      </x:c>
      <x:c r="B340" s="28" t="str">
        <x:v>Utica</x:v>
      </x:c>
      <x:c r="C340" s="28" t="str">
        <x:v>NY</x:v>
      </x:c>
      <x:c r="D340" s="204" t="n">
        <x:v>16.72</x:v>
      </x:c>
      <x:c r="E340" s="28" t="n">
        <x:v>0</x:v>
      </x:c>
      <x:c r="F340" s="28" t="n">
        <x:v>0</x:v>
      </x:c>
      <x:c r="G340" s="28" t="n">
        <x:v>0</x:v>
      </x:c>
      <x:c r="H340" s="28" t="n">
        <x:v>0</x:v>
      </x:c>
      <x:c r="I340" s="28" t="n">
        <x:v>0</x:v>
      </x:c>
      <x:c r="J340" s="28" t="n">
        <x:v>1</x:v>
      </x:c>
      <x:c r="K340" s="28" t="n">
        <x:f>SUM(E340:J340)</x:f>
        <x:v>1</x:v>
      </x:c>
      <x:c r="L340" s="205" t="n">
        <x:f>IFERROR(K340/D340,0)</x:f>
        <x:v>0.059808612440191394</x:v>
      </x:c>
      <x:c r="M340" s="160" t="str">
        <x:v>Presence-floor proxy only — restricted-state completion</x:v>
      </x:c>
      <x:c r="N340" s="160" t="str">
        <x:v>Added in the 467-city restricted-state nearest-ring expansion. Census Vintage 2025 population 62,978. No tracked-chain location was directly verified inside the incorporated city after official-locator checks; Presence Floor = 1 is a screening proxy only. Oneida County specialty-grocery evidence includes the year-round Oneida County Public Market and a documented network of ethnic/specialty markets in Utica.</x:v>
      </x:c>
      <x:c r="O340" s="160" t="str">
        <x:v>Oneida County</x:v>
      </x:c>
    </x:row>
    <x:row r="341">
      <x:c r="A341" s="28" t="n">
        <x:v>348</x:v>
      </x:c>
      <x:c r="B341" s="28" t="str">
        <x:v>North Lebanon Township</x:v>
      </x:c>
      <x:c r="C341" s="28" t="str">
        <x:v>PA</x:v>
      </x:c>
      <x:c r="D341" s="204" t="n">
        <x:v>16.75</x:v>
      </x:c>
      <x:c r="E341" s="28" t="n">
        <x:v>0</x:v>
      </x:c>
      <x:c r="F341" s="28" t="n">
        <x:v>0</x:v>
      </x:c>
      <x:c r="G341" s="28" t="n">
        <x:v>0</x:v>
      </x:c>
      <x:c r="H341" s="28" t="n">
        <x:v>0</x:v>
      </x:c>
      <x:c r="I341" s="28" t="n">
        <x:v>0</x:v>
      </x:c>
      <x:c r="J341" s="28" t="n">
        <x:v>1</x:v>
      </x:c>
      <x:c r="K341" s="28" t="n">
        <x:f>SUM(E341:J341)</x:f>
        <x:v>1</x:v>
      </x:c>
      <x:c r="L341" s="205" t="n">
        <x:f>IFERROR(K341/D341,0)</x:f>
        <x:v>0.05970149253731343</x:v>
      </x:c>
      <x:c r="M341" s="160" t="str">
        <x:v>Presence-floor proxy only — 10k+ municipality completion</x:v>
      </x:c>
      <x:c r="N341" s="160" t="str">
        <x:v>Added under the &gt;=50k-county expansion rule: Census Vintage 2025 municipality population &gt;=10,000; general-purpose city-equivalent municipality; direct Census adjacency. Presence-floor proxy only — exact tracked-chain count requires municipal-boundary/GIS verification. South Lebanon Township is V2025 10,735; North Cornwall and South Londonderry remain below 10,000.</x:v>
      </x:c>
      <x:c r="O341" s="160" t="str">
        <x:v>Lebanon County</x:v>
      </x:c>
    </x:row>
    <x:row r="342">
      <x:c r="A342" s="28" t="n">
        <x:v>349</x:v>
      </x:c>
      <x:c r="B342" s="28" t="str">
        <x:v>Hopewell Township</x:v>
      </x:c>
      <x:c r="C342" s="28" t="str">
        <x:v>PA</x:v>
      </x:c>
      <x:c r="D342" s="204" t="n">
        <x:v>16.767</x:v>
      </x:c>
      <x:c r="E342" s="28" t="n">
        <x:v>0</x:v>
      </x:c>
      <x:c r="F342" s="28" t="n">
        <x:v>0</x:v>
      </x:c>
      <x:c r="G342" s="28" t="n">
        <x:v>0</x:v>
      </x:c>
      <x:c r="H342" s="28" t="n">
        <x:v>0</x:v>
      </x:c>
      <x:c r="I342" s="28" t="n">
        <x:v>0</x:v>
      </x:c>
      <x:c r="J342" s="28" t="n">
        <x:v>1</x:v>
      </x:c>
      <x:c r="K342" s="28" t="n">
        <x:f>SUM(E342:J342)</x:f>
        <x:v>1</x:v>
      </x:c>
      <x:c r="L342" s="205" t="n">
        <x:f>IFERROR(K342/D342,0)</x:f>
        <x:v>0.059640961412297966</x:v>
      </x:c>
      <x:c r="M342" s="160" t="str">
        <x:v>Presence-floor proxy only — 10k+ municipality completion</x:v>
      </x:c>
      <x:c r="N342" s="160" t="str">
        <x:v>Added under the &gt;=50k-county expansion rule: Census Vintage 2025 municipality population &gt;=10,000; general-purpose city-equivalent municipality; direct Census adjacency. Presence-floor proxy only — exact tracked-chain count requires municipal-boundary/GIS verification. Center Township is V2025 11,998 and Hopewell Township 13,104.</x:v>
      </x:c>
      <x:c r="O342" s="160" t="str">
        <x:v>Beaver County</x:v>
      </x:c>
    </x:row>
    <x:row r="343">
      <x:c r="A343" s="28" t="n">
        <x:v>350</x:v>
      </x:c>
      <x:c r="B343" s="28" t="str">
        <x:v>Weymouth</x:v>
      </x:c>
      <x:c r="C343" s="28" t="str">
        <x:v>MA</x:v>
      </x:c>
      <x:c r="D343" s="204" t="n">
        <x:v>16.77</x:v>
      </x:c>
      <x:c r="E343" s="28" t="n">
        <x:v>0</x:v>
      </x:c>
      <x:c r="F343" s="28" t="n">
        <x:v>0</x:v>
      </x:c>
      <x:c r="G343" s="28" t="n">
        <x:v>0</x:v>
      </x:c>
      <x:c r="H343" s="28" t="n">
        <x:v>0</x:v>
      </x:c>
      <x:c r="I343" s="28" t="n">
        <x:v>0</x:v>
      </x:c>
      <x:c r="J343" s="28" t="n">
        <x:v>1</x:v>
      </x:c>
      <x:c r="K343" s="28" t="n">
        <x:f>SUM(E343:J343)</x:f>
        <x:v>1</x:v>
      </x:c>
      <x:c r="L343" s="205" t="n">
        <x:f>IFERROR(K343/D343,0)</x:f>
        <x:v>0.05963029218843172</x:v>
      </x:c>
      <x:c r="M343" s="160" t="str">
        <x:v>Presence-floor proxy only — restricted-state adjacency expansion</x:v>
      </x:c>
      <x:c r="N343" s="160" t="str">
        <x:v>Census V2025 population 59,759. Census entity is Weymouth Town city; added to complete ≥50,000 city coverage in Norfolk County.</x:v>
      </x:c>
      <x:c r="O343" s="160" t="str">
        <x:v>Norfolk County</x:v>
      </x:c>
    </x:row>
    <x:row r="344">
      <x:c r="A344" s="28" t="n">
        <x:v>351</x:v>
      </x:c>
      <x:c r="B344" s="28" t="str">
        <x:v>Painesville Township</x:v>
      </x:c>
      <x:c r="C344" s="28" t="str">
        <x:v>OH</x:v>
      </x:c>
      <x:c r="D344" s="204" t="n">
        <x:v>16.782</x:v>
      </x:c>
      <x:c r="E344" s="28" t="n">
        <x:v>0</x:v>
      </x:c>
      <x:c r="F344" s="28" t="n">
        <x:v>0</x:v>
      </x:c>
      <x:c r="G344" s="28" t="n">
        <x:v>0</x:v>
      </x:c>
      <x:c r="H344" s="28" t="n">
        <x:v>0</x:v>
      </x:c>
      <x:c r="I344" s="28" t="n">
        <x:v>0</x:v>
      </x:c>
      <x:c r="J344" s="28" t="n">
        <x:v>1</x:v>
      </x:c>
      <x:c r="K344" s="28" t="n">
        <x:f>SUM(E344:J344)</x:f>
        <x:v>1</x:v>
      </x:c>
      <x:c r="L344" s="205" t="n">
        <x:f>IFERROR(K344/D344,0)</x:f>
        <x:v>0.059587653438207606</x:v>
      </x:c>
      <x:c r="M344" s="160" t="str">
        <x:v>Presence-floor proxy only — 10k+ municipality completion</x:v>
      </x:c>
      <x:c r="N344"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344" s="160" t="str">
        <x:v>Lake County</x:v>
      </x:c>
    </x:row>
    <x:row r="345">
      <x:c r="A345" s="28" t="n">
        <x:v>352</x:v>
      </x:c>
      <x:c r="B345" s="28" t="str">
        <x:v>Monroe Charter Township</x:v>
      </x:c>
      <x:c r="C345" s="28" t="str">
        <x:v>MI</x:v>
      </x:c>
      <x:c r="D345" s="204" t="n">
        <x:v>16.877</x:v>
      </x:c>
      <x:c r="E345" s="28" t="n">
        <x:v>0</x:v>
      </x:c>
      <x:c r="F345" s="28" t="n">
        <x:v>0</x:v>
      </x:c>
      <x:c r="G345" s="28" t="n">
        <x:v>0</x:v>
      </x:c>
      <x:c r="H345" s="28" t="n">
        <x:v>0</x:v>
      </x:c>
      <x:c r="I345" s="28" t="n">
        <x:v>0</x:v>
      </x:c>
      <x:c r="J345" s="28" t="n">
        <x:v>1</x:v>
      </x:c>
      <x:c r="K345" s="28" t="n">
        <x:f>SUM(E345:J345)</x:f>
        <x:v>1</x:v>
      </x:c>
      <x:c r="L345" s="205" t="n">
        <x:f>IFERROR(K345/D345,0)</x:f>
        <x:v>0.059252236771938145</x:v>
      </x:c>
      <x:c r="M345" s="160" t="str">
        <x:v>Presence-floor proxy only — 10k+ municipality completion</x:v>
      </x:c>
      <x:c r="N345" s="160" t="str">
        <x:v>Added under the &gt;=50k-county expansion rule: Census Vintage 2025 municipality population &gt;=10,000; general-purpose city-equivalent municipality; direct Census adjacency. Presence-floor proxy only — exact tracked-chain count requires municipal-boundary/GIS verification. Alive Naturally and Monroe Farmers Market provide county specialty-food evidence; no tracked-chain municipal count is assigned.</x:v>
      </x:c>
      <x:c r="O345" s="160" t="str">
        <x:v>Monroe County</x:v>
      </x:c>
    </x:row>
    <x:row r="346">
      <x:c r="A346" s="28" t="n">
        <x:v>353</x:v>
      </x:c>
      <x:c r="B346" s="28" t="str">
        <x:v>Holland City</x:v>
      </x:c>
      <x:c r="C346" s="28" t="str">
        <x:v>MI</x:v>
      </x:c>
      <x:c r="D346" s="204" t="n">
        <x:v>16.926</x:v>
      </x:c>
      <x:c r="E346" s="28" t="n">
        <x:v>0</x:v>
      </x:c>
      <x:c r="F346" s="28" t="n">
        <x:v>0</x:v>
      </x:c>
      <x:c r="G346" s="28" t="n">
        <x:v>0</x:v>
      </x:c>
      <x:c r="H346" s="28" t="n">
        <x:v>0</x:v>
      </x:c>
      <x:c r="I346" s="28" t="n">
        <x:v>0</x:v>
      </x:c>
      <x:c r="J346" s="28" t="n">
        <x:v>1</x:v>
      </x:c>
      <x:c r="K346" s="28" t="n">
        <x:f>SUM(E346:J346)</x:f>
        <x:v>1</x:v>
      </x:c>
      <x:c r="L346" s="205" t="n">
        <x:f>IFERROR(K346/D346,0)</x:f>
        <x:v>0.05908070424199457</x:v>
      </x:c>
      <x:c r="M346" s="160" t="str">
        <x:v>Presence-floor proxy only — 10k+ municipality completion</x:v>
      </x:c>
      <x:c r="N346" s="160" t="str">
        <x:v>Added under the documented ≥300k county fallback: Census Vintage 2025 municipality population ≥10,000; general-purpose city-equivalent municipality; direct Census adjacency. Presence-floor proxy only — exact tracked-chain count requires municipal-boundary/GIS verification. Holland spans Allegan and Ottawa counties; this new row uses Ottawa County as the canonical assignment for this expansion and uses the full Census place land area.</x:v>
      </x:c>
      <x:c r="O346" s="160" t="str">
        <x:v>Ottawa County</x:v>
      </x:c>
    </x:row>
    <x:row r="347">
      <x:c r="A347" s="28" t="n">
        <x:v>354</x:v>
      </x:c>
      <x:c r="B347" s="28" t="str">
        <x:v>Upper Merion Township</x:v>
      </x:c>
      <x:c r="C347" s="28" t="str">
        <x:v>PA</x:v>
      </x:c>
      <x:c r="D347" s="204" t="n">
        <x:v>16.974</x:v>
      </x:c>
      <x:c r="E347" s="28" t="n">
        <x:v>0</x:v>
      </x:c>
      <x:c r="F347" s="28" t="n">
        <x:v>0</x:v>
      </x:c>
      <x:c r="G347" s="28" t="n">
        <x:v>0</x:v>
      </x:c>
      <x:c r="H347" s="28" t="n">
        <x:v>0</x:v>
      </x:c>
      <x:c r="I347" s="28" t="n">
        <x:v>0</x:v>
      </x:c>
      <x:c r="J347" s="28" t="n">
        <x:v>1</x:v>
      </x:c>
      <x:c r="K347" s="28" t="n">
        <x:f>SUM(E347:J347)</x:f>
        <x:v>1</x:v>
      </x:c>
      <x:c r="L347" s="205" t="n">
        <x:f>IFERROR(K347/D347,0)</x:f>
        <x:v>0.058913632614587014</x:v>
      </x:c>
      <x:c r="M347" s="160" t="str">
        <x:v>Presence-floor proxy only — 10k+ municipality completion</x:v>
      </x:c>
      <x:c r="N34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 Wegmans' official King of Prussia store is strong county-level evidence, but the city-row chain count remains conservative pending explicit municipal-boundary attribution.</x:v>
      </x:c>
      <x:c r="O347" s="160" t="str">
        <x:v>Montgomery County</x:v>
      </x:c>
    </x:row>
    <x:row r="348">
      <x:c r="A348" s="28" t="n">
        <x:v>355</x:v>
      </x:c>
      <x:c r="B348" s="28" t="str">
        <x:v>Lake Forest</x:v>
      </x:c>
      <x:c r="C348" s="28" t="str">
        <x:v>CA</x:v>
      </x:c>
      <x:c r="D348" s="204" t="n">
        <x:v>17.18</x:v>
      </x:c>
      <x:c r="E348" s="28" t="n">
        <x:v>0</x:v>
      </x:c>
      <x:c r="F348" s="28" t="n">
        <x:v>0</x:v>
      </x:c>
      <x:c r="G348" s="28" t="n">
        <x:v>0</x:v>
      </x:c>
      <x:c r="H348" s="28" t="n">
        <x:v>0</x:v>
      </x:c>
      <x:c r="I348" s="28" t="n">
        <x:v>0</x:v>
      </x:c>
      <x:c r="J348" s="28" t="n">
        <x:v>1</x:v>
      </x:c>
      <x:c r="K348" s="28" t="n">
        <x:f>SUM(E348:J348)</x:f>
        <x:v>1</x:v>
      </x:c>
      <x:c r="L348" s="205" t="n">
        <x:f>IFERROR(K348/D348,0)</x:f>
        <x:v>0.05820721769499418</x:v>
      </x:c>
      <x:c r="M348" s="160" t="str">
        <x:v>Presence-floor proxy only — 50k+ county completion</x:v>
      </x:c>
      <x:c r="N348"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48" s="160" t="str">
        <x:v>Orange County</x:v>
      </x:c>
    </x:row>
    <x:row r="349">
      <x:c r="A349" s="28" t="n">
        <x:v>356</x:v>
      </x:c>
      <x:c r="B349" s="28" t="str">
        <x:v>Hampden Township</x:v>
      </x:c>
      <x:c r="C349" s="28" t="str">
        <x:v>PA</x:v>
      </x:c>
      <x:c r="D349" s="204" t="n">
        <x:v>17.262</x:v>
      </x:c>
      <x:c r="E349" s="28" t="n">
        <x:v>0</x:v>
      </x:c>
      <x:c r="F349" s="28" t="n">
        <x:v>0</x:v>
      </x:c>
      <x:c r="G349" s="28" t="n">
        <x:v>0</x:v>
      </x:c>
      <x:c r="H349" s="28" t="n">
        <x:v>0</x:v>
      </x:c>
      <x:c r="I349" s="28" t="n">
        <x:v>0</x:v>
      </x:c>
      <x:c r="J349" s="28" t="n">
        <x:v>1</x:v>
      </x:c>
      <x:c r="K349" s="28" t="n">
        <x:f>SUM(E349:J349)</x:f>
        <x:v>1</x:v>
      </x:c>
      <x:c r="L349" s="205" t="n">
        <x:f>IFERROR(K349/D349,0)</x:f>
        <x:v>0.05793071486502143</x:v>
      </x:c>
      <x:c r="M349" s="160" t="str">
        <x:v>Presence-floor proxy only — 10k+ municipality completion</x:v>
      </x:c>
      <x:c r="N349"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349" s="160" t="str">
        <x:v>Cumberland County</x:v>
      </x:c>
    </x:row>
    <x:row r="350">
      <x:c r="A350" s="28" t="n">
        <x:v>357</x:v>
      </x:c>
      <x:c r="B350" s="28" t="str">
        <x:v>Burbank</x:v>
      </x:c>
      <x:c r="C350" s="28" t="str">
        <x:v>CA</x:v>
      </x:c>
      <x:c r="D350" s="204" t="n">
        <x:v>17.316</x:v>
      </x:c>
      <x:c r="E350" s="28" t="n">
        <x:v>0</x:v>
      </x:c>
      <x:c r="F350" s="28" t="n">
        <x:v>0</x:v>
      </x:c>
      <x:c r="G350" s="28" t="n">
        <x:v>0</x:v>
      </x:c>
      <x:c r="H350" s="28" t="n">
        <x:v>0</x:v>
      </x:c>
      <x:c r="I350" s="28" t="n">
        <x:v>0</x:v>
      </x:c>
      <x:c r="J350" s="28" t="n">
        <x:v>1</x:v>
      </x:c>
      <x:c r="K350" s="28" t="n">
        <x:f>SUM(E350:J350)</x:f>
        <x:v>1</x:v>
      </x:c>
      <x:c r="L350" s="205" t="n">
        <x:f>IFERROR(K350/D350,0)</x:f>
        <x:v>0.05775005775005775</x:v>
      </x:c>
      <x:c r="M350" s="160" t="str">
        <x:v>Presence-floor proxy only — 50k+ county completion</x:v>
      </x:c>
      <x:c r="N350" s="160" t="str">
        <x:v>Added to complete ≥50,000-population incorporated-place coverage in a top-5 store-count county using Census Vintage 2025 eligibility. One-store screening floor only; exact selected-chain count and 5-mile buffer require GIS verification.</x:v>
      </x:c>
      <x:c r="O350" s="160" t="str">
        <x:v>Los Angeles County</x:v>
      </x:c>
    </x:row>
    <x:row r="351">
      <x:c r="A351" s="28" t="n">
        <x:v>358</x:v>
      </x:c>
      <x:c r="B351" s="28" t="str">
        <x:v>Horsham Township</x:v>
      </x:c>
      <x:c r="C351" s="28" t="str">
        <x:v>PA</x:v>
      </x:c>
      <x:c r="D351" s="204" t="n">
        <x:v>17.322</x:v>
      </x:c>
      <x:c r="E351" s="28" t="n">
        <x:v>0</x:v>
      </x:c>
      <x:c r="F351" s="28" t="n">
        <x:v>0</x:v>
      </x:c>
      <x:c r="G351" s="28" t="n">
        <x:v>0</x:v>
      </x:c>
      <x:c r="H351" s="28" t="n">
        <x:v>0</x:v>
      </x:c>
      <x:c r="I351" s="28" t="n">
        <x:v>0</x:v>
      </x:c>
      <x:c r="J351" s="28" t="n">
        <x:v>1</x:v>
      </x:c>
      <x:c r="K351" s="28" t="n">
        <x:f>SUM(E351:J351)</x:f>
        <x:v>1</x:v>
      </x:c>
      <x:c r="L351" s="205" t="n">
        <x:f>IFERROR(K351/D351,0)</x:f>
        <x:v>0.05773005426625101</x:v>
      </x:c>
      <x:c r="M351" s="160" t="str">
        <x:v>Presence-floor proxy only — 10k+ municipality completion</x:v>
      </x:c>
      <x:c r="N35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51" s="160" t="str">
        <x:v>Montgomery County</x:v>
      </x:c>
    </x:row>
    <x:row r="352">
      <x:c r="A352" s="28" t="n">
        <x:v>359</x:v>
      </x:c>
      <x:c r="B352" s="28" t="str">
        <x:v>Deptford Township</x:v>
      </x:c>
      <x:c r="C352" s="28" t="str">
        <x:v>NJ</x:v>
      </x:c>
      <x:c r="D352" s="204" t="n">
        <x:v>17.332</x:v>
      </x:c>
      <x:c r="E352" s="28" t="n">
        <x:v>0</x:v>
      </x:c>
      <x:c r="F352" s="28" t="n">
        <x:v>0</x:v>
      </x:c>
      <x:c r="G352" s="28" t="n">
        <x:v>0</x:v>
      </x:c>
      <x:c r="H352" s="28" t="n">
        <x:v>0</x:v>
      </x:c>
      <x:c r="I352" s="28" t="n">
        <x:v>0</x:v>
      </x:c>
      <x:c r="J352" s="28" t="n">
        <x:v>1</x:v>
      </x:c>
      <x:c r="K352" s="28" t="n">
        <x:f>SUM(E352:J352)</x:f>
        <x:v>1</x:v>
      </x:c>
      <x:c r="L352" s="205" t="n">
        <x:f>IFERROR(K352/D352,0)</x:f>
        <x:v>0.057696745903531035</x:v>
      </x:c>
      <x:c r="M352" s="160" t="str">
        <x:v>Presence-floor proxy only — 10k+ municipality completion</x:v>
      </x:c>
      <x:c r="N35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352" s="160" t="str">
        <x:v>Gloucester County</x:v>
      </x:c>
    </x:row>
    <x:row r="353">
      <x:c r="A353" s="28" t="n">
        <x:v>360</x:v>
      </x:c>
      <x:c r="B353" s="28" t="str">
        <x:v>Saginaw City</x:v>
      </x:c>
      <x:c r="C353" s="28" t="str">
        <x:v>MI</x:v>
      </x:c>
      <x:c r="D353" s="204" t="n">
        <x:v>17.38</x:v>
      </x:c>
      <x:c r="E353" s="28" t="n">
        <x:v>0</x:v>
      </x:c>
      <x:c r="F353" s="28" t="n">
        <x:v>0</x:v>
      </x:c>
      <x:c r="G353" s="28" t="n">
        <x:v>0</x:v>
      </x:c>
      <x:c r="H353" s="28" t="n">
        <x:v>0</x:v>
      </x:c>
      <x:c r="I353" s="28" t="n">
        <x:v>0</x:v>
      </x:c>
      <x:c r="J353" s="28" t="n">
        <x:v>1</x:v>
      </x:c>
      <x:c r="K353" s="28" t="n">
        <x:f>SUM(E353:J353)</x:f>
        <x:v>1</x:v>
      </x:c>
      <x:c r="L353" s="205" t="n">
        <x:f>IFERROR(K353/D353,0)</x:f>
        <x:v>0.057537399309551214</x:v>
      </x:c>
      <x:c r="M353" s="160" t="str">
        <x:v>Presence-floor proxy only — 10k+ municipality completion</x:v>
      </x:c>
      <x:c r="N353" s="160" t="str">
        <x:v>Added under the &gt;=50k-county expansion rule: Census Vintage 2025 municipality population &gt;=10,000; general-purpose city-equivalent municipality; direct Census adjacency. Presence-floor proxy only — exact tracked-chain count requires municipal-boundary/GIS verification. Bridgeport Charter Township is below the threshold at V2025 population 9,874. Downtown Saginaw / county farmers-market evidence supports county selection.</x:v>
      </x:c>
      <x:c r="O353" s="160" t="str">
        <x:v>Saginaw County</x:v>
      </x:c>
    </x:row>
    <x:row r="354">
      <x:c r="A354" s="28" t="n">
        <x:v>361</x:v>
      </x:c>
      <x:c r="B354" s="28" t="str">
        <x:v>Hartford</x:v>
      </x:c>
      <x:c r="C354" s="28" t="str">
        <x:v>CT</x:v>
      </x:c>
      <x:c r="D354" s="204" t="n">
        <x:v>17.4</x:v>
      </x:c>
      <x:c r="E354" s="28" t="n">
        <x:v>0</x:v>
      </x:c>
      <x:c r="F354" s="28" t="n">
        <x:v>0</x:v>
      </x:c>
      <x:c r="G354" s="28" t="n">
        <x:v>0</x:v>
      </x:c>
      <x:c r="H354" s="28" t="n">
        <x:v>0</x:v>
      </x:c>
      <x:c r="I354" s="28" t="n">
        <x:v>0</x:v>
      </x:c>
      <x:c r="J354" s="28" t="n">
        <x:v>1</x:v>
      </x:c>
      <x:c r="K354" s="28" t="n">
        <x:f>SUM(E354:J354)</x:f>
        <x:v>1</x:v>
      </x:c>
      <x:c r="L354" s="205" t="n">
        <x:f>IFERROR(K354/D354,0)</x:f>
        <x:v>0.0574712643678161</x:v>
      </x:c>
      <x:c r="M354" s="160" t="str">
        <x:v>Presence-floor proxy only — 250-city expansion</x:v>
      </x:c>
      <x:c r="N354" s="160" t="str">
        <x:v>Added in the 250-city screening expansion. One-store screening floor only; exact selected-chain count and 5-mile buffer require GIS verification.</x:v>
      </x:c>
      <x:c r="O354" s="160" t="str">
        <x:v>Hartford County</x:v>
      </x:c>
    </x:row>
    <x:row r="355">
      <x:c r="A355" s="28" t="n">
        <x:v>362</x:v>
      </x:c>
      <x:c r="B355" s="28" t="str">
        <x:v>Allentown</x:v>
      </x:c>
      <x:c r="C355" s="28" t="str">
        <x:v>PA</x:v>
      </x:c>
      <x:c r="D355" s="204" t="n">
        <x:v>17.6</x:v>
      </x:c>
      <x:c r="E355" s="28" t="n">
        <x:v>0</x:v>
      </x:c>
      <x:c r="F355" s="28" t="n">
        <x:v>0</x:v>
      </x:c>
      <x:c r="G355" s="28" t="n">
        <x:v>0</x:v>
      </x:c>
      <x:c r="H355" s="28" t="n">
        <x:v>0</x:v>
      </x:c>
      <x:c r="I355" s="28" t="n">
        <x:v>0</x:v>
      </x:c>
      <x:c r="J355" s="28" t="n">
        <x:v>1</x:v>
      </x:c>
      <x:c r="K355" s="28" t="n">
        <x:f>SUM(E355:J355)</x:f>
        <x:v>1</x:v>
      </x:c>
      <x:c r="L355" s="205" t="n">
        <x:f>IFERROR(K355/D355,0)</x:f>
        <x:v>0.056818181818181816</x:v>
      </x:c>
      <x:c r="M355" s="160" t="str">
        <x:v>Presence-floor proxy only — 250-city expansion</x:v>
      </x:c>
      <x:c r="N355" s="160" t="str">
        <x:v>Added in the 250-city screening expansion. One-store screening floor only; exact selected-chain count and 5-mile buffer require GIS verification.</x:v>
      </x:c>
      <x:c r="O355" s="160" t="str">
        <x:v>Lehigh County</x:v>
      </x:c>
    </x:row>
    <x:row r="356">
      <x:c r="A356" s="28" t="n">
        <x:v>363</x:v>
      </x:c>
      <x:c r="B356" s="28" t="str">
        <x:v>Mission Viejo</x:v>
      </x:c>
      <x:c r="C356" s="28" t="str">
        <x:v>CA</x:v>
      </x:c>
      <x:c r="D356" s="204" t="n">
        <x:v>17.66</x:v>
      </x:c>
      <x:c r="E356" s="28" t="n">
        <x:v>0</x:v>
      </x:c>
      <x:c r="F356" s="28" t="n">
        <x:v>0</x:v>
      </x:c>
      <x:c r="G356" s="28" t="n">
        <x:v>0</x:v>
      </x:c>
      <x:c r="H356" s="28" t="n">
        <x:v>0</x:v>
      </x:c>
      <x:c r="I356" s="28" t="n">
        <x:v>0</x:v>
      </x:c>
      <x:c r="J356" s="28" t="n">
        <x:v>1</x:v>
      </x:c>
      <x:c r="K356" s="28" t="n">
        <x:f>SUM(E356:J356)</x:f>
        <x:v>1</x:v>
      </x:c>
      <x:c r="L356" s="205" t="n">
        <x:f>IFERROR(K356/D356,0)</x:f>
        <x:v>0.056625141562853906</x:v>
      </x:c>
      <x:c r="M356" s="160" t="str">
        <x:v>Presence-floor proxy only — 50k+ county completion</x:v>
      </x:c>
      <x:c r="N356"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56" s="160" t="str">
        <x:v>Orange County</x:v>
      </x:c>
    </x:row>
    <x:row r="357">
      <x:c r="A357" s="28" t="n">
        <x:v>364</x:v>
      </x:c>
      <x:c r="B357" s="28" t="str">
        <x:v>South Hadley Town</x:v>
      </x:c>
      <x:c r="C357" s="28" t="str">
        <x:v>MA</x:v>
      </x:c>
      <x:c r="D357" s="204" t="n">
        <x:v>17.713</x:v>
      </x:c>
      <x:c r="E357" s="28" t="n">
        <x:v>0</x:v>
      </x:c>
      <x:c r="F357" s="28" t="n">
        <x:v>0</x:v>
      </x:c>
      <x:c r="G357" s="28" t="n">
        <x:v>0</x:v>
      </x:c>
      <x:c r="H357" s="28" t="n">
        <x:v>0</x:v>
      </x:c>
      <x:c r="I357" s="28" t="n">
        <x:v>0</x:v>
      </x:c>
      <x:c r="J357" s="28" t="n">
        <x:v>1</x:v>
      </x:c>
      <x:c r="K357" s="28" t="n">
        <x:f>SUM(E357:J357)</x:f>
        <x:v>1</x:v>
      </x:c>
      <x:c r="L357" s="205" t="n">
        <x:f>IFERROR(K357/D357,0)</x:f>
        <x:v>0.05645571049511658</x:v>
      </x:c>
      <x:c r="M357" s="160" t="str">
        <x:v>Presence-floor proxy only — 10k+ municipality completion</x:v>
      </x:c>
      <x:c r="N357"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357" s="160" t="str">
        <x:v>Hampshire County</x:v>
      </x:c>
    </x:row>
    <x:row r="358">
      <x:c r="A358" s="28" t="n">
        <x:v>365</x:v>
      </x:c>
      <x:c r="B358" s="28" t="str">
        <x:v>Genoa Township</x:v>
      </x:c>
      <x:c r="C358" s="28" t="str">
        <x:v>OH</x:v>
      </x:c>
      <x:c r="D358" s="204" t="n">
        <x:v>17.717</x:v>
      </x:c>
      <x:c r="E358" s="28" t="n">
        <x:v>0</x:v>
      </x:c>
      <x:c r="F358" s="28" t="n">
        <x:v>0</x:v>
      </x:c>
      <x:c r="G358" s="28" t="n">
        <x:v>0</x:v>
      </x:c>
      <x:c r="H358" s="28" t="n">
        <x:v>0</x:v>
      </x:c>
      <x:c r="I358" s="28" t="n">
        <x:v>0</x:v>
      </x:c>
      <x:c r="J358" s="28" t="n">
        <x:v>1</x:v>
      </x:c>
      <x:c r="K358" s="28" t="n">
        <x:f>SUM(E358:J358)</x:f>
        <x:v>1</x:v>
      </x:c>
      <x:c r="L358" s="205" t="n">
        <x:f>IFERROR(K358/D358,0)</x:f>
        <x:v>0.05644296438448948</x:v>
      </x:c>
      <x:c r="M358" s="160" t="str">
        <x:v>Presence-floor proxy only — 10k+ municipality completion</x:v>
      </x:c>
      <x:c r="N358" s="160" t="str">
        <x:v>Added under the &gt;=50k-county expansion rule: Census Vintage 2025 municipality population &gt;=10,000; general-purpose city-equivalent municipality; direct Census adjacency. Presence-floor proxy only — exact tracked-chain count requires municipal-boundary/GIS verification.</x:v>
      </x:c>
      <x:c r="O358" s="160" t="str">
        <x:v>Delaware County</x:v>
      </x:c>
    </x:row>
    <x:row r="359">
      <x:c r="A359" s="28" t="n">
        <x:v>367</x:v>
      </x:c>
      <x:c r="B359" s="28" t="str">
        <x:v>Upper Providence Township</x:v>
      </x:c>
      <x:c r="C359" s="28" t="str">
        <x:v>PA</x:v>
      </x:c>
      <x:c r="D359" s="204" t="n">
        <x:v>17.809</x:v>
      </x:c>
      <x:c r="E359" s="28" t="n">
        <x:v>0</x:v>
      </x:c>
      <x:c r="F359" s="28" t="n">
        <x:v>0</x:v>
      </x:c>
      <x:c r="G359" s="28" t="n">
        <x:v>0</x:v>
      </x:c>
      <x:c r="H359" s="28" t="n">
        <x:v>0</x:v>
      </x:c>
      <x:c r="I359" s="28" t="n">
        <x:v>0</x:v>
      </x:c>
      <x:c r="J359" s="28" t="n">
        <x:v>1</x:v>
      </x:c>
      <x:c r="K359" s="28" t="n">
        <x:f>SUM(E359:J359)</x:f>
        <x:v>1</x:v>
      </x:c>
      <x:c r="L359" s="205" t="n">
        <x:f>IFERROR(K359/D359,0)</x:f>
        <x:v>0.05615138413161884</x:v>
      </x:c>
      <x:c r="M359" s="160" t="str">
        <x:v>Presence-floor proxy only — 10k+ municipality completion</x:v>
      </x:c>
      <x:c r="N35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59" s="160" t="str">
        <x:v>Montgomery County</x:v>
      </x:c>
    </x:row>
    <x:row r="360">
      <x:c r="A360" s="28" t="n">
        <x:v>368</x:v>
      </x:c>
      <x:c r="B360" s="28" t="str">
        <x:v>Kittery town</x:v>
      </x:c>
      <x:c r="C360" s="28" t="str">
        <x:v>ME</x:v>
      </x:c>
      <x:c r="D360" s="204" t="n">
        <x:v>17.817</x:v>
      </x:c>
      <x:c r="E360" s="28" t="n">
        <x:v>0</x:v>
      </x:c>
      <x:c r="F360" s="28" t="n">
        <x:v>0</x:v>
      </x:c>
      <x:c r="G360" s="28" t="n">
        <x:v>0</x:v>
      </x:c>
      <x:c r="H360" s="28" t="n">
        <x:v>0</x:v>
      </x:c>
      <x:c r="I360" s="28" t="n">
        <x:v>0</x:v>
      </x:c>
      <x:c r="J360" s="28" t="n">
        <x:v>1</x:v>
      </x:c>
      <x:c r="K360" s="28" t="n">
        <x:f>SUM(E360:J360)</x:f>
        <x:v>1</x:v>
      </x:c>
      <x:c r="L360" s="205" t="n">
        <x:f>IFERROR(K360/D360,0)</x:f>
        <x:v>0.05612617163383286</x:v>
      </x:c>
      <x:c r="M360" s="160" t="str">
        <x:v>Presence-floor proxy only — 10k+ municipality completion</x:v>
      </x:c>
      <x:c r="N360"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360" s="160" t="str">
        <x:v>York County</x:v>
      </x:c>
    </x:row>
    <x:row r="361">
      <x:c r="A361" s="28" t="n">
        <x:v>369</x:v>
      </x:c>
      <x:c r="B361" s="28" t="str">
        <x:v>Holmdel Township</x:v>
      </x:c>
      <x:c r="C361" s="28" t="str">
        <x:v>NJ</x:v>
      </x:c>
      <x:c r="D361" s="204" t="n">
        <x:v>17.847</x:v>
      </x:c>
      <x:c r="E361" s="28" t="n">
        <x:v>0</x:v>
      </x:c>
      <x:c r="F361" s="28" t="n">
        <x:v>0</x:v>
      </x:c>
      <x:c r="G361" s="28" t="n">
        <x:v>0</x:v>
      </x:c>
      <x:c r="H361" s="28" t="n">
        <x:v>0</x:v>
      </x:c>
      <x:c r="I361" s="28" t="n">
        <x:v>0</x:v>
      </x:c>
      <x:c r="J361" s="28" t="n">
        <x:v>1</x:v>
      </x:c>
      <x:c r="K361" s="28" t="n">
        <x:f>SUM(E361:J361)</x:f>
        <x:v>1</x:v>
      </x:c>
      <x:c r="L361" s="205" t="n">
        <x:f>IFERROR(K361/D361,0)</x:f>
        <x:v>0.056031826077211855</x:v>
      </x:c>
      <x:c r="M361" s="160" t="str">
        <x:v>Presence-floor proxy only — 10k+ municipality completion</x:v>
      </x:c>
      <x:c r="N36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61" s="160" t="str">
        <x:v>Monmouth County</x:v>
      </x:c>
    </x:row>
    <x:row r="362">
      <x:c r="A362" s="28" t="n">
        <x:v>370</x:v>
      </x:c>
      <x:c r="B362" s="28" t="str">
        <x:v>Lower Makefield Township</x:v>
      </x:c>
      <x:c r="C362" s="28" t="str">
        <x:v>PA</x:v>
      </x:c>
      <x:c r="D362" s="204" t="n">
        <x:v>17.872</x:v>
      </x:c>
      <x:c r="E362" s="28" t="n">
        <x:v>0</x:v>
      </x:c>
      <x:c r="F362" s="28" t="n">
        <x:v>0</x:v>
      </x:c>
      <x:c r="G362" s="28" t="n">
        <x:v>0</x:v>
      </x:c>
      <x:c r="H362" s="28" t="n">
        <x:v>0</x:v>
      </x:c>
      <x:c r="I362" s="28" t="n">
        <x:v>0</x:v>
      </x:c>
      <x:c r="J362" s="28" t="n">
        <x:v>1</x:v>
      </x:c>
      <x:c r="K362" s="28" t="n">
        <x:f>SUM(E362:J362)</x:f>
        <x:v>1</x:v>
      </x:c>
      <x:c r="L362" s="205" t="n">
        <x:f>IFERROR(K362/D362,0)</x:f>
        <x:v>0.05595344673231871</x:v>
      </x:c>
      <x:c r="M362" s="160" t="str">
        <x:v>Presence-floor proxy only — 10k+ municipality completion</x:v>
      </x:c>
      <x:c r="N36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62" s="160" t="str">
        <x:v>Bucks County</x:v>
      </x:c>
    </x:row>
    <x:row r="363">
      <x:c r="A363" s="28" t="n">
        <x:v>372</x:v>
      </x:c>
      <x:c r="B363" s="28" t="str">
        <x:v>Garden Grove</x:v>
      </x:c>
      <x:c r="C363" s="28" t="str">
        <x:v>CA</x:v>
      </x:c>
      <x:c r="D363" s="204" t="n">
        <x:v>18</x:v>
      </x:c>
      <x:c r="E363" s="28" t="n">
        <x:v>0</x:v>
      </x:c>
      <x:c r="F363" s="28" t="n">
        <x:v>0</x:v>
      </x:c>
      <x:c r="G363" s="28" t="n">
        <x:v>0</x:v>
      </x:c>
      <x:c r="H363" s="28" t="n">
        <x:v>0</x:v>
      </x:c>
      <x:c r="I363" s="28" t="n">
        <x:v>0</x:v>
      </x:c>
      <x:c r="J363" s="28" t="n">
        <x:v>1</x:v>
      </x:c>
      <x:c r="K363" s="28" t="n">
        <x:f>SUM(E363:J363)</x:f>
        <x:v>1</x:v>
      </x:c>
      <x:c r="L363" s="205" t="n">
        <x:f>IFERROR(K363/D363,0)</x:f>
        <x:v>0.05555555555555555</x:v>
      </x:c>
      <x:c r="M363" s="160" t="str">
        <x:v>Presence-floor proxy only — 200-city expansion</x:v>
      </x:c>
      <x:c r="N363" s="160" t="str">
        <x:v>Added in the 200-city screening expansion. One-store screening floor only; exact selected-chain count and 5-mile buffer require GIS verification.</x:v>
      </x:c>
      <x:c r="O363" s="160" t="str">
        <x:v>Orange County</x:v>
      </x:c>
    </x:row>
    <x:row r="364">
      <x:c r="A364" s="28" t="n">
        <x:v>373</x:v>
      </x:c>
      <x:c r="B364" s="28" t="str">
        <x:v>Yonkers</x:v>
      </x:c>
      <x:c r="C364" s="28" t="str">
        <x:v>NY</x:v>
      </x:c>
      <x:c r="D364" s="204" t="n">
        <x:v>18</x:v>
      </x:c>
      <x:c r="E364" s="28" t="n">
        <x:v>0</x:v>
      </x:c>
      <x:c r="F364" s="28" t="n">
        <x:v>0</x:v>
      </x:c>
      <x:c r="G364" s="28" t="n">
        <x:v>0</x:v>
      </x:c>
      <x:c r="H364" s="28" t="n">
        <x:v>0</x:v>
      </x:c>
      <x:c r="I364" s="28" t="n">
        <x:v>0</x:v>
      </x:c>
      <x:c r="J364" s="28" t="n">
        <x:v>1</x:v>
      </x:c>
      <x:c r="K364" s="28" t="n">
        <x:f>SUM(E364:J364)</x:f>
        <x:v>1</x:v>
      </x:c>
      <x:c r="L364" s="205" t="n">
        <x:f>IFERROR(K364/D364,0)</x:f>
        <x:v>0.05555555555555555</x:v>
      </x:c>
      <x:c r="M364" s="160" t="str">
        <x:v>Presence-floor proxy only — 200-city expansion</x:v>
      </x:c>
      <x:c r="N364" s="160" t="str">
        <x:v>Added in the 200-city screening expansion. One-store screening floor only; exact selected-chain count and 5-mile buffer require GIS verification.</x:v>
      </x:c>
      <x:c r="O364" s="160" t="str">
        <x:v>Westchester County</x:v>
      </x:c>
    </x:row>
    <x:row r="365">
      <x:c r="A365" s="28" t="n">
        <x:v>374</x:v>
      </x:c>
      <x:c r="B365" s="28" t="str">
        <x:v>Sunrise</x:v>
      </x:c>
      <x:c r="C365" s="28" t="str">
        <x:v>FL</x:v>
      </x:c>
      <x:c r="D365" s="204" t="n">
        <x:v>18.01</x:v>
      </x:c>
      <x:c r="E365" s="28" t="n">
        <x:v>0</x:v>
      </x:c>
      <x:c r="F365" s="28" t="n">
        <x:v>0</x:v>
      </x:c>
      <x:c r="G365" s="28" t="n">
        <x:v>0</x:v>
      </x:c>
      <x:c r="H365" s="28" t="n">
        <x:v>0</x:v>
      </x:c>
      <x:c r="I365" s="28" t="n">
        <x:v>0</x:v>
      </x:c>
      <x:c r="J365" s="28" t="n">
        <x:v>1</x:v>
      </x:c>
      <x:c r="K365" s="28" t="n">
        <x:f>SUM(E365:J365)</x:f>
        <x:v>1</x:v>
      </x:c>
      <x:c r="L365" s="205" t="n">
        <x:f>IFERROR(K365/D365,0)</x:f>
        <x:v>0.05552470849528039</x:v>
      </x:c>
      <x:c r="M365" s="160" t="str">
        <x:v>Presence-floor proxy only — 50k+ county completion</x:v>
      </x:c>
      <x:c r="N365"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65" s="160" t="str">
        <x:v>Broward County</x:v>
      </x:c>
    </x:row>
    <x:row r="366">
      <x:c r="A366" s="28" t="n">
        <x:v>375</x:v>
      </x:c>
      <x:c r="B366" s="28" t="str">
        <x:v>Howland Township</x:v>
      </x:c>
      <x:c r="C366" s="28" t="str">
        <x:v>OH</x:v>
      </x:c>
      <x:c r="D366" s="204" t="n">
        <x:v>18.04</x:v>
      </x:c>
      <x:c r="E366" s="28" t="n">
        <x:v>0</x:v>
      </x:c>
      <x:c r="F366" s="28" t="n">
        <x:v>0</x:v>
      </x:c>
      <x:c r="G366" s="28" t="n">
        <x:v>0</x:v>
      </x:c>
      <x:c r="H366" s="28" t="n">
        <x:v>0</x:v>
      </x:c>
      <x:c r="I366" s="28" t="n">
        <x:v>0</x:v>
      </x:c>
      <x:c r="J366" s="28" t="n">
        <x:v>1</x:v>
      </x:c>
      <x:c r="K366" s="28" t="n">
        <x:f>SUM(E366:J366)</x:f>
        <x:v>1</x:v>
      </x:c>
      <x:c r="L366" s="205" t="n">
        <x:f>IFERROR(K366/D366,0)</x:f>
        <x:v>0.05543237250554324</x:v>
      </x:c>
      <x:c r="M366" s="160" t="str">
        <x:v>Presence-floor proxy only — 10k+ municipality completion</x:v>
      </x:c>
      <x:c r="N366" s="160" t="str">
        <x:v>Added under the &gt;=50k-county expansion rule: Census Vintage 2025 municipality population &gt;=10,000; general-purpose city-equivalent municipality; direct Census adjacency. Presence-floor proxy only — exact tracked-chain count requires municipal-boundary/GIS verification. Liberty Township is subject to the workbook's established City+State collision rule; county specialty-grocery evidence is retained separately from municipal chain counts.</x:v>
      </x:c>
      <x:c r="O366" s="160" t="str">
        <x:v>Trumbull County</x:v>
      </x:c>
    </x:row>
    <x:row r="367">
      <x:c r="A367" s="28" t="n">
        <x:v>376</x:v>
      </x:c>
      <x:c r="B367" s="28" t="str">
        <x:v>Kinnelon Borough</x:v>
      </x:c>
      <x:c r="C367" s="28" t="str">
        <x:v>NJ</x:v>
      </x:c>
      <x:c r="D367" s="204" t="n">
        <x:v>18.043</x:v>
      </x:c>
      <x:c r="E367" s="28" t="n">
        <x:v>0</x:v>
      </x:c>
      <x:c r="F367" s="28" t="n">
        <x:v>0</x:v>
      </x:c>
      <x:c r="G367" s="28" t="n">
        <x:v>0</x:v>
      </x:c>
      <x:c r="H367" s="28" t="n">
        <x:v>0</x:v>
      </x:c>
      <x:c r="I367" s="28" t="n">
        <x:v>0</x:v>
      </x:c>
      <x:c r="J367" s="28" t="n">
        <x:v>1</x:v>
      </x:c>
      <x:c r="K367" s="28" t="n">
        <x:f>SUM(E367:J367)</x:f>
        <x:v>1</x:v>
      </x:c>
      <x:c r="L367" s="205" t="n">
        <x:f>IFERROR(K367/D367,0)</x:f>
        <x:v>0.05542315579449094</x:v>
      </x:c>
      <x:c r="M367" s="160" t="str">
        <x:v>Presence-floor proxy only — 10k+ municipality completion</x:v>
      </x:c>
      <x:c r="N36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67" s="160" t="str">
        <x:v>Morris County</x:v>
      </x:c>
    </x:row>
    <x:row r="368">
      <x:c r="A368" s="28" t="n">
        <x:v>377</x:v>
      </x:c>
      <x:c r="B368" s="28" t="str">
        <x:v>Willistown Township</x:v>
      </x:c>
      <x:c r="C368" s="28" t="str">
        <x:v>PA</x:v>
      </x:c>
      <x:c r="D368" s="204" t="n">
        <x:v>18.11</x:v>
      </x:c>
      <x:c r="E368" s="28" t="n">
        <x:v>0</x:v>
      </x:c>
      <x:c r="F368" s="28" t="n">
        <x:v>0</x:v>
      </x:c>
      <x:c r="G368" s="28" t="n">
        <x:v>0</x:v>
      </x:c>
      <x:c r="H368" s="28" t="n">
        <x:v>0</x:v>
      </x:c>
      <x:c r="I368" s="28" t="n">
        <x:v>0</x:v>
      </x:c>
      <x:c r="J368" s="28" t="n">
        <x:v>1</x:v>
      </x:c>
      <x:c r="K368" s="28" t="n">
        <x:f>SUM(E368:J368)</x:f>
        <x:v>1</x:v>
      </x:c>
      <x:c r="L368" s="205" t="n">
        <x:f>IFERROR(K368/D368,0)</x:f>
        <x:v>0.05521811154058531</x:v>
      </x:c>
      <x:c r="M368" s="160" t="str">
        <x:v>Presence-floor proxy only — 10k+ municipality completion</x:v>
      </x:c>
      <x:c r="N368" s="160" t="str">
        <x:v>Added under the 10k+ city-equivalent municipality rule: Census Vintage 2025 population &gt;=10,000; county population &gt;=500,000. Presence-floor proxy only — exact tracked-chain count requires municipal-boundary/GIS verification.</x:v>
      </x:c>
      <x:c r="O368" s="160" t="str">
        <x:v>Chester County</x:v>
      </x:c>
    </x:row>
    <x:row r="369">
      <x:c r="A369" s="28" t="n">
        <x:v>378</x:v>
      </x:c>
      <x:c r="B369" s="28" t="str">
        <x:v>Miami Gardens</x:v>
      </x:c>
      <x:c r="C369" s="28" t="str">
        <x:v>FL</x:v>
      </x:c>
      <x:c r="D369" s="204" t="n">
        <x:v>18.2</x:v>
      </x:c>
      <x:c r="E369" s="28" t="n">
        <x:v>0</x:v>
      </x:c>
      <x:c r="F369" s="28" t="n">
        <x:v>0</x:v>
      </x:c>
      <x:c r="G369" s="28" t="n">
        <x:v>0</x:v>
      </x:c>
      <x:c r="H369" s="28" t="n">
        <x:v>0</x:v>
      </x:c>
      <x:c r="I369" s="28" t="n">
        <x:v>0</x:v>
      </x:c>
      <x:c r="J369" s="28" t="n">
        <x:v>1</x:v>
      </x:c>
      <x:c r="K369" s="28" t="n">
        <x:f>SUM(E369:J369)</x:f>
        <x:v>1</x:v>
      </x:c>
      <x:c r="L369" s="205" t="n">
        <x:f>IFERROR(K369/D369,0)</x:f>
        <x:v>0.054945054945054944</x:v>
      </x:c>
      <x:c r="M369" s="160" t="str">
        <x:v>Presence-floor proxy only — 300-city expansion</x:v>
      </x:c>
      <x:c r="N369" s="160" t="str">
        <x:v>Added in the 300-city screening expansion. One-store screening floor only; exact selected-chain count and 5-mile buffer require GIS verification.</x:v>
      </x:c>
      <x:c r="O369" s="160" t="str">
        <x:v>Miami-Dade County</x:v>
      </x:c>
    </x:row>
    <x:row r="370">
      <x:c r="A370" s="28" t="n">
        <x:v>379</x:v>
      </x:c>
      <x:c r="B370" s="28" t="str">
        <x:v>Lancaster City</x:v>
      </x:c>
      <x:c r="C370" s="28" t="str">
        <x:v>OH</x:v>
      </x:c>
      <x:c r="D370" s="204" t="n">
        <x:v>18.208</x:v>
      </x:c>
      <x:c r="E370" s="28" t="n">
        <x:v>0</x:v>
      </x:c>
      <x:c r="F370" s="28" t="n">
        <x:v>0</x:v>
      </x:c>
      <x:c r="G370" s="28" t="n">
        <x:v>0</x:v>
      </x:c>
      <x:c r="H370" s="28" t="n">
        <x:v>0</x:v>
      </x:c>
      <x:c r="I370" s="28" t="n">
        <x:v>0</x:v>
      </x:c>
      <x:c r="J370" s="28" t="n">
        <x:v>1</x:v>
      </x:c>
      <x:c r="K370" s="28" t="n">
        <x:f>SUM(E370:J370)</x:f>
        <x:v>1</x:v>
      </x:c>
      <x:c r="L370" s="205" t="n">
        <x:f>IFERROR(K370/D370,0)</x:f>
        <x:v>0.054920913884007036</x:v>
      </x:c>
      <x:c r="M370" s="160" t="str">
        <x:v>Presence-floor proxy only — 10k+ municipality completion</x:v>
      </x:c>
      <x:c r="N370" s="160" t="str">
        <x:v>Added under the &gt;=50k-county expansion rule: Census Vintage 2025 municipality population &gt;=10,000; general-purpose city-equivalent municipality; direct Census adjacency. Presence-floor proxy only — exact tracked-chain count requires municipal-boundary/GIS verification. Pickerington spans Fairfield and Franklin counties and is canonically assigned to Fairfield County for this expansion; full Census place land area is used.</x:v>
      </x:c>
      <x:c r="O370" s="160" t="str">
        <x:v>Fairfield County</x:v>
      </x:c>
    </x:row>
    <x:row r="371">
      <x:c r="A371" s="28" t="n">
        <x:v>380</x:v>
      </x:c>
      <x:c r="B371" s="28" t="str">
        <x:v>Santa Clara</x:v>
      </x:c>
      <x:c r="C371" s="28" t="str">
        <x:v>CA</x:v>
      </x:c>
      <x:c r="D371" s="204" t="n">
        <x:v>18.3</x:v>
      </x:c>
      <x:c r="E371" s="28" t="n">
        <x:v>0</x:v>
      </x:c>
      <x:c r="F371" s="28" t="n">
        <x:v>0</x:v>
      </x:c>
      <x:c r="G371" s="28" t="n">
        <x:v>0</x:v>
      </x:c>
      <x:c r="H371" s="28" t="n">
        <x:v>0</x:v>
      </x:c>
      <x:c r="I371" s="28" t="n">
        <x:v>0</x:v>
      </x:c>
      <x:c r="J371" s="28" t="n">
        <x:v>1</x:v>
      </x:c>
      <x:c r="K371" s="28" t="n">
        <x:f>SUM(E371:J371)</x:f>
        <x:v>1</x:v>
      </x:c>
      <x:c r="L371" s="205" t="n">
        <x:f>IFERROR(K371/D371,0)</x:f>
        <x:v>0.0546448087431694</x:v>
      </x:c>
      <x:c r="M371" s="160" t="str">
        <x:v>Presence-floor proxy only — 250-city expansion</x:v>
      </x:c>
      <x:c r="N371" s="160" t="str">
        <x:v>Added in the 250-city screening expansion. One-store screening floor only; exact selected-chain count and 5-mile buffer require GIS verification.</x:v>
      </x:c>
      <x:c r="O371" s="160" t="str">
        <x:v>Santa Clara County</x:v>
      </x:c>
    </x:row>
    <x:row r="372">
      <x:c r="A372" s="28" t="n">
        <x:v>382</x:v>
      </x:c>
      <x:c r="B372" s="28" t="str">
        <x:v>San Clemente</x:v>
      </x:c>
      <x:c r="C372" s="28" t="str">
        <x:v>CA</x:v>
      </x:c>
      <x:c r="D372" s="204" t="n">
        <x:v>18.36</x:v>
      </x:c>
      <x:c r="E372" s="28" t="n">
        <x:v>0</x:v>
      </x:c>
      <x:c r="F372" s="28" t="n">
        <x:v>0</x:v>
      </x:c>
      <x:c r="G372" s="28" t="n">
        <x:v>0</x:v>
      </x:c>
      <x:c r="H372" s="28" t="n">
        <x:v>0</x:v>
      </x:c>
      <x:c r="I372" s="28" t="n">
        <x:v>0</x:v>
      </x:c>
      <x:c r="J372" s="28" t="n">
        <x:v>1</x:v>
      </x:c>
      <x:c r="K372" s="28" t="n">
        <x:f>SUM(E372:J372)</x:f>
        <x:v>1</x:v>
      </x:c>
      <x:c r="L372" s="205" t="n">
        <x:f>IFERROR(K372/D372,0)</x:f>
        <x:v>0.054466230936819175</x:v>
      </x:c>
      <x:c r="M372" s="160" t="str">
        <x:v>Presence-floor proxy only — 50k+ county completion</x:v>
      </x:c>
      <x:c r="N372"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72" s="160" t="str">
        <x:v>Orange County</x:v>
      </x:c>
    </x:row>
    <x:row r="373">
      <x:c r="A373" s="28" t="n">
        <x:v>383</x:v>
      </x:c>
      <x:c r="B373" s="28" t="str">
        <x:v>Providence</x:v>
      </x:c>
      <x:c r="C373" s="28" t="str">
        <x:v>RI</x:v>
      </x:c>
      <x:c r="D373" s="204" t="n">
        <x:v>18.4</x:v>
      </x:c>
      <x:c r="E373" s="28" t="n">
        <x:v>0</x:v>
      </x:c>
      <x:c r="F373" s="28" t="n">
        <x:v>0</x:v>
      </x:c>
      <x:c r="G373" s="28" t="n">
        <x:v>0</x:v>
      </x:c>
      <x:c r="H373" s="28" t="n">
        <x:v>0</x:v>
      </x:c>
      <x:c r="I373" s="28" t="n">
        <x:v>0</x:v>
      </x:c>
      <x:c r="J373" s="28" t="n">
        <x:v>1</x:v>
      </x:c>
      <x:c r="K373" s="28" t="n">
        <x:f>SUM(E373:J373)</x:f>
        <x:v>1</x:v>
      </x:c>
      <x:c r="L373" s="205" t="n">
        <x:f>IFERROR(K373/D373,0)</x:f>
        <x:v>0.05434782608695653</x:v>
      </x:c>
      <x:c r="M373" s="160" t="str">
        <x:v>Presence-floor proxy only — 200-city expansion</x:v>
      </x:c>
      <x:c r="N373" s="160" t="str">
        <x:v>Added in the 200-city screening expansion. One-store screening floor only; exact selected-chain count and 5-mile buffer require GIS verification.</x:v>
      </x:c>
      <x:c r="O373" s="160" t="str">
        <x:v>Providence County</x:v>
      </x:c>
    </x:row>
    <x:row r="374">
      <x:c r="A374" s="28" t="n">
        <x:v>384</x:v>
      </x:c>
      <x:c r="B374" s="28" t="str">
        <x:v>West Bradford Township</x:v>
      </x:c>
      <x:c r="C374" s="28" t="str">
        <x:v>PA</x:v>
      </x:c>
      <x:c r="D374" s="204" t="n">
        <x:v>18.499</x:v>
      </x:c>
      <x:c r="E374" s="28" t="n">
        <x:v>0</x:v>
      </x:c>
      <x:c r="F374" s="28" t="n">
        <x:v>0</x:v>
      </x:c>
      <x:c r="G374" s="28" t="n">
        <x:v>0</x:v>
      </x:c>
      <x:c r="H374" s="28" t="n">
        <x:v>0</x:v>
      </x:c>
      <x:c r="I374" s="28" t="n">
        <x:v>0</x:v>
      </x:c>
      <x:c r="J374" s="28" t="n">
        <x:v>1</x:v>
      </x:c>
      <x:c r="K374" s="28" t="n">
        <x:f>SUM(E374:J374)</x:f>
        <x:v>1</x:v>
      </x:c>
      <x:c r="L374" s="205" t="n">
        <x:f>IFERROR(K374/D374,0)</x:f>
        <x:v>0.05405697605275961</x:v>
      </x:c>
      <x:c r="M374" s="160" t="str">
        <x:v>Presence-floor proxy only — 10k+ municipality completion</x:v>
      </x:c>
      <x:c r="N374" s="160" t="str">
        <x:v>Added under the 10k+ city-equivalent municipality rule: Census Vintage 2025 population &gt;=10,000; county population &gt;=500,000. Presence-floor proxy only — exact tracked-chain count requires municipal-boundary/GIS verification.</x:v>
      </x:c>
      <x:c r="O374" s="160" t="str">
        <x:v>Chester County</x:v>
      </x:c>
    </x:row>
    <x:row r="375">
      <x:c r="A375" s="28" t="n">
        <x:v>385</x:v>
      </x:c>
      <x:c r="B375" s="28" t="str">
        <x:v>Monroe Town</x:v>
      </x:c>
      <x:c r="C375" s="28" t="str">
        <x:v>NY</x:v>
      </x:c>
      <x:c r="D375" s="204" t="n">
        <x:v>18.545</x:v>
      </x:c>
      <x:c r="E375" s="28" t="n">
        <x:v>0</x:v>
      </x:c>
      <x:c r="F375" s="28" t="n">
        <x:v>0</x:v>
      </x:c>
      <x:c r="G375" s="28" t="n">
        <x:v>0</x:v>
      </x:c>
      <x:c r="H375" s="28" t="n">
        <x:v>0</x:v>
      </x:c>
      <x:c r="I375" s="28" t="n">
        <x:v>0</x:v>
      </x:c>
      <x:c r="J375" s="28" t="n">
        <x:v>1</x:v>
      </x:c>
      <x:c r="K375" s="28" t="n">
        <x:f>SUM(E375:J375)</x:f>
        <x:v>1</x:v>
      </x:c>
      <x:c r="L375" s="205" t="n">
        <x:f>IFERROR(K375/D375,0)</x:f>
        <x:v>0.0539228902669183</x:v>
      </x:c>
      <x:c r="M375" s="160" t="str">
        <x:v>Presence-floor proxy only — 10k+ municipality completion</x:v>
      </x:c>
      <x:c r="N375"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375" s="160" t="str">
        <x:v>Orange County</x:v>
      </x:c>
    </x:row>
    <x:row r="376">
      <x:c r="A376" s="28" t="n">
        <x:v>386</x:v>
      </x:c>
      <x:c r="B376" s="28" t="str">
        <x:v>Montville Township</x:v>
      </x:c>
      <x:c r="C376" s="28" t="str">
        <x:v>NJ</x:v>
      </x:c>
      <x:c r="D376" s="204" t="n">
        <x:v>18.622</x:v>
      </x:c>
      <x:c r="E376" s="28" t="n">
        <x:v>0</x:v>
      </x:c>
      <x:c r="F376" s="28" t="n">
        <x:v>0</x:v>
      </x:c>
      <x:c r="G376" s="28" t="n">
        <x:v>0</x:v>
      </x:c>
      <x:c r="H376" s="28" t="n">
        <x:v>0</x:v>
      </x:c>
      <x:c r="I376" s="28" t="n">
        <x:v>0</x:v>
      </x:c>
      <x:c r="J376" s="28" t="n">
        <x:v>1</x:v>
      </x:c>
      <x:c r="K376" s="28" t="n">
        <x:f>SUM(E376:J376)</x:f>
        <x:v>1</x:v>
      </x:c>
      <x:c r="L376" s="205" t="n">
        <x:f>IFERROR(K376/D376,0)</x:f>
        <x:v>0.05369992482010525</x:v>
      </x:c>
      <x:c r="M376" s="160" t="str">
        <x:v>Presence-floor proxy only — 10k+ municipality completion</x:v>
      </x:c>
      <x:c r="N37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76" s="160" t="str">
        <x:v>Morris County</x:v>
      </x:c>
    </x:row>
    <x:row r="377">
      <x:c r="A377" s="28" t="n">
        <x:v>387</x:v>
      </x:c>
      <x:c r="B377" s="28" t="str">
        <x:v>New Haven</x:v>
      </x:c>
      <x:c r="C377" s="28" t="str">
        <x:v>CT</x:v>
      </x:c>
      <x:c r="D377" s="204" t="n">
        <x:v>18.7</x:v>
      </x:c>
      <x:c r="E377" s="28" t="n">
        <x:v>0</x:v>
      </x:c>
      <x:c r="F377" s="28" t="n">
        <x:v>0</x:v>
      </x:c>
      <x:c r="G377" s="28" t="n">
        <x:v>0</x:v>
      </x:c>
      <x:c r="H377" s="28" t="n">
        <x:v>0</x:v>
      </x:c>
      <x:c r="I377" s="28" t="n">
        <x:v>0</x:v>
      </x:c>
      <x:c r="J377" s="28" t="n">
        <x:v>1</x:v>
      </x:c>
      <x:c r="K377" s="28" t="n">
        <x:f>SUM(E377:J377)</x:f>
        <x:v>1</x:v>
      </x:c>
      <x:c r="L377" s="205" t="n">
        <x:f>IFERROR(K377/D377,0)</x:f>
        <x:v>0.053475935828877004</x:v>
      </x:c>
      <x:c r="M377" s="160" t="str">
        <x:v>Presence-floor proxy only — 250-city expansion</x:v>
      </x:c>
      <x:c r="N377" s="160" t="str">
        <x:v>Added in the 250-city screening expansion. One-store screening floor only; exact selected-chain count and 5-mile buffer require GIS verification.</x:v>
      </x:c>
      <x:c r="O377" s="160" t="str">
        <x:v>New Haven County</x:v>
      </x:c>
    </x:row>
    <x:row r="378">
      <x:c r="A378" s="28" t="n">
        <x:v>388</x:v>
      </x:c>
      <x:c r="B378" s="28" t="str">
        <x:v>Carson</x:v>
      </x:c>
      <x:c r="C378" s="28" t="str">
        <x:v>CA</x:v>
      </x:c>
      <x:c r="D378" s="204" t="n">
        <x:v>18.731</x:v>
      </x:c>
      <x:c r="E378" s="28" t="n">
        <x:v>0</x:v>
      </x:c>
      <x:c r="F378" s="28" t="n">
        <x:v>0</x:v>
      </x:c>
      <x:c r="G378" s="28" t="n">
        <x:v>0</x:v>
      </x:c>
      <x:c r="H378" s="28" t="n">
        <x:v>0</x:v>
      </x:c>
      <x:c r="I378" s="28" t="n">
        <x:v>0</x:v>
      </x:c>
      <x:c r="J378" s="28" t="n">
        <x:v>1</x:v>
      </x:c>
      <x:c r="K378" s="28" t="n">
        <x:f>SUM(E378:J378)</x:f>
        <x:v>1</x:v>
      </x:c>
      <x:c r="L378" s="205" t="n">
        <x:f>IFERROR(K378/D378,0)</x:f>
        <x:v>0.05338743259836634</x:v>
      </x:c>
      <x:c r="M378" s="160" t="str">
        <x:v>Presence-floor proxy only — 50k+ county completion</x:v>
      </x:c>
      <x:c r="N378" s="160" t="str">
        <x:v>Added to complete ≥50,000-population incorporated-place coverage in a top-5 store-count county using Census Vintage 2025 eligibility. One-store screening floor only; exact selected-chain count and 5-mile buffer require GIS verification.</x:v>
      </x:c>
      <x:c r="O378" s="160" t="str">
        <x:v>Los Angeles County</x:v>
      </x:c>
    </x:row>
    <x:row r="379">
      <x:c r="A379" s="28" t="n">
        <x:v>389</x:v>
      </x:c>
      <x:c r="B379" s="28" t="str">
        <x:v>Middletown Township</x:v>
      </x:c>
      <x:c r="C379" s="28" t="str">
        <x:v>PA</x:v>
      </x:c>
      <x:c r="D379" s="204" t="n">
        <x:v>18.91</x:v>
      </x:c>
      <x:c r="E379" s="28" t="n">
        <x:v>0</x:v>
      </x:c>
      <x:c r="F379" s="28" t="n">
        <x:v>0</x:v>
      </x:c>
      <x:c r="G379" s="28" t="n">
        <x:v>0</x:v>
      </x:c>
      <x:c r="H379" s="28" t="n">
        <x:v>0</x:v>
      </x:c>
      <x:c r="I379" s="28" t="n">
        <x:v>0</x:v>
      </x:c>
      <x:c r="J379" s="28" t="n">
        <x:v>1</x:v>
      </x:c>
      <x:c r="K379" s="28" t="n">
        <x:f>SUM(E379:J379)</x:f>
        <x:v>1</x:v>
      </x:c>
      <x:c r="L379" s="205" t="n">
        <x:f>IFERROR(K379/D379,0)</x:f>
        <x:v>0.052882072977260705</x:v>
      </x:c>
      <x:c r="M379" s="160" t="str">
        <x:v>Presence-floor proxy only — 10k+ municipality completion</x:v>
      </x:c>
      <x:c r="N37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79" s="160" t="str">
        <x:v>Bucks County</x:v>
      </x:c>
    </x:row>
    <x:row r="380">
      <x:c r="A380" s="28" t="n">
        <x:v>390</x:v>
      </x:c>
      <x:c r="B380" s="28" t="str">
        <x:v>Harrison Township</x:v>
      </x:c>
      <x:c r="C380" s="28" t="str">
        <x:v>NJ</x:v>
      </x:c>
      <x:c r="D380" s="204" t="n">
        <x:v>18.932</x:v>
      </x:c>
      <x:c r="E380" s="28" t="n">
        <x:v>0</x:v>
      </x:c>
      <x:c r="F380" s="28" t="n">
        <x:v>0</x:v>
      </x:c>
      <x:c r="G380" s="28" t="n">
        <x:v>0</x:v>
      </x:c>
      <x:c r="H380" s="28" t="n">
        <x:v>0</x:v>
      </x:c>
      <x:c r="I380" s="28" t="n">
        <x:v>0</x:v>
      </x:c>
      <x:c r="J380" s="28" t="n">
        <x:v>1</x:v>
      </x:c>
      <x:c r="K380" s="28" t="n">
        <x:f>SUM(E380:J380)</x:f>
        <x:v>1</x:v>
      </x:c>
      <x:c r="L380" s="205" t="n">
        <x:f>IFERROR(K380/D380,0)</x:f>
        <x:v>0.05282062117050497</x:v>
      </x:c>
      <x:c r="M380" s="160" t="str">
        <x:v>Presence-floor proxy only — 10k+ municipality completion</x:v>
      </x:c>
      <x:c r="N38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380" s="160" t="str">
        <x:v>Gloucester County</x:v>
      </x:c>
    </x:row>
    <x:row r="381">
      <x:c r="A381" s="28" t="n">
        <x:v>391</x:v>
      </x:c>
      <x:c r="B381" s="28" t="str">
        <x:v>Hanover Township</x:v>
      </x:c>
      <x:c r="C381" s="28" t="str">
        <x:v>PA</x:v>
      </x:c>
      <x:c r="D381" s="204" t="n">
        <x:v>18.936</x:v>
      </x:c>
      <x:c r="E381" s="28" t="n">
        <x:v>0</x:v>
      </x:c>
      <x:c r="F381" s="28" t="n">
        <x:v>0</x:v>
      </x:c>
      <x:c r="G381" s="28" t="n">
        <x:v>0</x:v>
      </x:c>
      <x:c r="H381" s="28" t="n">
        <x:v>0</x:v>
      </x:c>
      <x:c r="I381" s="28" t="n">
        <x:v>0</x:v>
      </x:c>
      <x:c r="J381" s="28" t="n">
        <x:v>1</x:v>
      </x:c>
      <x:c r="K381" s="28" t="n">
        <x:f>SUM(E381:J381)</x:f>
        <x:v>1</x:v>
      </x:c>
      <x:c r="L381" s="205" t="n">
        <x:f>IFERROR(K381/D381,0)</x:f>
        <x:v>0.05280946345585129</x:v>
      </x:c>
      <x:c r="M381" s="160" t="str">
        <x:v>Presence-floor proxy only — 10k+ municipality completion</x:v>
      </x:c>
      <x:c r="N381"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381" s="160" t="str">
        <x:v>Luzerne County</x:v>
      </x:c>
    </x:row>
    <x:row r="382">
      <x:c r="A382" s="28" t="n">
        <x:v>392</x:v>
      </x:c>
      <x:c r="B382" s="28" t="str">
        <x:v>Vista</x:v>
      </x:c>
      <x:c r="C382" s="28" t="str">
        <x:v>CA</x:v>
      </x:c>
      <x:c r="D382" s="204" t="n">
        <x:v>18.971</x:v>
      </x:c>
      <x:c r="E382" s="28" t="n">
        <x:v>0</x:v>
      </x:c>
      <x:c r="F382" s="28" t="n">
        <x:v>0</x:v>
      </x:c>
      <x:c r="G382" s="28" t="n">
        <x:v>0</x:v>
      </x:c>
      <x:c r="H382" s="28" t="n">
        <x:v>0</x:v>
      </x:c>
      <x:c r="I382" s="28" t="n">
        <x:v>0</x:v>
      </x:c>
      <x:c r="J382" s="28" t="n">
        <x:v>1</x:v>
      </x:c>
      <x:c r="K382" s="28" t="n">
        <x:f>SUM(E382:J382)</x:f>
        <x:v>1</x:v>
      </x:c>
      <x:c r="L382" s="205" t="n">
        <x:f>IFERROR(K382/D382,0)</x:f>
        <x:v>0.052712034157398134</x:v>
      </x:c>
      <x:c r="M382" s="160" t="str">
        <x:v>Presence-floor proxy only — 50k+ county completion</x:v>
      </x:c>
      <x:c r="N382" s="160" t="str">
        <x:v>Added to complete ≥50,000-population incorporated-place coverage in a top-5 store-count county using Census Vintage 2025 eligibility. One-store screening floor only; exact selected-chain count and 5-mile buffer require GIS verification.</x:v>
      </x:c>
      <x:c r="O382" s="160" t="str">
        <x:v>San Diego County</x:v>
      </x:c>
    </x:row>
    <x:row r="383">
      <x:c r="A383" s="28" t="n">
        <x:v>393</x:v>
      </x:c>
      <x:c r="B383" s="28" t="str">
        <x:v>Encinitas</x:v>
      </x:c>
      <x:c r="C383" s="28" t="str">
        <x:v>CA</x:v>
      </x:c>
      <x:c r="D383" s="204" t="n">
        <x:v>19.056</x:v>
      </x:c>
      <x:c r="E383" s="28" t="n">
        <x:v>0</x:v>
      </x:c>
      <x:c r="F383" s="28" t="n">
        <x:v>0</x:v>
      </x:c>
      <x:c r="G383" s="28" t="n">
        <x:v>0</x:v>
      </x:c>
      <x:c r="H383" s="28" t="n">
        <x:v>0</x:v>
      </x:c>
      <x:c r="I383" s="28" t="n">
        <x:v>0</x:v>
      </x:c>
      <x:c r="J383" s="28" t="n">
        <x:v>1</x:v>
      </x:c>
      <x:c r="K383" s="28" t="n">
        <x:f>SUM(E383:J383)</x:f>
        <x:v>1</x:v>
      </x:c>
      <x:c r="L383" s="205" t="n">
        <x:f>IFERROR(K383/D383,0)</x:f>
        <x:v>0.05247691015952981</x:v>
      </x:c>
      <x:c r="M383" s="160" t="str">
        <x:v>Presence-floor proxy only — 50k+ county completion</x:v>
      </x:c>
      <x:c r="N383" s="160" t="str">
        <x:v>Added to complete ≥50,000-population incorporated-place coverage in a top-5 store-count county using Census Vintage 2025 eligibility. One-store screening floor only; exact selected-chain count and 5-mile buffer require GIS verification.</x:v>
      </x:c>
      <x:c r="O383" s="160" t="str">
        <x:v>San Diego County</x:v>
      </x:c>
    </x:row>
    <x:row r="384">
      <x:c r="A384" s="28" t="n">
        <x:v>394</x:v>
      </x:c>
      <x:c r="B384" s="28" t="str">
        <x:v>Bethlehem</x:v>
      </x:c>
      <x:c r="C384" s="28" t="str">
        <x:v>PA</x:v>
      </x:c>
      <x:c r="D384" s="204" t="n">
        <x:v>19.1</x:v>
      </x:c>
      <x:c r="E384" s="28" t="n">
        <x:v>0</x:v>
      </x:c>
      <x:c r="F384" s="28" t="n">
        <x:v>0</x:v>
      </x:c>
      <x:c r="G384" s="28" t="n">
        <x:v>0</x:v>
      </x:c>
      <x:c r="H384" s="28" t="n">
        <x:v>0</x:v>
      </x:c>
      <x:c r="I384" s="28" t="n">
        <x:v>1</x:v>
      </x:c>
      <x:c r="J384" s="28" t="n">
        <x:v>0</x:v>
      </x:c>
      <x:c r="K384" s="28" t="n">
        <x:f>SUM(E384:J384)</x:f>
        <x:v>1</x:v>
      </x:c>
      <x:c r="L384" s="205" t="n">
        <x:f>IFERROR(K384/D384,0)</x:f>
        <x:v>0.05235602094240837</x:v>
      </x:c>
      <x:c r="M384" s="160" t="str">
        <x:v>Confirmed lower bound — restricted-state adjacency expansion</x:v>
      </x:c>
      <x:c r="N384" s="160" t="str">
        <x:v>Census V2025 population 79,644. Wegmans Bethlehem is directly verified; Bethlehem spans Lehigh/Northampton and is assigned here to Northampton County for this expansion.</x:v>
      </x:c>
      <x:c r="O384" s="160" t="str">
        <x:v>Northampton County</x:v>
      </x:c>
    </x:row>
    <x:row r="385">
      <x:c r="A385" s="28" t="n">
        <x:v>395</x:v>
      </x:c>
      <x:c r="B385" s="28" t="str">
        <x:v>Erie</x:v>
      </x:c>
      <x:c r="C385" s="28" t="str">
        <x:v>PA</x:v>
      </x:c>
      <x:c r="D385" s="204" t="n">
        <x:v>19.14</x:v>
      </x:c>
      <x:c r="E385" s="28" t="n">
        <x:v>0</x:v>
      </x:c>
      <x:c r="F385" s="28" t="n">
        <x:v>0</x:v>
      </x:c>
      <x:c r="G385" s="28" t="n">
        <x:v>0</x:v>
      </x:c>
      <x:c r="H385" s="28" t="n">
        <x:v>0</x:v>
      </x:c>
      <x:c r="I385" s="28" t="n">
        <x:v>0</x:v>
      </x:c>
      <x:c r="J385" s="28" t="n">
        <x:v>1</x:v>
      </x:c>
      <x:c r="K385" s="28" t="n">
        <x:f>SUM(E385:J385)</x:f>
        <x:v>1</x:v>
      </x:c>
      <x:c r="L385" s="205" t="n">
        <x:f>IFERROR(K385/D385,0)</x:f>
        <x:v>0.0522466039707419</x:v>
      </x:c>
      <x:c r="M385" s="160" t="str">
        <x:v>Presence-floor proxy only — restricted-state adjacency expansion</x:v>
      </x:c>
      <x:c r="N385" s="160" t="str">
        <x:v>Census V2025 population 91,838. Erie County has two verified Wegmans locations, but exact incorporated-city boundary attribution is deferred to production GIS; one-store screening floor retained.</x:v>
      </x:c>
      <x:c r="O385" s="160" t="str">
        <x:v>Erie County</x:v>
      </x:c>
    </x:row>
    <x:row r="386">
      <x:c r="A386" s="28" t="n">
        <x:v>396</x:v>
      </x:c>
      <x:c r="B386" s="28" t="str">
        <x:v>Park Township</x:v>
      </x:c>
      <x:c r="C386" s="28" t="str">
        <x:v>MI</x:v>
      </x:c>
      <x:c r="D386" s="204" t="n">
        <x:v>19.202</x:v>
      </x:c>
      <x:c r="E386" s="28" t="n">
        <x:v>0</x:v>
      </x:c>
      <x:c r="F386" s="28" t="n">
        <x:v>0</x:v>
      </x:c>
      <x:c r="G386" s="28" t="n">
        <x:v>0</x:v>
      </x:c>
      <x:c r="H386" s="28" t="n">
        <x:v>0</x:v>
      </x:c>
      <x:c r="I386" s="28" t="n">
        <x:v>0</x:v>
      </x:c>
      <x:c r="J386" s="28" t="n">
        <x:v>1</x:v>
      </x:c>
      <x:c r="K386" s="28" t="n">
        <x:f>SUM(E386:J386)</x:f>
        <x:v>1</x:v>
      </x:c>
      <x:c r="L386" s="205" t="n">
        <x:f>IFERROR(K386/D386,0)</x:f>
        <x:v>0.05207790855119258</x:v>
      </x:c>
      <x:c r="M386" s="160" t="str">
        <x:v>Presence-floor proxy only — 10k+ municipality completion</x:v>
      </x:c>
      <x:c r="N386"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386" s="160" t="str">
        <x:v>Ottawa County</x:v>
      </x:c>
    </x:row>
    <x:row r="387">
      <x:c r="A387" s="28" t="n">
        <x:v>397</x:v>
      </x:c>
      <x:c r="B387" s="28" t="str">
        <x:v>Redwood City</x:v>
      </x:c>
      <x:c r="C387" s="28" t="str">
        <x:v>CA</x:v>
      </x:c>
      <x:c r="D387" s="204" t="n">
        <x:v>19.336</x:v>
      </x:c>
      <x:c r="E387" s="28" t="n">
        <x:v>1</x:v>
      </x:c>
      <x:c r="F387" s="28" t="n">
        <x:v>0</x:v>
      </x:c>
      <x:c r="G387" s="28" t="n">
        <x:v>0</x:v>
      </x:c>
      <x:c r="H387" s="28" t="n">
        <x:v>0</x:v>
      </x:c>
      <x:c r="I387" s="28" t="n">
        <x:v>0</x:v>
      </x:c>
      <x:c r="J387" s="28" t="n">
        <x:v>0</x:v>
      </x:c>
      <x:c r="K387" s="28" t="n">
        <x:f>SUM(E387:J387)</x:f>
        <x:v>1</x:v>
      </x:c>
      <x:c r="L387" s="205" t="n">
        <x:f>IFERROR(K387/D387,0)</x:f>
        <x:v>0.0517170045510964</x:v>
      </x:c>
      <x:c r="M387" s="160" t="str">
        <x:v>Confirmed lower bound — adjacent county expansion</x:v>
      </x:c>
      <x:c r="N387" s="160" t="str">
        <x:v>Added in adjacent-county expansion; Census Vintage 2025 population ≥50,000. Whole Foods store presence verified from official locator; exact all-chain 5-mile count requires GIS verification.</x:v>
      </x:c>
      <x:c r="O387" s="160" t="str">
        <x:v>San Mateo County</x:v>
      </x:c>
    </x:row>
    <x:row r="388">
      <x:c r="A388" s="28" t="n">
        <x:v>398</x:v>
      </x:c>
      <x:c r="B388" s="28" t="str">
        <x:v>Schaumburg</x:v>
      </x:c>
      <x:c r="C388" s="28" t="str">
        <x:v>IL</x:v>
      </x:c>
      <x:c r="D388" s="204" t="n">
        <x:v>19.386</x:v>
      </x:c>
      <x:c r="E388" s="28" t="n">
        <x:v>0</x:v>
      </x:c>
      <x:c r="F388" s="28" t="n">
        <x:v>0</x:v>
      </x:c>
      <x:c r="G388" s="28" t="n">
        <x:v>0</x:v>
      </x:c>
      <x:c r="H388" s="28" t="n">
        <x:v>0</x:v>
      </x:c>
      <x:c r="I388" s="28" t="n">
        <x:v>0</x:v>
      </x:c>
      <x:c r="J388" s="28" t="n">
        <x:v>1</x:v>
      </x:c>
      <x:c r="K388" s="28" t="n">
        <x:f>SUM(E388:J388)</x:f>
        <x:v>1</x:v>
      </x:c>
      <x:c r="L388" s="205" t="n">
        <x:f>IFERROR(K388/D388,0)</x:f>
        <x:v>0.05158361704322707</x:v>
      </x:c>
      <x:c r="M388" s="160" t="str">
        <x:v>Presence-floor proxy only — 50k+ county completion</x:v>
      </x:c>
      <x:c r="N388" s="160" t="str">
        <x:v>Added to complete ≥50,000-population incorporated-place coverage in counties ranked 6–10 by store count under the same Census Vintage 2025 screen. One-store screening floor only; exact selected-chain count and 5-mile buffer require GIS verification.</x:v>
      </x:c>
      <x:c r="O388" s="160" t="str">
        <x:v>Cook County</x:v>
      </x:c>
    </x:row>
    <x:row r="389">
      <x:c r="A389" s="28" t="n">
        <x:v>399</x:v>
      </x:c>
      <x:c r="B389" s="28" t="str">
        <x:v>Union City</x:v>
      </x:c>
      <x:c r="C389" s="28" t="str">
        <x:v>CA</x:v>
      </x:c>
      <x:c r="D389" s="204" t="n">
        <x:v>19.398</x:v>
      </x:c>
      <x:c r="E389" s="28" t="n">
        <x:v>0</x:v>
      </x:c>
      <x:c r="F389" s="28" t="n">
        <x:v>0</x:v>
      </x:c>
      <x:c r="G389" s="28" t="n">
        <x:v>0</x:v>
      </x:c>
      <x:c r="H389" s="28" t="n">
        <x:v>0</x:v>
      </x:c>
      <x:c r="I389" s="28" t="n">
        <x:v>0</x:v>
      </x:c>
      <x:c r="J389" s="28" t="n">
        <x:v>1</x:v>
      </x:c>
      <x:c r="K389" s="28" t="n">
        <x:f>SUM(E389:J389)</x:f>
        <x:v>1</x:v>
      </x:c>
      <x:c r="L389" s="205" t="n">
        <x:f>IFERROR(K389/D389,0)</x:f>
        <x:v>0.05155170636148056</x:v>
      </x:c>
      <x:c r="M389" s="160" t="str">
        <x:v>Presence-floor proxy only — 50k+ county completion</x:v>
      </x:c>
      <x:c r="N38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389" s="160" t="str">
        <x:v>Alameda County</x:v>
      </x:c>
    </x:row>
    <x:row r="390">
      <x:c r="A390" s="28" t="n">
        <x:v>400</x:v>
      </x:c>
      <x:c r="B390" s="28" t="str">
        <x:v>West Manheim Township</x:v>
      </x:c>
      <x:c r="C390" s="28" t="str">
        <x:v>PA</x:v>
      </x:c>
      <x:c r="D390" s="204" t="n">
        <x:v>19.435</x:v>
      </x:c>
      <x:c r="E390" s="28" t="n">
        <x:v>0</x:v>
      </x:c>
      <x:c r="F390" s="28" t="n">
        <x:v>0</x:v>
      </x:c>
      <x:c r="G390" s="28" t="n">
        <x:v>0</x:v>
      </x:c>
      <x:c r="H390" s="28" t="n">
        <x:v>0</x:v>
      </x:c>
      <x:c r="I390" s="28" t="n">
        <x:v>0</x:v>
      </x:c>
      <x:c r="J390" s="28" t="n">
        <x:v>1</x:v>
      </x:c>
      <x:c r="K390" s="28" t="n">
        <x:f>SUM(E390:J390)</x:f>
        <x:v>1</x:v>
      </x:c>
      <x:c r="L390" s="205" t="n">
        <x:f>IFERROR(K390/D390,0)</x:f>
        <x:v>0.05145356315924878</x:v>
      </x:c>
      <x:c r="M390" s="160" t="str">
        <x:v>Presence-floor proxy only — 10k+ municipality completion</x:v>
      </x:c>
      <x:c r="N39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390" s="160" t="str">
        <x:v>York County</x:v>
      </x:c>
    </x:row>
    <x:row r="391">
      <x:c r="A391" s="28" t="n">
        <x:v>401</x:v>
      </x:c>
      <x:c r="B391" s="28" t="str">
        <x:v>Yorba Linda</x:v>
      </x:c>
      <x:c r="C391" s="28" t="str">
        <x:v>CA</x:v>
      </x:c>
      <x:c r="D391" s="204" t="n">
        <x:v>19.48</x:v>
      </x:c>
      <x:c r="E391" s="28" t="n">
        <x:v>0</x:v>
      </x:c>
      <x:c r="F391" s="28" t="n">
        <x:v>0</x:v>
      </x:c>
      <x:c r="G391" s="28" t="n">
        <x:v>0</x:v>
      </x:c>
      <x:c r="H391" s="28" t="n">
        <x:v>0</x:v>
      </x:c>
      <x:c r="I391" s="28" t="n">
        <x:v>0</x:v>
      </x:c>
      <x:c r="J391" s="28" t="n">
        <x:v>1</x:v>
      </x:c>
      <x:c r="K391" s="28" t="n">
        <x:f>SUM(E391:J391)</x:f>
        <x:v>1</x:v>
      </x:c>
      <x:c r="L391" s="205" t="n">
        <x:f>IFERROR(K391/D391,0)</x:f>
        <x:v>0.0513347022587269</x:v>
      </x:c>
      <x:c r="M391" s="160" t="str">
        <x:v>Presence-floor proxy only — 50k+ county completion</x:v>
      </x:c>
      <x:c r="N391"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391" s="160" t="str">
        <x:v>Orange County</x:v>
      </x:c>
    </x:row>
    <x:row r="392">
      <x:c r="A392" s="28" t="n">
        <x:v>402</x:v>
      </x:c>
      <x:c r="B392" s="28" t="str">
        <x:v>Mason City</x:v>
      </x:c>
      <x:c r="C392" s="28" t="str">
        <x:v>OH</x:v>
      </x:c>
      <x:c r="D392" s="204" t="n">
        <x:v>19.483</x:v>
      </x:c>
      <x:c r="E392" s="28" t="n">
        <x:v>1</x:v>
      </x:c>
      <x:c r="F392" s="28" t="n">
        <x:v>0</x:v>
      </x:c>
      <x:c r="G392" s="28" t="n">
        <x:v>0</x:v>
      </x:c>
      <x:c r="H392" s="28" t="n">
        <x:v>0</x:v>
      </x:c>
      <x:c r="I392" s="28" t="n">
        <x:v>0</x:v>
      </x:c>
      <x:c r="J392" s="28" t="n">
        <x:v>0</x:v>
      </x:c>
      <x:c r="K392" s="28" t="n">
        <x:f>SUM(E392:J392)</x:f>
        <x:v>1</x:v>
      </x:c>
      <x:c r="L392" s="205" t="n">
        <x:f>IFERROR(K392/D392,0)</x:f>
        <x:v>0.05132679772109018</x:v>
      </x:c>
      <x:c r="M392" s="160" t="str">
        <x:v>Confirmed lower bound — official retailer store page</x:v>
      </x:c>
      <x:c r="N392" s="160" t="str">
        <x:v>Confirmed lower bound: 1 Whole Foods location verified by the retailer's official Mason store page with a municipality-matching address. Other tracked chains and nearby spillover omitted.</x:v>
      </x:c>
      <x:c r="O392" s="160" t="str">
        <x:v>Warren County</x:v>
      </x:c>
    </x:row>
    <x:row r="393">
      <x:c r="A393" s="28" t="n">
        <x:v>403</x:v>
      </x:c>
      <x:c r="B393" s="28" t="str">
        <x:v>Peters Township</x:v>
      </x:c>
      <x:c r="C393" s="28" t="str">
        <x:v>PA</x:v>
      </x:c>
      <x:c r="D393" s="204" t="n">
        <x:v>19.52</x:v>
      </x:c>
      <x:c r="E393" s="28" t="n">
        <x:v>0</x:v>
      </x:c>
      <x:c r="F393" s="28" t="n">
        <x:v>0</x:v>
      </x:c>
      <x:c r="G393" s="28" t="n">
        <x:v>0</x:v>
      </x:c>
      <x:c r="H393" s="28" t="n">
        <x:v>0</x:v>
      </x:c>
      <x:c r="I393" s="28" t="n">
        <x:v>0</x:v>
      </x:c>
      <x:c r="J393" s="28" t="n">
        <x:v>1</x:v>
      </x:c>
      <x:c r="K393" s="28" t="n">
        <x:f>SUM(E393:J393)</x:f>
        <x:v>1</x:v>
      </x:c>
      <x:c r="L393" s="205" t="n">
        <x:f>IFERROR(K393/D393,0)</x:f>
        <x:v>0.05122950819672131</x:v>
      </x:c>
      <x:c r="M393" s="160" t="str">
        <x:v>Presence-floor proxy only — 10k+ municipality completion</x:v>
      </x:c>
      <x:c r="N393"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South Strabane Township is excluded at V2025 population 9,672.</x:v>
      </x:c>
      <x:c r="O393" s="160" t="str">
        <x:v>Washington County</x:v>
      </x:c>
    </x:row>
    <x:row r="394">
      <x:c r="A394" s="28" t="n">
        <x:v>404</x:v>
      </x:c>
      <x:c r="B394" s="28" t="str">
        <x:v>Warren Township</x:v>
      </x:c>
      <x:c r="C394" s="28" t="str">
        <x:v>NJ</x:v>
      </x:c>
      <x:c r="D394" s="204" t="n">
        <x:v>19.566</x:v>
      </x:c>
      <x:c r="E394" s="28" t="n">
        <x:v>0</x:v>
      </x:c>
      <x:c r="F394" s="28" t="n">
        <x:v>0</x:v>
      </x:c>
      <x:c r="G394" s="28" t="n">
        <x:v>0</x:v>
      </x:c>
      <x:c r="H394" s="28" t="n">
        <x:v>0</x:v>
      </x:c>
      <x:c r="I394" s="28" t="n">
        <x:v>0</x:v>
      </x:c>
      <x:c r="J394" s="28" t="n">
        <x:v>1</x:v>
      </x:c>
      <x:c r="K394" s="28" t="n">
        <x:f>SUM(E394:J394)</x:f>
        <x:v>1</x:v>
      </x:c>
      <x:c r="L394" s="205" t="n">
        <x:f>IFERROR(K394/D394,0)</x:f>
        <x:v>0.05110906674844118</x:v>
      </x:c>
      <x:c r="M394" s="160" t="str">
        <x:v>Presence-floor proxy only — 10k+ municipality completion</x:v>
      </x:c>
      <x:c r="N39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394" s="160" t="str">
        <x:v>Somerset County</x:v>
      </x:c>
    </x:row>
    <x:row r="395">
      <x:c r="A395" s="28" t="n">
        <x:v>405</x:v>
      </x:c>
      <x:c r="B395" s="28" t="str">
        <x:v>Exeter Town</x:v>
      </x:c>
      <x:c r="C395" s="28" t="str">
        <x:v>NH</x:v>
      </x:c>
      <x:c r="D395" s="204" t="n">
        <x:v>19.604</x:v>
      </x:c>
      <x:c r="E395" s="28" t="n">
        <x:v>0</x:v>
      </x:c>
      <x:c r="F395" s="28" t="n">
        <x:v>0</x:v>
      </x:c>
      <x:c r="G395" s="28" t="n">
        <x:v>0</x:v>
      </x:c>
      <x:c r="H395" s="28" t="n">
        <x:v>0</x:v>
      </x:c>
      <x:c r="I395" s="28" t="n">
        <x:v>0</x:v>
      </x:c>
      <x:c r="J395" s="28" t="n">
        <x:v>1</x:v>
      </x:c>
      <x:c r="K395" s="28" t="n">
        <x:f>SUM(E395:J395)</x:f>
        <x:v>1</x:v>
      </x:c>
      <x:c r="L395" s="205" t="n">
        <x:f>IFERROR(K395/D395,0)</x:f>
        <x:v>0.05100999795960008</x:v>
      </x:c>
      <x:c r="M395" s="160" t="str">
        <x:v>Presence-floor proxy only — 10k+ municipality completion</x:v>
      </x:c>
      <x:c r="N395"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395" s="160" t="str">
        <x:v>Rockingham County</x:v>
      </x:c>
    </x:row>
    <x:row r="396">
      <x:c r="A396" s="28" t="n">
        <x:v>406</x:v>
      </x:c>
      <x:c r="B396" s="28" t="str">
        <x:v>Tredyffrin Township</x:v>
      </x:c>
      <x:c r="C396" s="28" t="str">
        <x:v>PA</x:v>
      </x:c>
      <x:c r="D396" s="204" t="n">
        <x:v>19.766</x:v>
      </x:c>
      <x:c r="E396" s="28" t="n">
        <x:v>0</x:v>
      </x:c>
      <x:c r="F396" s="28" t="n">
        <x:v>0</x:v>
      </x:c>
      <x:c r="G396" s="28" t="n">
        <x:v>0</x:v>
      </x:c>
      <x:c r="H396" s="28" t="n">
        <x:v>0</x:v>
      </x:c>
      <x:c r="I396" s="28" t="n">
        <x:v>0</x:v>
      </x:c>
      <x:c r="J396" s="28" t="n">
        <x:v>1</x:v>
      </x:c>
      <x:c r="K396" s="28" t="n">
        <x:f>SUM(E396:J396)</x:f>
        <x:v>1</x:v>
      </x:c>
      <x:c r="L396" s="205" t="n">
        <x:f>IFERROR(K396/D396,0)</x:f>
        <x:v>0.050591925528685626</x:v>
      </x:c>
      <x:c r="M396" s="160" t="str">
        <x:v>Presence-floor proxy only — 10k+ municipality completion</x:v>
      </x:c>
      <x:c r="N396" s="160" t="str">
        <x:v>Added under the 10k+ city-equivalent municipality rule: Census Vintage 2025 population &gt;=10,000; county population &gt;=500,000. Presence-floor proxy only — exact tracked-chain count requires municipal-boundary/GIS verification.</x:v>
      </x:c>
      <x:c r="O396" s="160" t="str">
        <x:v>Chester County</x:v>
      </x:c>
    </x:row>
    <x:row r="397">
      <x:c r="A397" s="28" t="n">
        <x:v>407</x:v>
      </x:c>
      <x:c r="B397" s="28" t="str">
        <x:v>Bensalem Township</x:v>
      </x:c>
      <x:c r="C397" s="28" t="str">
        <x:v>PA</x:v>
      </x:c>
      <x:c r="D397" s="204" t="n">
        <x:v>19.858</x:v>
      </x:c>
      <x:c r="E397" s="28" t="n">
        <x:v>0</x:v>
      </x:c>
      <x:c r="F397" s="28" t="n">
        <x:v>0</x:v>
      </x:c>
      <x:c r="G397" s="28" t="n">
        <x:v>0</x:v>
      </x:c>
      <x:c r="H397" s="28" t="n">
        <x:v>0</x:v>
      </x:c>
      <x:c r="I397" s="28" t="n">
        <x:v>0</x:v>
      </x:c>
      <x:c r="J397" s="28" t="n">
        <x:v>1</x:v>
      </x:c>
      <x:c r="K397" s="28" t="n">
        <x:f>SUM(E397:J397)</x:f>
        <x:v>1</x:v>
      </x:c>
      <x:c r="L397" s="205" t="n">
        <x:f>IFERROR(K397/D397,0)</x:f>
        <x:v>0.050357538523516966</x:v>
      </x:c>
      <x:c r="M397" s="160" t="str">
        <x:v>Presence-floor proxy only — 10k+ municipality completion</x:v>
      </x:c>
      <x:c r="N39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397" s="160" t="str">
        <x:v>Bucks County</x:v>
      </x:c>
    </x:row>
    <x:row r="398">
      <x:c r="A398" s="28" t="n">
        <x:v>408</x:v>
      </x:c>
      <x:c r="B398" s="28" t="str">
        <x:v>Pontiac</x:v>
      </x:c>
      <x:c r="C398" s="28" t="str">
        <x:v>MI</x:v>
      </x:c>
      <x:c r="D398" s="204" t="n">
        <x:v>19.89</x:v>
      </x:c>
      <x:c r="E398" s="28" t="n">
        <x:v>0</x:v>
      </x:c>
      <x:c r="F398" s="28" t="n">
        <x:v>0</x:v>
      </x:c>
      <x:c r="G398" s="28" t="n">
        <x:v>0</x:v>
      </x:c>
      <x:c r="H398" s="28" t="n">
        <x:v>0</x:v>
      </x:c>
      <x:c r="I398" s="28" t="n">
        <x:v>0</x:v>
      </x:c>
      <x:c r="J398" s="28" t="n">
        <x:v>1</x:v>
      </x:c>
      <x:c r="K398" s="28" t="n">
        <x:f>SUM(E398:J398)</x:f>
        <x:v>1</x:v>
      </x:c>
      <x:c r="L398" s="205" t="n">
        <x:f>IFERROR(K398/D398,0)</x:f>
        <x:v>0.05027652086475616</x:v>
      </x:c>
      <x:c r="M398" s="160" t="str">
        <x:v>Presence-floor proxy only — restricted-state adjacency expansion</x:v>
      </x:c>
      <x:c r="N398" s="160" t="str">
        <x:v>Census V2025 population 62,077. Added for Oakland County completion; one-store screening floor pending production GIS verification.</x:v>
      </x:c>
      <x:c r="O398" s="160" t="str">
        <x:v>Oakland County</x:v>
      </x:c>
    </x:row>
    <x:row r="399">
      <x:c r="A399" s="28" t="n">
        <x:v>409</x:v>
      </x:c>
      <x:c r="B399" s="28" t="str">
        <x:v>West Manchester Township</x:v>
      </x:c>
      <x:c r="C399" s="28" t="str">
        <x:v>PA</x:v>
      </x:c>
      <x:c r="D399" s="204" t="n">
        <x:v>19.942</x:v>
      </x:c>
      <x:c r="E399" s="28" t="n">
        <x:v>0</x:v>
      </x:c>
      <x:c r="F399" s="28" t="n">
        <x:v>0</x:v>
      </x:c>
      <x:c r="G399" s="28" t="n">
        <x:v>0</x:v>
      </x:c>
      <x:c r="H399" s="28" t="n">
        <x:v>0</x:v>
      </x:c>
      <x:c r="I399" s="28" t="n">
        <x:v>0</x:v>
      </x:c>
      <x:c r="J399" s="28" t="n">
        <x:v>1</x:v>
      </x:c>
      <x:c r="K399" s="28" t="n">
        <x:f>SUM(E399:J399)</x:f>
        <x:v>1</x:v>
      </x:c>
      <x:c r="L399" s="205" t="n">
        <x:f>IFERROR(K399/D399,0)</x:f>
        <x:v>0.05014542172299669</x:v>
      </x:c>
      <x:c r="M399" s="160" t="str">
        <x:v>Presence-floor proxy only — 10k+ municipality completion</x:v>
      </x:c>
      <x:c r="N399"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399" s="160" t="str">
        <x:v>York County</x:v>
      </x:c>
    </x:row>
    <x:row r="400">
      <x:c r="A400" s="28" t="n">
        <x:v>410</x:v>
      </x:c>
      <x:c r="B400" s="28" t="str">
        <x:v>New Bedford</x:v>
      </x:c>
      <x:c r="C400" s="28" t="str">
        <x:v>MA</x:v>
      </x:c>
      <x:c r="D400" s="204" t="n">
        <x:v>20</x:v>
      </x:c>
      <x:c r="E400" s="28" t="n">
        <x:v>0</x:v>
      </x:c>
      <x:c r="F400" s="28" t="n">
        <x:v>0</x:v>
      </x:c>
      <x:c r="G400" s="28" t="n">
        <x:v>0</x:v>
      </x:c>
      <x:c r="H400" s="28" t="n">
        <x:v>0</x:v>
      </x:c>
      <x:c r="I400" s="28" t="n">
        <x:v>0</x:v>
      </x:c>
      <x:c r="J400" s="28" t="n">
        <x:v>1</x:v>
      </x:c>
      <x:c r="K400" s="28" t="n">
        <x:f>SUM(E400:J400)</x:f>
        <x:v>1</x:v>
      </x:c>
      <x:c r="L400" s="205" t="n">
        <x:f>IFERROR(K400/D400,0)</x:f>
        <x:v>0.05</x:v>
      </x:c>
      <x:c r="M400" s="160" t="str">
        <x:v>Presence-floor proxy only — restricted-state adjacency expansion</x:v>
      </x:c>
      <x:c r="N400" s="160" t="str">
        <x:v>Census V2025 population 101,834. Added for Bristol County completion; one-store screening floor pending production GIS verification.</x:v>
      </x:c>
      <x:c r="O400" s="160" t="str">
        <x:v>Bristol County</x:v>
      </x:c>
    </x:row>
    <x:row r="401">
      <x:c r="A401" s="28" t="n">
        <x:v>411</x:v>
      </x:c>
      <x:c r="B401" s="28" t="str">
        <x:v>Branchburg Township</x:v>
      </x:c>
      <x:c r="C401" s="28" t="str">
        <x:v>NJ</x:v>
      </x:c>
      <x:c r="D401" s="204" t="n">
        <x:v>20.071</x:v>
      </x:c>
      <x:c r="E401" s="28" t="n">
        <x:v>0</x:v>
      </x:c>
      <x:c r="F401" s="28" t="n">
        <x:v>0</x:v>
      </x:c>
      <x:c r="G401" s="28" t="n">
        <x:v>0</x:v>
      </x:c>
      <x:c r="H401" s="28" t="n">
        <x:v>0</x:v>
      </x:c>
      <x:c r="I401" s="28" t="n">
        <x:v>0</x:v>
      </x:c>
      <x:c r="J401" s="28" t="n">
        <x:v>1</x:v>
      </x:c>
      <x:c r="K401" s="28" t="n">
        <x:f>SUM(E401:J401)</x:f>
        <x:v>1</x:v>
      </x:c>
      <x:c r="L401" s="205" t="n">
        <x:f>IFERROR(K401/D401,0)</x:f>
        <x:v>0.04982312789596931</x:v>
      </x:c>
      <x:c r="M401" s="160" t="str">
        <x:v>Presence-floor proxy only — 10k+ municipality completion</x:v>
      </x:c>
      <x:c r="N401"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401" s="160" t="str">
        <x:v>Somerset County</x:v>
      </x:c>
    </x:row>
    <x:row r="402">
      <x:c r="A402" s="28" t="n">
        <x:v>412</x:v>
      </x:c>
      <x:c r="B402" s="28" t="str">
        <x:v>Lawrence</x:v>
      </x:c>
      <x:c r="C402" s="28" t="str">
        <x:v>IN</x:v>
      </x:c>
      <x:c r="D402" s="204" t="n">
        <x:v>20.15</x:v>
      </x:c>
      <x:c r="E402" s="28" t="n">
        <x:v>0</x:v>
      </x:c>
      <x:c r="F402" s="28" t="n">
        <x:v>0</x:v>
      </x:c>
      <x:c r="G402" s="28" t="n">
        <x:v>0</x:v>
      </x:c>
      <x:c r="H402" s="28" t="n">
        <x:v>0</x:v>
      </x:c>
      <x:c r="I402" s="28" t="n">
        <x:v>0</x:v>
      </x:c>
      <x:c r="J402" s="28" t="n">
        <x:v>1</x:v>
      </x:c>
      <x:c r="K402" s="28" t="n">
        <x:f>SUM(E402:J402)</x:f>
        <x:v>1</x:v>
      </x:c>
      <x:c r="L402" s="205" t="n">
        <x:f>IFERROR(K402/D402,0)</x:f>
        <x:v>0.04962779156327544</x:v>
      </x:c>
      <x:c r="M402" s="160" t="str">
        <x:v>Presence-floor proxy only — 50k+ county completion</x:v>
      </x:c>
      <x:c r="N402"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402" s="160" t="str">
        <x:v>Marion County</x:v>
      </x:c>
    </x:row>
    <x:row r="403">
      <x:c r="A403" s="28" t="n">
        <x:v>413</x:v>
      </x:c>
      <x:c r="B403" s="28" t="str">
        <x:v>Brimfield Township</x:v>
      </x:c>
      <x:c r="C403" s="28" t="str">
        <x:v>OH</x:v>
      </x:c>
      <x:c r="D403" s="204" t="n">
        <x:v>20.406</x:v>
      </x:c>
      <x:c r="E403" s="28" t="n">
        <x:v>0</x:v>
      </x:c>
      <x:c r="F403" s="28" t="n">
        <x:v>0</x:v>
      </x:c>
      <x:c r="G403" s="28" t="n">
        <x:v>0</x:v>
      </x:c>
      <x:c r="H403" s="28" t="n">
        <x:v>0</x:v>
      </x:c>
      <x:c r="I403" s="28" t="n">
        <x:v>0</x:v>
      </x:c>
      <x:c r="J403" s="28" t="n">
        <x:v>1</x:v>
      </x:c>
      <x:c r="K403" s="28" t="n">
        <x:f>SUM(E403:J403)</x:f>
        <x:v>1</x:v>
      </x:c>
      <x:c r="L403" s="205" t="n">
        <x:f>IFERROR(K403/D403,0)</x:f>
        <x:v>0.04900519455062237</x:v>
      </x:c>
      <x:c r="M403" s="160" t="str">
        <x:v>Presence-floor proxy only — 10k+ municipality completion</x:v>
      </x:c>
      <x:c r="N403" s="160" t="str">
        <x:v>Added under the &gt;=50k-county expansion rule: Census Vintage 2025 municipality population &gt;=10,000; general-purpose city-equivalent municipality; direct Census adjacency. Presence-floor proxy only — exact tracked-chain count requires municipal-boundary/GIS verification. Kent Natural Foods Co-op and Haymaker Farmers' Market provide county specialty-grocery evidence; Ravenna Township remains below 10,000.</x:v>
      </x:c>
      <x:c r="O403" s="160" t="str">
        <x:v>Portage County</x:v>
      </x:c>
    </x:row>
    <x:row r="404">
      <x:c r="A404" s="28" t="n">
        <x:v>414</x:v>
      </x:c>
      <x:c r="B404" s="28" t="str">
        <x:v>Delaware City</x:v>
      </x:c>
      <x:c r="C404" s="28" t="str">
        <x:v>OH</x:v>
      </x:c>
      <x:c r="D404" s="204" t="n">
        <x:v>20.408</x:v>
      </x:c>
      <x:c r="E404" s="28" t="n">
        <x:v>0</x:v>
      </x:c>
      <x:c r="F404" s="28" t="n">
        <x:v>0</x:v>
      </x:c>
      <x:c r="G404" s="28" t="n">
        <x:v>0</x:v>
      </x:c>
      <x:c r="H404" s="28" t="n">
        <x:v>0</x:v>
      </x:c>
      <x:c r="I404" s="28" t="n">
        <x:v>0</x:v>
      </x:c>
      <x:c r="J404" s="28" t="n">
        <x:v>1</x:v>
      </x:c>
      <x:c r="K404" s="28" t="n">
        <x:f>SUM(E404:J404)</x:f>
        <x:v>1</x:v>
      </x:c>
      <x:c r="L404" s="205" t="n">
        <x:f>IFERROR(K404/D404,0)</x:f>
        <x:v>0.04900039200313602</x:v>
      </x:c>
      <x:c r="M404" s="160" t="str">
        <x:v>Presence-floor proxy only — 10k+ municipality completion</x:v>
      </x:c>
      <x:c r="N404" s="160" t="str">
        <x:v>Added under the &gt;=50k-county expansion rule: Census Vintage 2025 municipality population &gt;=10,000; general-purpose city-equivalent municipality; direct Census adjacency. Presence-floor proxy only — exact tracked-chain count requires municipal-boundary/GIS verification.</x:v>
      </x:c>
      <x:c r="O404" s="160" t="str">
        <x:v>Delaware County</x:v>
      </x:c>
    </x:row>
    <x:row r="405">
      <x:c r="A405" s="28" t="n">
        <x:v>415</x:v>
      </x:c>
      <x:c r="B405" s="28" t="str">
        <x:v>Bowie</x:v>
      </x:c>
      <x:c r="C405" s="28" t="str">
        <x:v>MD</x:v>
      </x:c>
      <x:c r="D405" s="204" t="n">
        <x:v>20.44</x:v>
      </x:c>
      <x:c r="E405" s="28" t="n">
        <x:v>0</x:v>
      </x:c>
      <x:c r="F405" s="28" t="n">
        <x:v>0</x:v>
      </x:c>
      <x:c r="G405" s="28" t="n">
        <x:v>0</x:v>
      </x:c>
      <x:c r="H405" s="28" t="n">
        <x:v>0</x:v>
      </x:c>
      <x:c r="I405" s="28" t="n">
        <x:v>0</x:v>
      </x:c>
      <x:c r="J405" s="28" t="n">
        <x:v>1</x:v>
      </x:c>
      <x:c r="K405" s="28" t="n">
        <x:f>SUM(E405:J405)</x:f>
        <x:v>1</x:v>
      </x:c>
      <x:c r="L405" s="205" t="n">
        <x:f>IFERROR(K405/D405,0)</x:f>
        <x:v>0.04892367906066536</x:v>
      </x:c>
      <x:c r="M405" s="160" t="str">
        <x:v>Presence-floor proxy only — restricted-state adjacency expansion</x:v>
      </x:c>
      <x:c r="N405" s="160" t="str">
        <x:v>Census V2025 population 58,383. Added for Prince George's County completion; one-store screening floor pending production GIS verification.</x:v>
      </x:c>
      <x:c r="O405" s="160" t="str">
        <x:v>Prince George's County</x:v>
      </x:c>
    </x:row>
    <x:row r="406">
      <x:c r="A406" s="28" t="n">
        <x:v>416</x:v>
      </x:c>
      <x:c r="B406" s="28" t="str">
        <x:v>Orlando</x:v>
      </x:c>
      <x:c r="C406" s="28" t="str">
        <x:v>FL</x:v>
      </x:c>
      <x:c r="D406" s="204" t="n">
        <x:v>102.395</x:v>
      </x:c>
      <x:c r="E406" s="28" t="n">
        <x:v>1</x:v>
      </x:c>
      <x:c r="F406" s="28" t="n">
        <x:v>4</x:v>
      </x:c>
      <x:c r="G406" s="28" t="n">
        <x:v>0</x:v>
      </x:c>
      <x:c r="H406" s="28" t="n">
        <x:v>0</x:v>
      </x:c>
      <x:c r="I406" s="28" t="n">
        <x:v>0</x:v>
      </x:c>
      <x:c r="J406" s="28" t="n">
        <x:v>0</x:v>
      </x:c>
      <x:c r="K406" s="28" t="n">
        <x:f>SUM(E406:J406)</x:f>
        <x:v>5</x:v>
      </x:c>
      <x:c r="L406" s="205" t="n">
        <x:f>IFERROR(K406/D406,0)</x:f>
        <x:v>0.04883050930221203</x:v>
      </x:c>
      <x:c r="M406" s="160" t="str">
        <x:v>Confirmed lower bound</x:v>
      </x:c>
      <x:c r="N406" s="160" t="str">
        <x:v>Verified public-directory count for ≥1 major chain; other selected chains and 5-mile spillover omitted.</x:v>
      </x:c>
      <x:c r="O406" s="160" t="str">
        <x:v>Orange County</x:v>
      </x:c>
    </x:row>
    <x:row r="407">
      <x:c r="A407" s="28" t="n">
        <x:v>417</x:v>
      </x:c>
      <x:c r="B407" s="28" t="str">
        <x:v>Torrance</x:v>
      </x:c>
      <x:c r="C407" s="28" t="str">
        <x:v>CA</x:v>
      </x:c>
      <x:c r="D407" s="204" t="n">
        <x:v>20.5</x:v>
      </x:c>
      <x:c r="E407" s="28" t="n">
        <x:v>0</x:v>
      </x:c>
      <x:c r="F407" s="28" t="n">
        <x:v>0</x:v>
      </x:c>
      <x:c r="G407" s="28" t="n">
        <x:v>0</x:v>
      </x:c>
      <x:c r="H407" s="28" t="n">
        <x:v>0</x:v>
      </x:c>
      <x:c r="I407" s="28" t="n">
        <x:v>0</x:v>
      </x:c>
      <x:c r="J407" s="28" t="n">
        <x:v>1</x:v>
      </x:c>
      <x:c r="K407" s="28" t="n">
        <x:f>SUM(E407:J407)</x:f>
        <x:v>1</x:v>
      </x:c>
      <x:c r="L407" s="205" t="n">
        <x:f>IFERROR(K407/D407,0)</x:f>
        <x:v>0.04878048780487805</x:v>
      </x:c>
      <x:c r="M407" s="160" t="str">
        <x:v>Presence-floor proxy only — 250-city expansion</x:v>
      </x:c>
      <x:c r="N407" s="160" t="str">
        <x:v>Added in the 250-city screening expansion. One-store screening floor only; exact selected-chain count and 5-mile buffer require GIS verification.</x:v>
      </x:c>
      <x:c r="O407" s="160" t="str">
        <x:v>Los Angeles County</x:v>
      </x:c>
    </x:row>
    <x:row r="408">
      <x:c r="A408" s="28" t="n">
        <x:v>418</x:v>
      </x:c>
      <x:c r="B408" s="28" t="str">
        <x:v>Elyria</x:v>
      </x:c>
      <x:c r="C408" s="28" t="str">
        <x:v>OH</x:v>
      </x:c>
      <x:c r="D408" s="204" t="n">
        <x:v>20.5</x:v>
      </x:c>
      <x:c r="E408" s="28" t="n">
        <x:v>0</x:v>
      </x:c>
      <x:c r="F408" s="28" t="n">
        <x:v>0</x:v>
      </x:c>
      <x:c r="G408" s="28" t="n">
        <x:v>0</x:v>
      </x:c>
      <x:c r="H408" s="28" t="n">
        <x:v>0</x:v>
      </x:c>
      <x:c r="I408" s="28" t="n">
        <x:v>0</x:v>
      </x:c>
      <x:c r="J408" s="28" t="n">
        <x:v>1</x:v>
      </x:c>
      <x:c r="K408" s="28" t="n">
        <x:f>SUM(E408:J408)</x:f>
        <x:v>1</x:v>
      </x:c>
      <x:c r="L408" s="205" t="n">
        <x:f>IFERROR(K408/D408,0)</x:f>
        <x:v>0.04878048780487805</x:v>
      </x:c>
      <x:c r="M408" s="160" t="str">
        <x:v>Presence-floor proxy only — restricted-state adjacency expansion</x:v>
      </x:c>
      <x:c r="N408" s="160" t="str">
        <x:v>Census Vintage 2025 city estimate remains above 50,000. Added for Lorain County completion; one-store screening floor pending production GIS verification.</x:v>
      </x:c>
      <x:c r="O408" s="160" t="str">
        <x:v>Lorain County</x:v>
      </x:c>
    </x:row>
    <x:row r="409">
      <x:c r="A409" s="28" t="n">
        <x:v>419</x:v>
      </x:c>
      <x:c r="B409" s="28" t="str">
        <x:v>Hoffman Estates</x:v>
      </x:c>
      <x:c r="C409" s="28" t="str">
        <x:v>IL</x:v>
      </x:c>
      <x:c r="D409" s="204" t="n">
        <x:v>20.536</x:v>
      </x:c>
      <x:c r="E409" s="28" t="n">
        <x:v>0</x:v>
      </x:c>
      <x:c r="F409" s="28" t="n">
        <x:v>0</x:v>
      </x:c>
      <x:c r="G409" s="28" t="n">
        <x:v>0</x:v>
      </x:c>
      <x:c r="H409" s="28" t="n">
        <x:v>0</x:v>
      </x:c>
      <x:c r="I409" s="28" t="n">
        <x:v>0</x:v>
      </x:c>
      <x:c r="J409" s="28" t="n">
        <x:v>1</x:v>
      </x:c>
      <x:c r="K409" s="28" t="n">
        <x:f>SUM(E409:J409)</x:f>
        <x:v>1</x:v>
      </x:c>
      <x:c r="L409" s="205" t="n">
        <x:f>IFERROR(K409/D409,0)</x:f>
        <x:v>0.04869497467861316</x:v>
      </x:c>
      <x:c r="M409" s="160" t="str">
        <x:v>Presence-floor proxy only — 50k+ county completion</x:v>
      </x:c>
      <x:c r="N409" s="160" t="str">
        <x:v>Added to complete ≥50,000-population incorporated-place coverage in counties ranked 6–10 by store count under the same Census Vintage 2025 screen. One-store screening floor only; exact selected-chain count and 5-mile buffer require GIS verification.</x:v>
      </x:c>
      <x:c r="O409" s="160" t="str">
        <x:v>Cook County</x:v>
      </x:c>
    </x:row>
    <x:row r="410">
      <x:c r="A410" s="28" t="n">
        <x:v>420</x:v>
      </x:c>
      <x:c r="B410" s="28" t="str">
        <x:v>Dennis Town</x:v>
      </x:c>
      <x:c r="C410" s="28" t="str">
        <x:v>MA</x:v>
      </x:c>
      <x:c r="D410" s="204" t="n">
        <x:v>20.596</x:v>
      </x:c>
      <x:c r="E410" s="28" t="n">
        <x:v>0</x:v>
      </x:c>
      <x:c r="F410" s="28" t="n">
        <x:v>0</x:v>
      </x:c>
      <x:c r="G410" s="28" t="n">
        <x:v>0</x:v>
      </x:c>
      <x:c r="H410" s="28" t="n">
        <x:v>0</x:v>
      </x:c>
      <x:c r="I410" s="28" t="n">
        <x:v>0</x:v>
      </x:c>
      <x:c r="J410" s="28" t="n">
        <x:v>1</x:v>
      </x:c>
      <x:c r="K410" s="28" t="n">
        <x:f>SUM(E410:J410)</x:f>
        <x:v>1</x:v>
      </x:c>
      <x:c r="L410" s="205" t="n">
        <x:f>IFERROR(K410/D410,0)</x:f>
        <x:v>0.04855311711011847</x:v>
      </x:c>
      <x:c r="M410" s="160" t="str">
        <x:v>Presence-floor proxy only — 10k+ municipality completion</x:v>
      </x:c>
      <x:c r="N410"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410" s="160" t="str">
        <x:v>Barnstable County</x:v>
      </x:c>
    </x:row>
    <x:row r="411">
      <x:c r="A411" s="28" t="n">
        <x:v>421</x:v>
      </x:c>
      <x:c r="B411" s="28" t="str">
        <x:v>Richland Township</x:v>
      </x:c>
      <x:c r="C411" s="28" t="str">
        <x:v>PA</x:v>
      </x:c>
      <x:c r="D411" s="204" t="n">
        <x:v>20.652</x:v>
      </x:c>
      <x:c r="E411" s="28" t="n">
        <x:v>0</x:v>
      </x:c>
      <x:c r="F411" s="28" t="n">
        <x:v>0</x:v>
      </x:c>
      <x:c r="G411" s="28" t="n">
        <x:v>0</x:v>
      </x:c>
      <x:c r="H411" s="28" t="n">
        <x:v>0</x:v>
      </x:c>
      <x:c r="I411" s="28" t="n">
        <x:v>0</x:v>
      </x:c>
      <x:c r="J411" s="28" t="n">
        <x:v>1</x:v>
      </x:c>
      <x:c r="K411" s="28" t="n">
        <x:f>SUM(E411:J411)</x:f>
        <x:v>1</x:v>
      </x:c>
      <x:c r="L411" s="205" t="n">
        <x:f>IFERROR(K411/D411,0)</x:f>
        <x:v>0.0484214603912454</x:v>
      </x:c>
      <x:c r="M411" s="160" t="str">
        <x:v>Presence-floor proxy only — 10k+ municipality completion</x:v>
      </x:c>
      <x:c r="N41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11" s="160" t="str">
        <x:v>Bucks County</x:v>
      </x:c>
    </x:row>
    <x:row r="412">
      <x:c r="A412" s="28" t="n">
        <x:v>422</x:v>
      </x:c>
      <x:c r="B412" s="28" t="str">
        <x:v>Rowlett</x:v>
      </x:c>
      <x:c r="C412" s="28" t="str">
        <x:v>TX</x:v>
      </x:c>
      <x:c r="D412" s="204" t="n">
        <x:v>20.748</x:v>
      </x:c>
      <x:c r="E412" s="28" t="n">
        <x:v>0</x:v>
      </x:c>
      <x:c r="F412" s="28" t="n">
        <x:v>0</x:v>
      </x:c>
      <x:c r="G412" s="28" t="n">
        <x:v>0</x:v>
      </x:c>
      <x:c r="H412" s="28" t="n">
        <x:v>0</x:v>
      </x:c>
      <x:c r="I412" s="28" t="n">
        <x:v>0</x:v>
      </x:c>
      <x:c r="J412" s="28" t="n">
        <x:v>1</x:v>
      </x:c>
      <x:c r="K412" s="28" t="n">
        <x:f>SUM(E412:J412)</x:f>
        <x:v>1</x:v>
      </x:c>
      <x:c r="L412" s="205" t="n">
        <x:f>IFERROR(K412/D412,0)</x:f>
        <x:v>0.04819741661846925</x:v>
      </x:c>
      <x:c r="M412" s="160" t="str">
        <x:v>Presence-floor proxy only — 50k+ county completion</x:v>
      </x:c>
      <x:c r="N412" s="160" t="str">
        <x:v>Added to complete ≥50,000-population incorporated-place coverage in a top-5 store-count county using Census Vintage 2025 eligibility. One-store screening floor only; exact selected-chain count and 5-mile buffer require GIS verification.</x:v>
      </x:c>
      <x:c r="O412" s="160" t="str">
        <x:v>Dallas County</x:v>
      </x:c>
    </x:row>
    <x:row r="413">
      <x:c r="A413" s="28" t="n">
        <x:v>423</x:v>
      </x:c>
      <x:c r="B413" s="28" t="str">
        <x:v>Roxbury Township</x:v>
      </x:c>
      <x:c r="C413" s="28" t="str">
        <x:v>NJ</x:v>
      </x:c>
      <x:c r="D413" s="204" t="n">
        <x:v>20.845</x:v>
      </x:c>
      <x:c r="E413" s="28" t="n">
        <x:v>0</x:v>
      </x:c>
      <x:c r="F413" s="28" t="n">
        <x:v>0</x:v>
      </x:c>
      <x:c r="G413" s="28" t="n">
        <x:v>0</x:v>
      </x:c>
      <x:c r="H413" s="28" t="n">
        <x:v>0</x:v>
      </x:c>
      <x:c r="I413" s="28" t="n">
        <x:v>0</x:v>
      </x:c>
      <x:c r="J413" s="28" t="n">
        <x:v>1</x:v>
      </x:c>
      <x:c r="K413" s="28" t="n">
        <x:f>SUM(E413:J413)</x:f>
        <x:v>1</x:v>
      </x:c>
      <x:c r="L413" s="205" t="n">
        <x:f>IFERROR(K413/D413,0)</x:f>
        <x:v>0.04797313504437515</x:v>
      </x:c>
      <x:c r="M413" s="160" t="str">
        <x:v>Presence-floor proxy only — 10k+ municipality completion</x:v>
      </x:c>
      <x:c r="N41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13" s="160" t="str">
        <x:v>Morris County</x:v>
      </x:c>
    </x:row>
    <x:row r="414">
      <x:c r="A414" s="28" t="n">
        <x:v>424</x:v>
      </x:c>
      <x:c r="B414" s="28" t="str">
        <x:v>Harwich Town</x:v>
      </x:c>
      <x:c r="C414" s="28" t="str">
        <x:v>MA</x:v>
      </x:c>
      <x:c r="D414" s="204" t="n">
        <x:v>20.884</x:v>
      </x:c>
      <x:c r="E414" s="28" t="n">
        <x:v>0</x:v>
      </x:c>
      <x:c r="F414" s="28" t="n">
        <x:v>0</x:v>
      </x:c>
      <x:c r="G414" s="28" t="n">
        <x:v>0</x:v>
      </x:c>
      <x:c r="H414" s="28" t="n">
        <x:v>0</x:v>
      </x:c>
      <x:c r="I414" s="28" t="n">
        <x:v>0</x:v>
      </x:c>
      <x:c r="J414" s="28" t="n">
        <x:v>1</x:v>
      </x:c>
      <x:c r="K414" s="28" t="n">
        <x:f>SUM(E414:J414)</x:f>
        <x:v>1</x:v>
      </x:c>
      <x:c r="L414" s="205" t="n">
        <x:f>IFERROR(K414/D414,0)</x:f>
        <x:v>0.04788354721317755</x:v>
      </x:c>
      <x:c r="M414" s="160" t="str">
        <x:v>Presence-floor proxy only — 10k+ municipality completion</x:v>
      </x:c>
      <x:c r="N414"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414" s="160" t="str">
        <x:v>Barnstable County</x:v>
      </x:c>
    </x:row>
    <x:row r="415">
      <x:c r="A415" s="28" t="n">
        <x:v>425</x:v>
      </x:c>
      <x:c r="B415" s="28" t="str">
        <x:v>Newark</x:v>
      </x:c>
      <x:c r="C415" s="28" t="str">
        <x:v>OH</x:v>
      </x:c>
      <x:c r="D415" s="204" t="n">
        <x:v>20.89</x:v>
      </x:c>
      <x:c r="E415" s="28" t="n">
        <x:v>0</x:v>
      </x:c>
      <x:c r="F415" s="28" t="n">
        <x:v>0</x:v>
      </x:c>
      <x:c r="G415" s="28" t="n">
        <x:v>0</x:v>
      </x:c>
      <x:c r="H415" s="28" t="n">
        <x:v>0</x:v>
      </x:c>
      <x:c r="I415" s="28" t="n">
        <x:v>0</x:v>
      </x:c>
      <x:c r="J415" s="28" t="n">
        <x:v>1</x:v>
      </x:c>
      <x:c r="K415" s="28" t="n">
        <x:f>SUM(E415:J415)</x:f>
        <x:v>1</x:v>
      </x:c>
      <x:c r="L415" s="205" t="n">
        <x:f>IFERROR(K415/D415,0)</x:f>
        <x:v>0.04786979415988511</x:v>
      </x:c>
      <x:c r="M415" s="160" t="str">
        <x:v>Presence-floor proxy only — restricted-state adjacency expansion</x:v>
      </x:c>
      <x:c r="N415" s="160" t="str">
        <x:v>Census V2025 population 51,473. Added for Licking County completion; one-store screening floor pending production GIS verification.</x:v>
      </x:c>
      <x:c r="O415" s="160" t="str">
        <x:v>Licking County</x:v>
      </x:c>
    </x:row>
    <x:row r="416">
      <x:c r="A416" s="28" t="n">
        <x:v>426</x:v>
      </x:c>
      <x:c r="B416" s="28" t="str">
        <x:v>Randolph Township</x:v>
      </x:c>
      <x:c r="C416" s="28" t="str">
        <x:v>NJ</x:v>
      </x:c>
      <x:c r="D416" s="204" t="n">
        <x:v>20.905</x:v>
      </x:c>
      <x:c r="E416" s="28" t="n">
        <x:v>0</x:v>
      </x:c>
      <x:c r="F416" s="28" t="n">
        <x:v>0</x:v>
      </x:c>
      <x:c r="G416" s="28" t="n">
        <x:v>0</x:v>
      </x:c>
      <x:c r="H416" s="28" t="n">
        <x:v>0</x:v>
      </x:c>
      <x:c r="I416" s="28" t="n">
        <x:v>0</x:v>
      </x:c>
      <x:c r="J416" s="28" t="n">
        <x:v>1</x:v>
      </x:c>
      <x:c r="K416" s="28" t="n">
        <x:f>SUM(E416:J416)</x:f>
        <x:v>1</x:v>
      </x:c>
      <x:c r="L416" s="205" t="n">
        <x:f>IFERROR(K416/D416,0)</x:f>
        <x:v>0.04783544606553456</x:v>
      </x:c>
      <x:c r="M416" s="160" t="str">
        <x:v>Presence-floor proxy only — 10k+ municipality completion</x:v>
      </x:c>
      <x:c r="N416"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16" s="160" t="str">
        <x:v>Morris County</x:v>
      </x:c>
    </x:row>
    <x:row r="417">
      <x:c r="A417" s="28" t="n">
        <x:v>427</x:v>
      </x:c>
      <x:c r="B417" s="28" t="str">
        <x:v>Orange Township</x:v>
      </x:c>
      <x:c r="C417" s="28" t="str">
        <x:v>OH</x:v>
      </x:c>
      <x:c r="D417" s="204" t="n">
        <x:v>21.032</x:v>
      </x:c>
      <x:c r="E417" s="28" t="n">
        <x:v>0</x:v>
      </x:c>
      <x:c r="F417" s="28" t="n">
        <x:v>0</x:v>
      </x:c>
      <x:c r="G417" s="28" t="n">
        <x:v>0</x:v>
      </x:c>
      <x:c r="H417" s="28" t="n">
        <x:v>0</x:v>
      </x:c>
      <x:c r="I417" s="28" t="n">
        <x:v>0</x:v>
      </x:c>
      <x:c r="J417" s="28" t="n">
        <x:v>1</x:v>
      </x:c>
      <x:c r="K417" s="28" t="n">
        <x:f>SUM(E417:J417)</x:f>
        <x:v>1</x:v>
      </x:c>
      <x:c r="L417" s="205" t="n">
        <x:f>IFERROR(K417/D417,0)</x:f>
        <x:v>0.047546595663750475</x:v>
      </x:c>
      <x:c r="M417" s="160" t="str">
        <x:v>Presence-floor proxy only — 10k+ municipality completion</x:v>
      </x:c>
      <x:c r="N417" s="160" t="str">
        <x:v>Added under the &gt;=50k-county expansion rule: Census Vintage 2025 municipality population &gt;=10,000; general-purpose city-equivalent municipality; direct Census adjacency. Presence-floor proxy only — exact tracked-chain count requires municipal-boundary/GIS verification.</x:v>
      </x:c>
      <x:c r="O417" s="160" t="str">
        <x:v>Delaware County</x:v>
      </x:c>
    </x:row>
    <x:row r="418">
      <x:c r="A418" s="28" t="n">
        <x:v>428</x:v>
      </x:c>
      <x:c r="B418" s="28" t="str">
        <x:v>Woolwich Township</x:v>
      </x:c>
      <x:c r="C418" s="28" t="str">
        <x:v>NJ</x:v>
      </x:c>
      <x:c r="D418" s="204" t="n">
        <x:v>21.072</x:v>
      </x:c>
      <x:c r="E418" s="28" t="n">
        <x:v>0</x:v>
      </x:c>
      <x:c r="F418" s="28" t="n">
        <x:v>0</x:v>
      </x:c>
      <x:c r="G418" s="28" t="n">
        <x:v>0</x:v>
      </x:c>
      <x:c r="H418" s="28" t="n">
        <x:v>0</x:v>
      </x:c>
      <x:c r="I418" s="28" t="n">
        <x:v>0</x:v>
      </x:c>
      <x:c r="J418" s="28" t="n">
        <x:v>1</x:v>
      </x:c>
      <x:c r="K418" s="28" t="n">
        <x:f>SUM(E418:J418)</x:f>
        <x:v>1</x:v>
      </x:c>
      <x:c r="L418" s="205" t="n">
        <x:f>IFERROR(K418/D418,0)</x:f>
        <x:v>0.04745634016704632</x:v>
      </x:c>
      <x:c r="M418" s="160" t="str">
        <x:v>Presence-floor proxy only — 10k+ municipality completion</x:v>
      </x:c>
      <x:c r="N41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418" s="160" t="str">
        <x:v>Gloucester County</x:v>
      </x:c>
    </x:row>
    <x:row r="419">
      <x:c r="A419" s="28" t="n">
        <x:v>429</x:v>
      </x:c>
      <x:c r="B419" s="28" t="str">
        <x:v>Montville Township</x:v>
      </x:c>
      <x:c r="C419" s="28" t="str">
        <x:v>OH</x:v>
      </x:c>
      <x:c r="D419" s="204" t="n">
        <x:v>21.325</x:v>
      </x:c>
      <x:c r="E419" s="28" t="n">
        <x:v>0</x:v>
      </x:c>
      <x:c r="F419" s="28" t="n">
        <x:v>0</x:v>
      </x:c>
      <x:c r="G419" s="28" t="n">
        <x:v>0</x:v>
      </x:c>
      <x:c r="H419" s="28" t="n">
        <x:v>0</x:v>
      </x:c>
      <x:c r="I419" s="28" t="n">
        <x:v>0</x:v>
      </x:c>
      <x:c r="J419" s="28" t="n">
        <x:v>1</x:v>
      </x:c>
      <x:c r="K419" s="28" t="n">
        <x:f>SUM(E419:J419)</x:f>
        <x:v>1</x:v>
      </x:c>
      <x:c r="L419" s="205" t="n">
        <x:f>IFERROR(K419/D419,0)</x:f>
        <x:v>0.04689331770222743</x:v>
      </x:c>
      <x:c r="M419" s="160" t="str">
        <x:v>Presence-floor proxy only — 10k+ municipality completion</x:v>
      </x:c>
      <x:c r="N419" s="160" t="str">
        <x:v>Added under the &gt;=50k-county expansion rule: Census Vintage 2025 municipality population &gt;=10,000; general-purpose city-equivalent municipality; direct Census adjacency. Presence-floor proxy only — exact tracked-chain count requires municipal-boundary/GIS verification. Medina County specialty-grocery evidence is documented separately; Medina Township remains below the 10,000 threshold.</x:v>
      </x:c>
      <x:c r="O419" s="160" t="str">
        <x:v>Medina County</x:v>
      </x:c>
    </x:row>
    <x:row r="420">
      <x:c r="A420" s="28" t="n">
        <x:v>430</x:v>
      </x:c>
      <x:c r="B420" s="28" t="str">
        <x:v>Brockton</x:v>
      </x:c>
      <x:c r="C420" s="28" t="str">
        <x:v>MA</x:v>
      </x:c>
      <x:c r="D420" s="204" t="n">
        <x:v>21.33</x:v>
      </x:c>
      <x:c r="E420" s="28" t="n">
        <x:v>0</x:v>
      </x:c>
      <x:c r="F420" s="28" t="n">
        <x:v>0</x:v>
      </x:c>
      <x:c r="G420" s="28" t="n">
        <x:v>0</x:v>
      </x:c>
      <x:c r="H420" s="28" t="n">
        <x:v>0</x:v>
      </x:c>
      <x:c r="I420" s="28" t="n">
        <x:v>0</x:v>
      </x:c>
      <x:c r="J420" s="28" t="n">
        <x:v>1</x:v>
      </x:c>
      <x:c r="K420" s="28" t="n">
        <x:f>SUM(E420:J420)</x:f>
        <x:v>1</x:v>
      </x:c>
      <x:c r="L420" s="205" t="n">
        <x:f>IFERROR(K420/D420,0)</x:f>
        <x:v>0.04688232536333802</x:v>
      </x:c>
      <x:c r="M420" s="160" t="str">
        <x:v>Presence-floor proxy only — restricted-state adjacency expansion</x:v>
      </x:c>
      <x:c r="N420" s="160" t="str">
        <x:v>Census V2025 population 106,134. Added for Plymouth County completion; one-store screening floor pending production GIS verification.</x:v>
      </x:c>
      <x:c r="O420" s="160" t="str">
        <x:v>Plymouth County</x:v>
      </x:c>
    </x:row>
    <x:row r="421">
      <x:c r="A421" s="28" t="n">
        <x:v>431</x:v>
      </x:c>
      <x:c r="B421" s="28" t="str">
        <x:v>Falls Township</x:v>
      </x:c>
      <x:c r="C421" s="28" t="str">
        <x:v>PA</x:v>
      </x:c>
      <x:c r="D421" s="204" t="n">
        <x:v>21.333</x:v>
      </x:c>
      <x:c r="E421" s="28" t="n">
        <x:v>0</x:v>
      </x:c>
      <x:c r="F421" s="28" t="n">
        <x:v>0</x:v>
      </x:c>
      <x:c r="G421" s="28" t="n">
        <x:v>0</x:v>
      </x:c>
      <x:c r="H421" s="28" t="n">
        <x:v>0</x:v>
      </x:c>
      <x:c r="I421" s="28" t="n">
        <x:v>0</x:v>
      </x:c>
      <x:c r="J421" s="28" t="n">
        <x:v>1</x:v>
      </x:c>
      <x:c r="K421" s="28" t="n">
        <x:f>SUM(E421:J421)</x:f>
        <x:v>1</x:v>
      </x:c>
      <x:c r="L421" s="205" t="n">
        <x:f>IFERROR(K421/D421,0)</x:f>
        <x:v>0.04687573243331927</x:v>
      </x:c>
      <x:c r="M421" s="160" t="str">
        <x:v>Presence-floor proxy only — 10k+ municipality completion</x:v>
      </x:c>
      <x:c r="N42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21" s="160" t="str">
        <x:v>Bucks County</x:v>
      </x:c>
    </x:row>
    <x:row r="422">
      <x:c r="A422" s="28" t="n">
        <x:v>432</x:v>
      </x:c>
      <x:c r="B422" s="28" t="str">
        <x:v>Albany</x:v>
      </x:c>
      <x:c r="C422" s="28" t="str">
        <x:v>NY</x:v>
      </x:c>
      <x:c r="D422" s="204" t="n">
        <x:v>21.4</x:v>
      </x:c>
      <x:c r="E422" s="28" t="n">
        <x:v>0</x:v>
      </x:c>
      <x:c r="F422" s="28" t="n">
        <x:v>0</x:v>
      </x:c>
      <x:c r="G422" s="28" t="n">
        <x:v>0</x:v>
      </x:c>
      <x:c r="H422" s="28" t="n">
        <x:v>0</x:v>
      </x:c>
      <x:c r="I422" s="28" t="n">
        <x:v>0</x:v>
      </x:c>
      <x:c r="J422" s="28" t="n">
        <x:v>1</x:v>
      </x:c>
      <x:c r="K422" s="28" t="n">
        <x:f>SUM(E422:J422)</x:f>
        <x:v>1</x:v>
      </x:c>
      <x:c r="L422" s="205" t="n">
        <x:f>IFERROR(K422/D422,0)</x:f>
        <x:v>0.04672897196261683</x:v>
      </x:c>
      <x:c r="M422" s="160" t="str">
        <x:v>Presence-floor proxy only — restricted-state adjacency expansion</x:v>
      </x:c>
      <x:c r="N422" s="160" t="str">
        <x:v>Census V2025 population 101,698. Whole Foods is verified in Albany County (Colonie); city row retains one-store screening floor pending production GIS boundary attribution.</x:v>
      </x:c>
      <x:c r="O422" s="160" t="str">
        <x:v>Albany County</x:v>
      </x:c>
    </x:row>
    <x:row r="423">
      <x:c r="A423" s="28" t="n">
        <x:v>433</x:v>
      </x:c>
      <x:c r="B423" s="28" t="str">
        <x:v>Hialeah</x:v>
      </x:c>
      <x:c r="C423" s="28" t="str">
        <x:v>FL</x:v>
      </x:c>
      <x:c r="D423" s="204" t="n">
        <x:v>21.45</x:v>
      </x:c>
      <x:c r="E423" s="28" t="n">
        <x:v>0</x:v>
      </x:c>
      <x:c r="F423" s="28" t="n">
        <x:v>0</x:v>
      </x:c>
      <x:c r="G423" s="28" t="n">
        <x:v>0</x:v>
      </x:c>
      <x:c r="H423" s="28" t="n">
        <x:v>0</x:v>
      </x:c>
      <x:c r="I423" s="28" t="n">
        <x:v>0</x:v>
      </x:c>
      <x:c r="J423" s="28" t="n">
        <x:v>1</x:v>
      </x:c>
      <x:c r="K423" s="28" t="n">
        <x:f>SUM(E423:J423)</x:f>
        <x:v>1</x:v>
      </x:c>
      <x:c r="L423" s="205" t="n">
        <x:f>IFERROR(K423/D423,0)</x:f>
        <x:v>0.046620046620046623</x:v>
      </x:c>
      <x:c r="M423" s="160" t="str">
        <x:v>Presence-floor proxy only</x:v>
      </x:c>
      <x:c r="N423" s="160" t="str">
        <x:v>One-store screening floor only; exact selected-chain count and 5-mile buffer require GIS verification.</x:v>
      </x:c>
      <x:c r="O423" s="160" t="str">
        <x:v>Miami-Dade County</x:v>
      </x:c>
    </x:row>
    <x:row r="424">
      <x:c r="A424" s="28" t="n">
        <x:v>434</x:v>
      </x:c>
      <x:c r="B424" s="28" t="str">
        <x:v>Hamilton</x:v>
      </x:c>
      <x:c r="C424" s="28" t="str">
        <x:v>OH</x:v>
      </x:c>
      <x:c r="D424" s="204" t="n">
        <x:v>21.45</x:v>
      </x:c>
      <x:c r="E424" s="28" t="n">
        <x:v>0</x:v>
      </x:c>
      <x:c r="F424" s="28" t="n">
        <x:v>0</x:v>
      </x:c>
      <x:c r="G424" s="28" t="n">
        <x:v>0</x:v>
      </x:c>
      <x:c r="H424" s="28" t="n">
        <x:v>0</x:v>
      </x:c>
      <x:c r="I424" s="28" t="n">
        <x:v>0</x:v>
      </x:c>
      <x:c r="J424" s="28" t="n">
        <x:v>1</x:v>
      </x:c>
      <x:c r="K424" s="28" t="n">
        <x:f>SUM(E424:J424)</x:f>
        <x:v>1</x:v>
      </x:c>
      <x:c r="L424" s="205" t="n">
        <x:f>IFERROR(K424/D424,0)</x:f>
        <x:v>0.046620046620046623</x:v>
      </x:c>
      <x:c r="M424" s="160" t="str">
        <x:v>Presence-floor proxy only — restricted-state adjacency expansion</x:v>
      </x:c>
      <x:c r="N424" s="160" t="str">
        <x:v>Census V2025 population 64,644. Added to complete ≥50,000 city coverage in Butler County; one-store screening floor.</x:v>
      </x:c>
      <x:c r="O424" s="160" t="str">
        <x:v>Butler County</x:v>
      </x:c>
    </x:row>
    <x:row r="425">
      <x:c r="A425" s="28" t="n">
        <x:v>435</x:v>
      </x:c>
      <x:c r="B425" s="28" t="str">
        <x:v>Portland</x:v>
      </x:c>
      <x:c r="C425" s="28" t="str">
        <x:v>ME</x:v>
      </x:c>
      <x:c r="D425" s="204" t="n">
        <x:v>21.54</x:v>
      </x:c>
      <x:c r="E425" s="28" t="n">
        <x:v>1</x:v>
      </x:c>
      <x:c r="F425" s="28" t="n">
        <x:v>0</x:v>
      </x:c>
      <x:c r="G425" s="28" t="n">
        <x:v>0</x:v>
      </x:c>
      <x:c r="H425" s="28" t="n">
        <x:v>0</x:v>
      </x:c>
      <x:c r="I425" s="28" t="n">
        <x:v>0</x:v>
      </x:c>
      <x:c r="J425" s="28" t="n">
        <x:v>0</x:v>
      </x:c>
      <x:c r="K425" s="28" t="n">
        <x:f>SUM(E425:J425)</x:f>
        <x:v>1</x:v>
      </x:c>
      <x:c r="L425" s="205" t="n">
        <x:f>IFERROR(K425/D425,0)</x:f>
        <x:v>0.04642525533890437</x:v>
      </x:c>
      <x:c r="M425" s="160" t="str">
        <x:v>Confirmed lower bound — restricted-state adjacency expansion</x:v>
      </x:c>
      <x:c r="N425" s="160" t="str">
        <x:v>Census V2025 population 69,911. Whole Foods Portland at 2 Somerset St is directly verified inside Portland; Census QuickFacts 2020 land area.</x:v>
      </x:c>
      <x:c r="O425" s="160" t="str">
        <x:v>Cumberland County</x:v>
      </x:c>
    </x:row>
    <x:row r="426">
      <x:c r="A426" s="28" t="n">
        <x:v>436</x:v>
      </x:c>
      <x:c r="B426" s="28" t="str">
        <x:v>Butler township</x:v>
      </x:c>
      <x:c r="C426" s="28" t="str">
        <x:v>PA</x:v>
      </x:c>
      <x:c r="D426" s="204" t="n">
        <x:v>21.62</x:v>
      </x:c>
      <x:c r="E426" s="28" t="n">
        <x:v>0</x:v>
      </x:c>
      <x:c r="F426" s="28" t="n">
        <x:v>0</x:v>
      </x:c>
      <x:c r="G426" s="28" t="n">
        <x:v>0</x:v>
      </x:c>
      <x:c r="H426" s="28" t="n">
        <x:v>0</x:v>
      </x:c>
      <x:c r="I426" s="28" t="n">
        <x:v>0</x:v>
      </x:c>
      <x:c r="J426" s="28" t="n">
        <x:v>1</x:v>
      </x:c>
      <x:c r="K426" s="28" t="n">
        <x:f>SUM(E426:J426)</x:f>
        <x:v>1</x:v>
      </x:c>
      <x:c r="L426" s="205" t="n">
        <x:f>IFERROR(K426/D426,0)</x:f>
        <x:v>0.04625346901017576</x:v>
      </x:c>
      <x:c r="M426" s="160" t="str">
        <x:v>Presence-floor proxy only — 10k+ municipality completion</x:v>
      </x:c>
      <x:c r="N426" s="160" t="str">
        <x:v>Added under the &gt;=50k-county expansion rule: Census Vintage 2025 municipality population &gt;=10,000; general-purpose city-equivalent municipality; direct Census adjacency. Presence-floor proxy only — exact tracked-chain count requires municipal-boundary/GIS verification.</x:v>
      </x:c>
      <x:c r="O426" s="160" t="str">
        <x:v>Butler County</x:v>
      </x:c>
    </x:row>
    <x:row r="427">
      <x:c r="A427" s="28" t="n">
        <x:v>437</x:v>
      </x:c>
      <x:c r="B427" s="28" t="str">
        <x:v>DeSoto</x:v>
      </x:c>
      <x:c r="C427" s="28" t="str">
        <x:v>TX</x:v>
      </x:c>
      <x:c r="D427" s="204" t="n">
        <x:v>21.637</x:v>
      </x:c>
      <x:c r="E427" s="28" t="n">
        <x:v>0</x:v>
      </x:c>
      <x:c r="F427" s="28" t="n">
        <x:v>0</x:v>
      </x:c>
      <x:c r="G427" s="28" t="n">
        <x:v>0</x:v>
      </x:c>
      <x:c r="H427" s="28" t="n">
        <x:v>0</x:v>
      </x:c>
      <x:c r="I427" s="28" t="n">
        <x:v>0</x:v>
      </x:c>
      <x:c r="J427" s="28" t="n">
        <x:v>1</x:v>
      </x:c>
      <x:c r="K427" s="28" t="n">
        <x:f>SUM(E427:J427)</x:f>
        <x:v>1</x:v>
      </x:c>
      <x:c r="L427" s="205" t="n">
        <x:f>IFERROR(K427/D427,0)</x:f>
        <x:v>0.04621712806766187</x:v>
      </x:c>
      <x:c r="M427" s="160" t="str">
        <x:v>Presence-floor proxy only — 50k+ county completion</x:v>
      </x:c>
      <x:c r="N427" s="160" t="str">
        <x:v>Added to complete ≥50,000-population incorporated-place coverage in a top-5 store-count county using Census Vintage 2025 eligibility. One-store screening floor only; exact selected-chain count and 5-mile buffer require GIS verification.</x:v>
      </x:c>
      <x:c r="O427" s="160" t="str">
        <x:v>Dallas County</x:v>
      </x:c>
    </x:row>
    <x:row r="428">
      <x:c r="A428" s="28" t="n">
        <x:v>438</x:v>
      </x:c>
      <x:c r="B428" s="28" t="str">
        <x:v>New Hanover Township</x:v>
      </x:c>
      <x:c r="C428" s="28" t="str">
        <x:v>PA</x:v>
      </x:c>
      <x:c r="D428" s="204" t="n">
        <x:v>21.645</x:v>
      </x:c>
      <x:c r="E428" s="28" t="n">
        <x:v>0</x:v>
      </x:c>
      <x:c r="F428" s="28" t="n">
        <x:v>0</x:v>
      </x:c>
      <x:c r="G428" s="28" t="n">
        <x:v>0</x:v>
      </x:c>
      <x:c r="H428" s="28" t="n">
        <x:v>0</x:v>
      </x:c>
      <x:c r="I428" s="28" t="n">
        <x:v>0</x:v>
      </x:c>
      <x:c r="J428" s="28" t="n">
        <x:v>1</x:v>
      </x:c>
      <x:c r="K428" s="28" t="n">
        <x:f>SUM(E428:J428)</x:f>
        <x:v>1</x:v>
      </x:c>
      <x:c r="L428" s="205" t="n">
        <x:f>IFERROR(K428/D428,0)</x:f>
        <x:v>0.0462000462000462</x:v>
      </x:c>
      <x:c r="M428" s="160" t="str">
        <x:v>Presence-floor proxy only — 10k+ municipality completion</x:v>
      </x:c>
      <x:c r="N428"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28" s="160" t="str">
        <x:v>Montgomery County</x:v>
      </x:c>
    </x:row>
    <x:row r="429">
      <x:c r="A429" s="28" t="n">
        <x:v>439</x:v>
      </x:c>
      <x:c r="B429" s="28" t="str">
        <x:v>South Lebanon Township</x:v>
      </x:c>
      <x:c r="C429" s="28" t="str">
        <x:v>PA</x:v>
      </x:c>
      <x:c r="D429" s="204" t="n">
        <x:v>21.682</x:v>
      </x:c>
      <x:c r="E429" s="28" t="n">
        <x:v>0</x:v>
      </x:c>
      <x:c r="F429" s="28" t="n">
        <x:v>0</x:v>
      </x:c>
      <x:c r="G429" s="28" t="n">
        <x:v>0</x:v>
      </x:c>
      <x:c r="H429" s="28" t="n">
        <x:v>0</x:v>
      </x:c>
      <x:c r="I429" s="28" t="n">
        <x:v>0</x:v>
      </x:c>
      <x:c r="J429" s="28" t="n">
        <x:v>1</x:v>
      </x:c>
      <x:c r="K429" s="28" t="n">
        <x:f>SUM(E429:J429)</x:f>
        <x:v>1</x:v>
      </x:c>
      <x:c r="L429" s="205" t="n">
        <x:f>IFERROR(K429/D429,0)</x:f>
        <x:v>0.04612120653076285</x:v>
      </x:c>
      <x:c r="M429" s="160" t="str">
        <x:v>Presence-floor proxy only — 10k+ municipality completion</x:v>
      </x:c>
      <x:c r="N429" s="160" t="str">
        <x:v>Added under the &gt;=50k-county expansion rule: Census Vintage 2025 municipality population &gt;=10,000; general-purpose city-equivalent municipality; direct Census adjacency. Presence-floor proxy only — exact tracked-chain count requires municipal-boundary/GIS verification. South Lebanon Township is V2025 10,735; North Cornwall and South Londonderry remain below 10,000.</x:v>
      </x:c>
      <x:c r="O429" s="160" t="str">
        <x:v>Lebanon County</x:v>
      </x:c>
    </x:row>
    <x:row r="430">
      <x:c r="A430" s="28" t="n">
        <x:v>440</x:v>
      </x:c>
      <x:c r="B430" s="28" t="str">
        <x:v>Mount Laurel Township</x:v>
      </x:c>
      <x:c r="C430" s="28" t="str">
        <x:v>NJ</x:v>
      </x:c>
      <x:c r="D430" s="204" t="n">
        <x:v>21.724</x:v>
      </x:c>
      <x:c r="E430" s="28" t="n">
        <x:v>0</x:v>
      </x:c>
      <x:c r="F430" s="28" t="n">
        <x:v>0</x:v>
      </x:c>
      <x:c r="G430" s="28" t="n">
        <x:v>0</x:v>
      </x:c>
      <x:c r="H430" s="28" t="n">
        <x:v>0</x:v>
      </x:c>
      <x:c r="I430" s="28" t="n">
        <x:v>0</x:v>
      </x:c>
      <x:c r="J430" s="28" t="n">
        <x:v>1</x:v>
      </x:c>
      <x:c r="K430" s="28" t="n">
        <x:f>SUM(E430:J430)</x:f>
        <x:v>1</x:v>
      </x:c>
      <x:c r="L430" s="205" t="n">
        <x:f>IFERROR(K430/D430,0)</x:f>
        <x:v>0.04603203829865586</x:v>
      </x:c>
      <x:c r="M430" s="160" t="str">
        <x:v>Presence-floor proxy only — 10k+ municipality completion</x:v>
      </x:c>
      <x:c r="N43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430" s="160" t="str">
        <x:v>Burlington County</x:v>
      </x:c>
    </x:row>
    <x:row r="431">
      <x:c r="A431" s="28" t="n">
        <x:v>442</x:v>
      </x:c>
      <x:c r="B431" s="28" t="str">
        <x:v>Ventura</x:v>
      </x:c>
      <x:c r="C431" s="28" t="str">
        <x:v>CA</x:v>
      </x:c>
      <x:c r="D431" s="204" t="n">
        <x:v>21.9</x:v>
      </x:c>
      <x:c r="E431" s="28" t="n">
        <x:v>0</x:v>
      </x:c>
      <x:c r="F431" s="28" t="n">
        <x:v>0</x:v>
      </x:c>
      <x:c r="G431" s="28" t="n">
        <x:v>0</x:v>
      </x:c>
      <x:c r="H431" s="28" t="n">
        <x:v>0</x:v>
      </x:c>
      <x:c r="I431" s="28" t="n">
        <x:v>0</x:v>
      </x:c>
      <x:c r="J431" s="28" t="n">
        <x:v>1</x:v>
      </x:c>
      <x:c r="K431" s="28" t="n">
        <x:f>SUM(E431:J431)</x:f>
        <x:v>1</x:v>
      </x:c>
      <x:c r="L431" s="205" t="n">
        <x:f>IFERROR(K431/D431,0)</x:f>
        <x:v>0.04566210045662101</x:v>
      </x:c>
      <x:c r="M431" s="160" t="str">
        <x:v>Presence-floor proxy only — 300-city expansion</x:v>
      </x:c>
      <x:c r="N431" s="160" t="str">
        <x:v>Added in the 300-city screening expansion. One-store screening floor only; exact selected-chain count and 5-mile buffer require GIS verification.</x:v>
      </x:c>
      <x:c r="O431" s="160" t="str">
        <x:v>Ventura County</x:v>
      </x:c>
    </x:row>
    <x:row r="432">
      <x:c r="A432" s="28" t="n">
        <x:v>443</x:v>
      </x:c>
      <x:c r="B432" s="28" t="str">
        <x:v>Plantation</x:v>
      </x:c>
      <x:c r="C432" s="28" t="str">
        <x:v>FL</x:v>
      </x:c>
      <x:c r="D432" s="204" t="n">
        <x:v>21.93</x:v>
      </x:c>
      <x:c r="E432" s="28" t="n">
        <x:v>0</x:v>
      </x:c>
      <x:c r="F432" s="28" t="n">
        <x:v>0</x:v>
      </x:c>
      <x:c r="G432" s="28" t="n">
        <x:v>0</x:v>
      </x:c>
      <x:c r="H432" s="28" t="n">
        <x:v>0</x:v>
      </x:c>
      <x:c r="I432" s="28" t="n">
        <x:v>0</x:v>
      </x:c>
      <x:c r="J432" s="28" t="n">
        <x:v>1</x:v>
      </x:c>
      <x:c r="K432" s="28" t="n">
        <x:f>SUM(E432:J432)</x:f>
        <x:v>1</x:v>
      </x:c>
      <x:c r="L432" s="205" t="n">
        <x:f>IFERROR(K432/D432,0)</x:f>
        <x:v>0.045599635202918376</x:v>
      </x:c>
      <x:c r="M432" s="160" t="str">
        <x:v>Presence-floor proxy only — 50k+ county completion</x:v>
      </x:c>
      <x:c r="N432"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432" s="160" t="str">
        <x:v>Broward County</x:v>
      </x:c>
    </x:row>
    <x:row r="433">
      <x:c r="A433" s="28" t="n">
        <x:v>444</x:v>
      </x:c>
      <x:c r="B433" s="28" t="str">
        <x:v>Orland Park</x:v>
      </x:c>
      <x:c r="C433" s="28" t="str">
        <x:v>IL</x:v>
      </x:c>
      <x:c r="D433" s="204" t="n">
        <x:v>22.042</x:v>
      </x:c>
      <x:c r="E433" s="28" t="n">
        <x:v>0</x:v>
      </x:c>
      <x:c r="F433" s="28" t="n">
        <x:v>0</x:v>
      </x:c>
      <x:c r="G433" s="28" t="n">
        <x:v>0</x:v>
      </x:c>
      <x:c r="H433" s="28" t="n">
        <x:v>0</x:v>
      </x:c>
      <x:c r="I433" s="28" t="n">
        <x:v>0</x:v>
      </x:c>
      <x:c r="J433" s="28" t="n">
        <x:v>1</x:v>
      </x:c>
      <x:c r="K433" s="28" t="n">
        <x:f>SUM(E433:J433)</x:f>
        <x:v>1</x:v>
      </x:c>
      <x:c r="L433" s="205" t="n">
        <x:f>IFERROR(K433/D433,0)</x:f>
        <x:v>0.045367933944288175</x:v>
      </x:c>
      <x:c r="M433" s="160" t="str">
        <x:v>Presence-floor proxy only — 50k+ county completion</x:v>
      </x:c>
      <x:c r="N433" s="160" t="str">
        <x:v>Added to complete ≥50,000-population incorporated-place coverage in counties ranked 6–10 by store count under the same Census Vintage 2025 screen. One-store screening floor only; exact selected-chain count and 5-mile buffer require GIS verification.</x:v>
      </x:c>
      <x:c r="O433" s="160" t="str">
        <x:v>Cook County</x:v>
      </x:c>
    </x:row>
    <x:row r="434">
      <x:c r="A434" s="28" t="n">
        <x:v>445</x:v>
      </x:c>
      <x:c r="B434" s="28" t="str">
        <x:v>Sunnyvale</x:v>
      </x:c>
      <x:c r="C434" s="28" t="str">
        <x:v>CA</x:v>
      </x:c>
      <x:c r="D434" s="204" t="n">
        <x:v>22.1</x:v>
      </x:c>
      <x:c r="E434" s="28" t="n">
        <x:v>0</x:v>
      </x:c>
      <x:c r="F434" s="28" t="n">
        <x:v>0</x:v>
      </x:c>
      <x:c r="G434" s="28" t="n">
        <x:v>0</x:v>
      </x:c>
      <x:c r="H434" s="28" t="n">
        <x:v>0</x:v>
      </x:c>
      <x:c r="I434" s="28" t="n">
        <x:v>0</x:v>
      </x:c>
      <x:c r="J434" s="28" t="n">
        <x:v>1</x:v>
      </x:c>
      <x:c r="K434" s="28" t="n">
        <x:f>SUM(E434:J434)</x:f>
        <x:v>1</x:v>
      </x:c>
      <x:c r="L434" s="205" t="n">
        <x:f>IFERROR(K434/D434,0)</x:f>
        <x:v>0.04524886877828054</x:v>
      </x:c>
      <x:c r="M434" s="160" t="str">
        <x:v>Presence-floor proxy only — 200-city expansion</x:v>
      </x:c>
      <x:c r="N434" s="160" t="str">
        <x:v>Added in the 200-city screening expansion. One-store screening floor only; exact selected-chain count and 5-mile buffer require GIS verification.</x:v>
      </x:c>
      <x:c r="O434" s="160" t="str">
        <x:v>Santa Clara County</x:v>
      </x:c>
    </x:row>
    <x:row r="435">
      <x:c r="A435" s="28" t="n">
        <x:v>446</x:v>
      </x:c>
      <x:c r="B435" s="28" t="str">
        <x:v>Methuen</x:v>
      </x:c>
      <x:c r="C435" s="28" t="str">
        <x:v>MA</x:v>
      </x:c>
      <x:c r="D435" s="204" t="n">
        <x:v>22.21</x:v>
      </x:c>
      <x:c r="E435" s="28" t="n">
        <x:v>0</x:v>
      </x:c>
      <x:c r="F435" s="28" t="n">
        <x:v>0</x:v>
      </x:c>
      <x:c r="G435" s="28" t="n">
        <x:v>0</x:v>
      </x:c>
      <x:c r="H435" s="28" t="n">
        <x:v>0</x:v>
      </x:c>
      <x:c r="I435" s="28" t="n">
        <x:v>0</x:v>
      </x:c>
      <x:c r="J435" s="28" t="n">
        <x:v>1</x:v>
      </x:c>
      <x:c r="K435" s="28" t="n">
        <x:f>SUM(E435:J435)</x:f>
        <x:v>1</x:v>
      </x:c>
      <x:c r="L435" s="205" t="n">
        <x:f>IFERROR(K435/D435,0)</x:f>
        <x:v>0.04502476361999099</x:v>
      </x:c>
      <x:c r="M435" s="160" t="str">
        <x:v>Presence-floor proxy only — restricted-state adjacency expansion</x:v>
      </x:c>
      <x:c r="N435" s="160" t="str">
        <x:v>Census V2025 population 54,584. Current Census incorporated-place name is Methuen city; land area derived from current TIGER incorporated-place ALAND.</x:v>
      </x:c>
      <x:c r="O435" s="160" t="str">
        <x:v>Essex County</x:v>
      </x:c>
    </x:row>
    <x:row r="436">
      <x:c r="A436" s="28" t="n">
        <x:v>447</x:v>
      </x:c>
      <x:c r="B436" s="28" t="str">
        <x:v>Haverstraw Town</x:v>
      </x:c>
      <x:c r="C436" s="28" t="str">
        <x:v>NY</x:v>
      </x:c>
      <x:c r="D436" s="204" t="n">
        <x:v>22.276</x:v>
      </x:c>
      <x:c r="E436" s="28" t="n">
        <x:v>0</x:v>
      </x:c>
      <x:c r="F436" s="28" t="n">
        <x:v>0</x:v>
      </x:c>
      <x:c r="G436" s="28" t="n">
        <x:v>0</x:v>
      </x:c>
      <x:c r="H436" s="28" t="n">
        <x:v>0</x:v>
      </x:c>
      <x:c r="I436" s="28" t="n">
        <x:v>0</x:v>
      </x:c>
      <x:c r="J436" s="28" t="n">
        <x:v>1</x:v>
      </x:c>
      <x:c r="K436" s="28" t="n">
        <x:f>SUM(E436:J436)</x:f>
        <x:v>1</x:v>
      </x:c>
      <x:c r="L436" s="205" t="n">
        <x:f>IFERROR(K436/D436,0)</x:f>
        <x:v>0.0448913629017777</x:v>
      </x:c>
      <x:c r="M436" s="160" t="str">
        <x:v>Presence-floor proxy only — 10k+ municipality completion</x:v>
      </x:c>
      <x:c r="N436"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Nested New York villages are excluded under the established non-overlapping towns convention.</x:v>
      </x:c>
      <x:c r="O436" s="160" t="str">
        <x:v>Rockland County</x:v>
      </x:c>
    </x:row>
    <x:row r="437">
      <x:c r="A437" s="28" t="n">
        <x:v>448</x:v>
      </x:c>
      <x:c r="B437" s="28" t="str">
        <x:v>Adams township</x:v>
      </x:c>
      <x:c r="C437" s="28" t="str">
        <x:v>PA</x:v>
      </x:c>
      <x:c r="D437" s="204" t="n">
        <x:v>22.34</x:v>
      </x:c>
      <x:c r="E437" s="28" t="n">
        <x:v>0</x:v>
      </x:c>
      <x:c r="F437" s="28" t="n">
        <x:v>0</x:v>
      </x:c>
      <x:c r="G437" s="28" t="n">
        <x:v>0</x:v>
      </x:c>
      <x:c r="H437" s="28" t="n">
        <x:v>0</x:v>
      </x:c>
      <x:c r="I437" s="28" t="n">
        <x:v>0</x:v>
      </x:c>
      <x:c r="J437" s="28" t="n">
        <x:v>1</x:v>
      </x:c>
      <x:c r="K437" s="28" t="n">
        <x:f>SUM(E437:J437)</x:f>
        <x:v>1</x:v>
      </x:c>
      <x:c r="L437" s="205" t="n">
        <x:f>IFERROR(K437/D437,0)</x:f>
        <x:v>0.044762757385854966</x:v>
      </x:c>
      <x:c r="M437" s="160" t="str">
        <x:v>Presence-floor proxy only — 10k+ municipality completion</x:v>
      </x:c>
      <x:c r="N437" s="160" t="str">
        <x:v>Added under the &gt;=50k-county expansion rule: Census Vintage 2025 municipality population &gt;=10,000; general-purpose city-equivalent municipality; direct Census adjacency. Presence-floor proxy only — exact tracked-chain count requires municipal-boundary/GIS verification.</x:v>
      </x:c>
      <x:c r="O437" s="160" t="str">
        <x:v>Butler County</x:v>
      </x:c>
    </x:row>
    <x:row r="438">
      <x:c r="A438" s="28" t="n">
        <x:v>449</x:v>
      </x:c>
      <x:c r="B438" s="28" t="str">
        <x:v>Fullerton</x:v>
      </x:c>
      <x:c r="C438" s="28" t="str">
        <x:v>CA</x:v>
      </x:c>
      <x:c r="D438" s="204" t="n">
        <x:v>22.4</x:v>
      </x:c>
      <x:c r="E438" s="28" t="n">
        <x:v>0</x:v>
      </x:c>
      <x:c r="F438" s="28" t="n">
        <x:v>0</x:v>
      </x:c>
      <x:c r="G438" s="28" t="n">
        <x:v>0</x:v>
      </x:c>
      <x:c r="H438" s="28" t="n">
        <x:v>0</x:v>
      </x:c>
      <x:c r="I438" s="28" t="n">
        <x:v>0</x:v>
      </x:c>
      <x:c r="J438" s="28" t="n">
        <x:v>1</x:v>
      </x:c>
      <x:c r="K438" s="28" t="n">
        <x:f>SUM(E438:J438)</x:f>
        <x:v>1</x:v>
      </x:c>
      <x:c r="L438" s="205" t="n">
        <x:f>IFERROR(K438/D438,0)</x:f>
        <x:v>0.044642857142857144</x:v>
      </x:c>
      <x:c r="M438" s="160" t="str">
        <x:v>Presence-floor proxy only — 250-city expansion</x:v>
      </x:c>
      <x:c r="N438" s="160" t="str">
        <x:v>Added in the 250-city screening expansion. One-store screening floor only; exact selected-chain count and 5-mile buffer require GIS verification.</x:v>
      </x:c>
      <x:c r="O438" s="160" t="str">
        <x:v>Orange County</x:v>
      </x:c>
    </x:row>
    <x:row r="439">
      <x:c r="A439" s="28" t="n">
        <x:v>450</x:v>
      </x:c>
      <x:c r="B439" s="28" t="str">
        <x:v>Durham town</x:v>
      </x:c>
      <x:c r="C439" s="28" t="str">
        <x:v>NH</x:v>
      </x:c>
      <x:c r="D439" s="204" t="n">
        <x:v>22.413</x:v>
      </x:c>
      <x:c r="E439" s="28" t="n">
        <x:v>0</x:v>
      </x:c>
      <x:c r="F439" s="28" t="n">
        <x:v>0</x:v>
      </x:c>
      <x:c r="G439" s="28" t="n">
        <x:v>0</x:v>
      </x:c>
      <x:c r="H439" s="28" t="n">
        <x:v>0</x:v>
      </x:c>
      <x:c r="I439" s="28" t="n">
        <x:v>0</x:v>
      </x:c>
      <x:c r="J439" s="28" t="n">
        <x:v>1</x:v>
      </x:c>
      <x:c r="K439" s="28" t="n">
        <x:f>SUM(E439:J439)</x:f>
        <x:v>1</x:v>
      </x:c>
      <x:c r="L439" s="205" t="n">
        <x:f>IFERROR(K439/D439,0)</x:f>
        <x:v>0.04461696336947307</x:v>
      </x:c>
      <x:c r="M439" s="160" t="str">
        <x:v>Presence-floor proxy only — 10k+ municipality completion</x:v>
      </x:c>
      <x:c r="N439" s="160" t="str">
        <x:v>Added under the 2026-09-15 &gt;=50k-county expansion rule: Census Vintage 2025 municipality population &gt;=10,000; general-purpose city-equivalent municipality; direct Census adjacency. Presence-floor proxy only — exact tracked-chain count requires municipal-boundary/GIS verification. Barrington remains below the 10,000 threshold.</x:v>
      </x:c>
      <x:c r="O439" s="160" t="str">
        <x:v>Strafford County</x:v>
      </x:c>
    </x:row>
    <x:row r="440">
      <x:c r="A440" s="28" t="n">
        <x:v>451</x:v>
      </x:c>
      <x:c r="B440" s="28" t="str">
        <x:v>Cathedral City</x:v>
      </x:c>
      <x:c r="C440" s="28" t="str">
        <x:v>CA</x:v>
      </x:c>
      <x:c r="D440" s="204" t="n">
        <x:v>22.476</x:v>
      </x:c>
      <x:c r="E440" s="28" t="n">
        <x:v>0</x:v>
      </x:c>
      <x:c r="F440" s="28" t="n">
        <x:v>0</x:v>
      </x:c>
      <x:c r="G440" s="28" t="n">
        <x:v>0</x:v>
      </x:c>
      <x:c r="H440" s="28" t="n">
        <x:v>0</x:v>
      </x:c>
      <x:c r="I440" s="28" t="n">
        <x:v>0</x:v>
      </x:c>
      <x:c r="J440" s="28" t="n">
        <x:v>1</x:v>
      </x:c>
      <x:c r="K440" s="28" t="n">
        <x:f>SUM(E440:J440)</x:f>
        <x:v>1</x:v>
      </x:c>
      <x:c r="L440" s="205" t="n">
        <x:f>IFERROR(K440/D440,0)</x:f>
        <x:v>0.04449190247374978</x:v>
      </x:c>
      <x:c r="M440" s="160" t="str">
        <x:v>Presence-floor proxy only — 50k+ county completion</x:v>
      </x:c>
      <x:c r="N440"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440" s="160" t="str">
        <x:v>Riverside County</x:v>
      </x:c>
    </x:row>
    <x:row r="441">
      <x:c r="A441" s="28" t="n">
        <x:v>452</x:v>
      </x:c>
      <x:c r="B441" s="28" t="str">
        <x:v>Limerick Township</x:v>
      </x:c>
      <x:c r="C441" s="28" t="str">
        <x:v>PA</x:v>
      </x:c>
      <x:c r="D441" s="204" t="n">
        <x:v>22.499</x:v>
      </x:c>
      <x:c r="E441" s="28" t="n">
        <x:v>0</x:v>
      </x:c>
      <x:c r="F441" s="28" t="n">
        <x:v>0</x:v>
      </x:c>
      <x:c r="G441" s="28" t="n">
        <x:v>0</x:v>
      </x:c>
      <x:c r="H441" s="28" t="n">
        <x:v>0</x:v>
      </x:c>
      <x:c r="I441" s="28" t="n">
        <x:v>0</x:v>
      </x:c>
      <x:c r="J441" s="28" t="n">
        <x:v>1</x:v>
      </x:c>
      <x:c r="K441" s="28" t="n">
        <x:f>SUM(E441:J441)</x:f>
        <x:v>1</x:v>
      </x:c>
      <x:c r="L441" s="205" t="n">
        <x:f>IFERROR(K441/D441,0)</x:f>
        <x:v>0.044446419840881816</x:v>
      </x:c>
      <x:c r="M441" s="160" t="str">
        <x:v>Presence-floor proxy only — 10k+ municipality completion</x:v>
      </x:c>
      <x:c r="N44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41" s="160" t="str">
        <x:v>Montgomery County</x:v>
      </x:c>
    </x:row>
    <x:row r="442">
      <x:c r="A442" s="28" t="n">
        <x:v>453</x:v>
      </x:c>
      <x:c r="B442" s="28" t="str">
        <x:v>Tampa</x:v>
      </x:c>
      <x:c r="C442" s="28" t="str">
        <x:v>FL</x:v>
      </x:c>
      <x:c r="D442" s="204" t="n">
        <x:v>113.409</x:v>
      </x:c>
      <x:c r="E442" s="28" t="n">
        <x:v>0</x:v>
      </x:c>
      <x:c r="F442" s="28" t="n">
        <x:v>5</x:v>
      </x:c>
      <x:c r="G442" s="28" t="n">
        <x:v>0</x:v>
      </x:c>
      <x:c r="H442" s="28" t="n">
        <x:v>0</x:v>
      </x:c>
      <x:c r="I442" s="28" t="n">
        <x:v>0</x:v>
      </x:c>
      <x:c r="J442" s="28" t="n">
        <x:v>0</x:v>
      </x:c>
      <x:c r="K442" s="28" t="n">
        <x:f>SUM(E442:J442)</x:f>
        <x:v>5</x:v>
      </x:c>
      <x:c r="L442" s="205" t="n">
        <x:f>IFERROR(K442/D442,0)</x:f>
        <x:v>0.04408821169395727</x:v>
      </x:c>
      <x:c r="M442" s="160" t="str">
        <x:v>Confirmed lower bound</x:v>
      </x:c>
      <x:c r="N442" s="160" t="str">
        <x:v>Verified public-directory count for ≥1 major chain; other selected chains and 5-mile spillover omitted.</x:v>
      </x:c>
      <x:c r="O442" s="160" t="str">
        <x:v>Hillsborough County</x:v>
      </x:c>
    </x:row>
    <x:row r="443">
      <x:c r="A443" s="28" t="n">
        <x:v>454</x:v>
      </x:c>
      <x:c r="B443" s="28" t="str">
        <x:v>Santa Maria</x:v>
      </x:c>
      <x:c r="C443" s="28" t="str">
        <x:v>CA</x:v>
      </x:c>
      <x:c r="D443" s="204" t="n">
        <x:v>22.8</x:v>
      </x:c>
      <x:c r="E443" s="28" t="n">
        <x:v>0</x:v>
      </x:c>
      <x:c r="F443" s="28" t="n">
        <x:v>0</x:v>
      </x:c>
      <x:c r="G443" s="28" t="n">
        <x:v>0</x:v>
      </x:c>
      <x:c r="H443" s="28" t="n">
        <x:v>0</x:v>
      </x:c>
      <x:c r="I443" s="28" t="n">
        <x:v>0</x:v>
      </x:c>
      <x:c r="J443" s="28" t="n">
        <x:v>1</x:v>
      </x:c>
      <x:c r="K443" s="28" t="n">
        <x:f>SUM(E443:J443)</x:f>
        <x:v>1</x:v>
      </x:c>
      <x:c r="L443" s="205" t="n">
        <x:f>IFERROR(K443/D443,0)</x:f>
        <x:v>0.043859649122807015</x:v>
      </x:c>
      <x:c r="M443" s="160" t="str">
        <x:v>Presence-floor proxy only — 300-city expansion</x:v>
      </x:c>
      <x:c r="N443" s="160" t="str">
        <x:v>Added in the 300-city screening expansion. One-store screening floor only; exact selected-chain count and 5-mile buffer require GIS verification.</x:v>
      </x:c>
      <x:c r="O443" s="160" t="str">
        <x:v>Santa Barbara County</x:v>
      </x:c>
    </x:row>
    <x:row r="444">
      <x:c r="A444" s="28" t="n">
        <x:v>455</x:v>
      </x:c>
      <x:c r="B444" s="28" t="str">
        <x:v>Pierce Township</x:v>
      </x:c>
      <x:c r="C444" s="28" t="str">
        <x:v>OH</x:v>
      </x:c>
      <x:c r="D444" s="204" t="n">
        <x:v>22.842</x:v>
      </x:c>
      <x:c r="E444" s="28" t="n">
        <x:v>0</x:v>
      </x:c>
      <x:c r="F444" s="28" t="n">
        <x:v>0</x:v>
      </x:c>
      <x:c r="G444" s="28" t="n">
        <x:v>0</x:v>
      </x:c>
      <x:c r="H444" s="28" t="n">
        <x:v>0</x:v>
      </x:c>
      <x:c r="I444" s="28" t="n">
        <x:v>0</x:v>
      </x:c>
      <x:c r="J444" s="28" t="n">
        <x:v>1</x:v>
      </x:c>
      <x:c r="K444" s="28" t="n">
        <x:f>SUM(E444:J444)</x:f>
        <x:v>1</x:v>
      </x:c>
      <x:c r="L444" s="205" t="n">
        <x:f>IFERROR(K444/D444,0)</x:f>
        <x:v>0.043779003589878296</x:v>
      </x:c>
      <x:c r="M444" s="160" t="str">
        <x:v>Presence-floor proxy only — 10k+ municipality completion</x:v>
      </x:c>
      <x:c r="N444" s="160" t="str">
        <x:v>Added under the &gt;=50k-county expansion rule: Census Vintage 2025 municipality population &gt;=10,000; general-purpose city-equivalent municipality; direct Census adjacency. Presence-floor proxy only — exact tracked-chain count requires municipal-boundary/GIS verification. Jungle Jim's Eastgate provides strong county specialty-grocery evidence but is not one of the five tracked proxy chains.</x:v>
      </x:c>
      <x:c r="O444" s="160" t="str">
        <x:v>Clermont County</x:v>
      </x:c>
    </x:row>
    <x:row r="445">
      <x:c r="A445" s="28" t="n">
        <x:v>456</x:v>
      </x:c>
      <x:c r="B445" s="28" t="str">
        <x:v>Cranberry township</x:v>
      </x:c>
      <x:c r="C445" s="28" t="str">
        <x:v>PA</x:v>
      </x:c>
      <x:c r="D445" s="204" t="n">
        <x:v>22.89</x:v>
      </x:c>
      <x:c r="E445" s="28" t="n">
        <x:v>0</x:v>
      </x:c>
      <x:c r="F445" s="28" t="n">
        <x:v>0</x:v>
      </x:c>
      <x:c r="G445" s="28" t="n">
        <x:v>0</x:v>
      </x:c>
      <x:c r="H445" s="28" t="n">
        <x:v>1</x:v>
      </x:c>
      <x:c r="I445" s="28" t="n">
        <x:v>0</x:v>
      </x:c>
      <x:c r="J445" s="28" t="n">
        <x:v>0</x:v>
      </x:c>
      <x:c r="K445" s="28" t="n">
        <x:f>SUM(E445:J445)</x:f>
        <x:v>1</x:v>
      </x:c>
      <x:c r="L445" s="205" t="n">
        <x:f>IFERROR(K445/D445,0)</x:f>
        <x:v>0.043687199650502405</x:v>
      </x:c>
      <x:c r="M445" s="160" t="str">
        <x:v>Confirmed lower bound — official retailer store page</x:v>
      </x:c>
      <x:c r="N445" s="160" t="str">
        <x:v>Confirmed lower bound: 1 Fresh Thyme location verified on the retailer's official store page with a municipality-matching address; other tracked chains omitted.</x:v>
      </x:c>
      <x:c r="O445" s="160" t="str">
        <x:v>Butler County</x:v>
      </x:c>
    </x:row>
    <x:row r="446">
      <x:c r="A446" s="28" t="n">
        <x:v>457</x:v>
      </x:c>
      <x:c r="B446" s="28" t="str">
        <x:v>Coral Springs</x:v>
      </x:c>
      <x:c r="C446" s="28" t="str">
        <x:v>FL</x:v>
      </x:c>
      <x:c r="D446" s="204" t="n">
        <x:v>22.9</x:v>
      </x:c>
      <x:c r="E446" s="28" t="n">
        <x:v>0</x:v>
      </x:c>
      <x:c r="F446" s="28" t="n">
        <x:v>0</x:v>
      </x:c>
      <x:c r="G446" s="28" t="n">
        <x:v>0</x:v>
      </x:c>
      <x:c r="H446" s="28" t="n">
        <x:v>0</x:v>
      </x:c>
      <x:c r="I446" s="28" t="n">
        <x:v>0</x:v>
      </x:c>
      <x:c r="J446" s="28" t="n">
        <x:v>1</x:v>
      </x:c>
      <x:c r="K446" s="28" t="n">
        <x:f>SUM(E446:J446)</x:f>
        <x:v>1</x:v>
      </x:c>
      <x:c r="L446" s="205" t="n">
        <x:f>IFERROR(K446/D446,0)</x:f>
        <x:v>0.04366812227074236</x:v>
      </x:c>
      <x:c r="M446" s="160" t="str">
        <x:v>Presence-floor proxy only — 250-city expansion</x:v>
      </x:c>
      <x:c r="N446" s="160" t="str">
        <x:v>Added in the 250-city screening expansion. One-store screening floor only; exact selected-chain count and 5-mile buffer require GIS verification.</x:v>
      </x:c>
      <x:c r="O446" s="160" t="str">
        <x:v>Broward County</x:v>
      </x:c>
    </x:row>
    <x:row r="447">
      <x:c r="A447" s="28" t="n">
        <x:v>458</x:v>
      </x:c>
      <x:c r="B447" s="28" t="str">
        <x:v>Brewster Town</x:v>
      </x:c>
      <x:c r="C447" s="28" t="str">
        <x:v>MA</x:v>
      </x:c>
      <x:c r="D447" s="204" t="n">
        <x:v>22.941</x:v>
      </x:c>
      <x:c r="E447" s="28" t="n">
        <x:v>0</x:v>
      </x:c>
      <x:c r="F447" s="28" t="n">
        <x:v>0</x:v>
      </x:c>
      <x:c r="G447" s="28" t="n">
        <x:v>0</x:v>
      </x:c>
      <x:c r="H447" s="28" t="n">
        <x:v>0</x:v>
      </x:c>
      <x:c r="I447" s="28" t="n">
        <x:v>0</x:v>
      </x:c>
      <x:c r="J447" s="28" t="n">
        <x:v>1</x:v>
      </x:c>
      <x:c r="K447" s="28" t="n">
        <x:f>SUM(E447:J447)</x:f>
        <x:v>1</x:v>
      </x:c>
      <x:c r="L447" s="205" t="n">
        <x:f>IFERROR(K447/D447,0)</x:f>
        <x:v>0.043590078898042804</x:v>
      </x:c>
      <x:c r="M447" s="160" t="str">
        <x:v>Presence-floor proxy only — 10k+ municipality completion</x:v>
      </x:c>
      <x:c r="N447"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447" s="160" t="str">
        <x:v>Barnstable County</x:v>
      </x:c>
    </x:row>
    <x:row r="448">
      <x:c r="A448" s="28" t="n">
        <x:v>459</x:v>
      </x:c>
      <x:c r="B448" s="28" t="str">
        <x:v>Aurora City</x:v>
      </x:c>
      <x:c r="C448" s="28" t="str">
        <x:v>OH</x:v>
      </x:c>
      <x:c r="D448" s="204" t="n">
        <x:v>22.956</x:v>
      </x:c>
      <x:c r="E448" s="28" t="n">
        <x:v>0</x:v>
      </x:c>
      <x:c r="F448" s="28" t="n">
        <x:v>0</x:v>
      </x:c>
      <x:c r="G448" s="28" t="n">
        <x:v>0</x:v>
      </x:c>
      <x:c r="H448" s="28" t="n">
        <x:v>0</x:v>
      </x:c>
      <x:c r="I448" s="28" t="n">
        <x:v>0</x:v>
      </x:c>
      <x:c r="J448" s="28" t="n">
        <x:v>1</x:v>
      </x:c>
      <x:c r="K448" s="28" t="n">
        <x:f>SUM(E448:J448)</x:f>
        <x:v>1</x:v>
      </x:c>
      <x:c r="L448" s="205" t="n">
        <x:f>IFERROR(K448/D448,0)</x:f>
        <x:v>0.04356159609688099</x:v>
      </x:c>
      <x:c r="M448" s="160" t="str">
        <x:v>Presence-floor proxy only — 10k+ municipality completion</x:v>
      </x:c>
      <x:c r="N448" s="160" t="str">
        <x:v>Added under the &gt;=50k-county expansion rule: Census Vintage 2025 municipality population &gt;=10,000; general-purpose city-equivalent municipality; direct Census adjacency. Presence-floor proxy only — exact tracked-chain count requires municipal-boundary/GIS verification. Kent Natural Foods Co-op and Haymaker Farmers' Market provide county specialty-grocery evidence; Ravenna Township remains below 10,000.</x:v>
      </x:c>
      <x:c r="O448" s="160" t="str">
        <x:v>Portage County</x:v>
      </x:c>
    </x:row>
    <x:row r="449">
      <x:c r="A449" s="28" t="n">
        <x:v>460</x:v>
      </x:c>
      <x:c r="B449" s="28" t="str">
        <x:v>Pasadena</x:v>
      </x:c>
      <x:c r="C449" s="28" t="str">
        <x:v>CA</x:v>
      </x:c>
      <x:c r="D449" s="204" t="n">
        <x:v>23</x:v>
      </x:c>
      <x:c r="E449" s="28" t="n">
        <x:v>0</x:v>
      </x:c>
      <x:c r="F449" s="28" t="n">
        <x:v>0</x:v>
      </x:c>
      <x:c r="G449" s="28" t="n">
        <x:v>0</x:v>
      </x:c>
      <x:c r="H449" s="28" t="n">
        <x:v>0</x:v>
      </x:c>
      <x:c r="I449" s="28" t="n">
        <x:v>0</x:v>
      </x:c>
      <x:c r="J449" s="28" t="n">
        <x:v>1</x:v>
      </x:c>
      <x:c r="K449" s="28" t="n">
        <x:f>SUM(E449:J449)</x:f>
        <x:v>1</x:v>
      </x:c>
      <x:c r="L449" s="205" t="n">
        <x:f>IFERROR(K449/D449,0)</x:f>
        <x:v>0.043478260869565216</x:v>
      </x:c>
      <x:c r="M449" s="160" t="str">
        <x:v>Presence-floor proxy only — 250-city expansion</x:v>
      </x:c>
      <x:c r="N449" s="160" t="str">
        <x:v>Added in the 250-city screening expansion. One-store screening floor only; exact selected-chain count and 5-mile buffer require GIS verification.</x:v>
      </x:c>
      <x:c r="O449" s="160" t="str">
        <x:v>Los Angeles County</x:v>
      </x:c>
    </x:row>
    <x:row r="450">
      <x:c r="A450" s="28" t="n">
        <x:v>461</x:v>
      </x:c>
      <x:c r="B450" s="28" t="str">
        <x:v>Pomona</x:v>
      </x:c>
      <x:c r="C450" s="28" t="str">
        <x:v>CA</x:v>
      </x:c>
      <x:c r="D450" s="204" t="n">
        <x:v>23</x:v>
      </x:c>
      <x:c r="E450" s="28" t="n">
        <x:v>0</x:v>
      </x:c>
      <x:c r="F450" s="28" t="n">
        <x:v>0</x:v>
      </x:c>
      <x:c r="G450" s="28" t="n">
        <x:v>0</x:v>
      </x:c>
      <x:c r="H450" s="28" t="n">
        <x:v>0</x:v>
      </x:c>
      <x:c r="I450" s="28" t="n">
        <x:v>0</x:v>
      </x:c>
      <x:c r="J450" s="28" t="n">
        <x:v>1</x:v>
      </x:c>
      <x:c r="K450" s="28" t="n">
        <x:f>SUM(E450:J450)</x:f>
        <x:v>1</x:v>
      </x:c>
      <x:c r="L450" s="205" t="n">
        <x:f>IFERROR(K450/D450,0)</x:f>
        <x:v>0.043478260869565216</x:v>
      </x:c>
      <x:c r="M450" s="160" t="str">
        <x:v>Presence-floor proxy only — 200-city expansion</x:v>
      </x:c>
      <x:c r="N450" s="160" t="str">
        <x:v>Added in the 200-city screening expansion. One-store screening floor only; exact selected-chain count and 5-mile buffer require GIS verification.</x:v>
      </x:c>
      <x:c r="O450" s="160" t="str">
        <x:v>Los Angeles County</x:v>
      </x:c>
    </x:row>
    <x:row r="451">
      <x:c r="A451" s="28" t="n">
        <x:v>462</x:v>
      </x:c>
      <x:c r="B451" s="28" t="str">
        <x:v>Portsmouth Town</x:v>
      </x:c>
      <x:c r="C451" s="28" t="str">
        <x:v>RI</x:v>
      </x:c>
      <x:c r="D451" s="204" t="n">
        <x:v>23.025</x:v>
      </x:c>
      <x:c r="E451" s="28" t="n">
        <x:v>0</x:v>
      </x:c>
      <x:c r="F451" s="28" t="n">
        <x:v>0</x:v>
      </x:c>
      <x:c r="G451" s="28" t="n">
        <x:v>0</x:v>
      </x:c>
      <x:c r="H451" s="28" t="n">
        <x:v>0</x:v>
      </x:c>
      <x:c r="I451" s="28" t="n">
        <x:v>0</x:v>
      </x:c>
      <x:c r="J451" s="28" t="n">
        <x:v>1</x:v>
      </x:c>
      <x:c r="K451" s="28" t="n">
        <x:f>SUM(E451:J451)</x:f>
        <x:v>1</x:v>
      </x:c>
      <x:c r="L451" s="205" t="n">
        <x:f>IFERROR(K451/D451,0)</x:f>
        <x:v>0.04343105320304018</x:v>
      </x:c>
      <x:c r="M451" s="160" t="str">
        <x:v>Presence-floor proxy only — 10k+ municipality completion</x:v>
      </x:c>
      <x:c r="N451"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Census Vintage 2025.</x:v>
      </x:c>
      <x:c r="O451" s="160" t="str">
        <x:v>Newport County</x:v>
      </x:c>
    </x:row>
    <x:row r="452">
      <x:c r="A452" s="28" t="n">
        <x:v>463</x:v>
      </x:c>
      <x:c r="B452" s="28" t="str">
        <x:v>Concord Township</x:v>
      </x:c>
      <x:c r="C452" s="28" t="str">
        <x:v>OH</x:v>
      </x:c>
      <x:c r="D452" s="204" t="n">
        <x:v>23.03</x:v>
      </x:c>
      <x:c r="E452" s="28" t="n">
        <x:v>0</x:v>
      </x:c>
      <x:c r="F452" s="28" t="n">
        <x:v>0</x:v>
      </x:c>
      <x:c r="G452" s="28" t="n">
        <x:v>0</x:v>
      </x:c>
      <x:c r="H452" s="28" t="n">
        <x:v>0</x:v>
      </x:c>
      <x:c r="I452" s="28" t="n">
        <x:v>0</x:v>
      </x:c>
      <x:c r="J452" s="28" t="n">
        <x:v>1</x:v>
      </x:c>
      <x:c r="K452" s="28" t="n">
        <x:f>SUM(E452:J452)</x:f>
        <x:v>1</x:v>
      </x:c>
      <x:c r="L452" s="205" t="n">
        <x:f>IFERROR(K452/D452,0)</x:f>
        <x:v>0.04342162396873643</x:v>
      </x:c>
      <x:c r="M452" s="160" t="str">
        <x:v>Presence-floor proxy only — 10k+ municipality completion</x:v>
      </x:c>
      <x:c r="N452"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452" s="160" t="str">
        <x:v>Lake County</x:v>
      </x:c>
    </x:row>
    <x:row r="453">
      <x:c r="A453" s="28" t="n">
        <x:v>464</x:v>
      </x:c>
      <x:c r="B453" s="28" t="str">
        <x:v>North Middleton Township</x:v>
      </x:c>
      <x:c r="C453" s="28" t="str">
        <x:v>PA</x:v>
      </x:c>
      <x:c r="D453" s="204" t="n">
        <x:v>23.19</x:v>
      </x:c>
      <x:c r="E453" s="28" t="n">
        <x:v>0</x:v>
      </x:c>
      <x:c r="F453" s="28" t="n">
        <x:v>0</x:v>
      </x:c>
      <x:c r="G453" s="28" t="n">
        <x:v>0</x:v>
      </x:c>
      <x:c r="H453" s="28" t="n">
        <x:v>0</x:v>
      </x:c>
      <x:c r="I453" s="28" t="n">
        <x:v>0</x:v>
      </x:c>
      <x:c r="J453" s="28" t="n">
        <x:v>1</x:v>
      </x:c>
      <x:c r="K453" s="28" t="n">
        <x:f>SUM(E453:J453)</x:f>
        <x:v>1</x:v>
      </x:c>
      <x:c r="L453" s="205" t="n">
        <x:f>IFERROR(K453/D453,0)</x:f>
        <x:v>0.04312203536006899</x:v>
      </x:c>
      <x:c r="M453" s="160" t="str">
        <x:v>Presence-floor proxy only — 10k+ municipality completion</x:v>
      </x:c>
      <x:c r="N453"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453" s="160" t="str">
        <x:v>Cumberland County</x:v>
      </x:c>
    </x:row>
    <x:row r="454">
      <x:c r="A454" s="28" t="n">
        <x:v>465</x:v>
      </x:c>
      <x:c r="B454" s="28" t="str">
        <x:v>Norton Shores City</x:v>
      </x:c>
      <x:c r="C454" s="28" t="str">
        <x:v>MI</x:v>
      </x:c>
      <x:c r="D454" s="204" t="n">
        <x:v>23.243</x:v>
      </x:c>
      <x:c r="E454" s="28" t="n">
        <x:v>0</x:v>
      </x:c>
      <x:c r="F454" s="28" t="n">
        <x:v>0</x:v>
      </x:c>
      <x:c r="G454" s="28" t="n">
        <x:v>0</x:v>
      </x:c>
      <x:c r="H454" s="28" t="n">
        <x:v>0</x:v>
      </x:c>
      <x:c r="I454" s="28" t="n">
        <x:v>0</x:v>
      </x:c>
      <x:c r="J454" s="28" t="n">
        <x:v>1</x:v>
      </x:c>
      <x:c r="K454" s="28" t="n">
        <x:f>SUM(E454:J454)</x:f>
        <x:v>1</x:v>
      </x:c>
      <x:c r="L454" s="205" t="n">
        <x:f>IFERROR(K454/D454,0)</x:f>
        <x:v>0.04302370606204019</x:v>
      </x:c>
      <x:c r="M454" s="160" t="str">
        <x:v>Presence-floor proxy only — 10k+ municipality completion</x:v>
      </x:c>
      <x:c r="N454" s="160" t="str">
        <x:v>Added under the &gt;=50k-county expansion rule: Census Vintage 2025 municipality population &gt;=10,000; general-purpose city-equivalent municipality; direct Census adjacency. Presence-floor proxy only — exact tracked-chain count requires municipal-boundary/GIS verification. Sweetwater Local Foods Market provides county specialty-grocery evidence; Dalton Township is below 10,000 in V2025.</x:v>
      </x:c>
      <x:c r="O454" s="160" t="str">
        <x:v>Muskegon County</x:v>
      </x:c>
    </x:row>
    <x:row r="455">
      <x:c r="A455" s="28" t="n">
        <x:v>466</x:v>
      </x:c>
      <x:c r="B455" s="28" t="str">
        <x:v>Mashpee Town</x:v>
      </x:c>
      <x:c r="C455" s="28" t="str">
        <x:v>MA</x:v>
      </x:c>
      <x:c r="D455" s="204" t="n">
        <x:v>23.371</x:v>
      </x:c>
      <x:c r="E455" s="28" t="n">
        <x:v>0</x:v>
      </x:c>
      <x:c r="F455" s="28" t="n">
        <x:v>0</x:v>
      </x:c>
      <x:c r="G455" s="28" t="n">
        <x:v>0</x:v>
      </x:c>
      <x:c r="H455" s="28" t="n">
        <x:v>0</x:v>
      </x:c>
      <x:c r="I455" s="28" t="n">
        <x:v>0</x:v>
      </x:c>
      <x:c r="J455" s="28" t="n">
        <x:v>1</x:v>
      </x:c>
      <x:c r="K455" s="28" t="n">
        <x:f>SUM(E455:J455)</x:f>
        <x:v>1</x:v>
      </x:c>
      <x:c r="L455" s="205" t="n">
        <x:f>IFERROR(K455/D455,0)</x:f>
        <x:v>0.04278807068589278</x:v>
      </x:c>
      <x:c r="M455" s="160" t="str">
        <x:v>Presence-floor proxy only — 10k+ municipality completion</x:v>
      </x:c>
      <x:c r="N455"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455" s="160" t="str">
        <x:v>Barnstable County</x:v>
      </x:c>
    </x:row>
    <x:row r="456">
      <x:c r="A456" s="28" t="n">
        <x:v>467</x:v>
      </x:c>
      <x:c r="B456" s="28" t="str">
        <x:v>Streetsboro City</x:v>
      </x:c>
      <x:c r="C456" s="28" t="str">
        <x:v>OH</x:v>
      </x:c>
      <x:c r="D456" s="204" t="n">
        <x:v>23.447</x:v>
      </x:c>
      <x:c r="E456" s="28" t="n">
        <x:v>0</x:v>
      </x:c>
      <x:c r="F456" s="28" t="n">
        <x:v>0</x:v>
      </x:c>
      <x:c r="G456" s="28" t="n">
        <x:v>0</x:v>
      </x:c>
      <x:c r="H456" s="28" t="n">
        <x:v>0</x:v>
      </x:c>
      <x:c r="I456" s="28" t="n">
        <x:v>0</x:v>
      </x:c>
      <x:c r="J456" s="28" t="n">
        <x:v>1</x:v>
      </x:c>
      <x:c r="K456" s="28" t="n">
        <x:f>SUM(E456:J456)</x:f>
        <x:v>1</x:v>
      </x:c>
      <x:c r="L456" s="205" t="n">
        <x:f>IFERROR(K456/D456,0)</x:f>
        <x:v>0.04264937945152898</x:v>
      </x:c>
      <x:c r="M456" s="160" t="str">
        <x:v>Presence-floor proxy only — 10k+ municipality completion</x:v>
      </x:c>
      <x:c r="N456" s="160" t="str">
        <x:v>Added under the &gt;=50k-county expansion rule: Census Vintage 2025 municipality population &gt;=10,000; general-purpose city-equivalent municipality; direct Census adjacency. Presence-floor proxy only — exact tracked-chain count requires municipal-boundary/GIS verification. Kent Natural Foods Co-op and Haymaker Farmers' Market provide county specialty-grocery evidence; Ravenna Township remains below 10,000.</x:v>
      </x:c>
      <x:c r="O456" s="160" t="str">
        <x:v>Portage County</x:v>
      </x:c>
    </x:row>
    <x:row r="457">
      <x:c r="A457" s="28" t="n">
        <x:v>468</x:v>
      </x:c>
      <x:c r="B457" s="28" t="str">
        <x:v>Muskegon Charter Township</x:v>
      </x:c>
      <x:c r="C457" s="28" t="str">
        <x:v>MI</x:v>
      </x:c>
      <x:c r="D457" s="204" t="n">
        <x:v>23.474</x:v>
      </x:c>
      <x:c r="E457" s="28" t="n">
        <x:v>0</x:v>
      </x:c>
      <x:c r="F457" s="28" t="n">
        <x:v>0</x:v>
      </x:c>
      <x:c r="G457" s="28" t="n">
        <x:v>0</x:v>
      </x:c>
      <x:c r="H457" s="28" t="n">
        <x:v>0</x:v>
      </x:c>
      <x:c r="I457" s="28" t="n">
        <x:v>0</x:v>
      </x:c>
      <x:c r="J457" s="28" t="n">
        <x:v>1</x:v>
      </x:c>
      <x:c r="K457" s="28" t="n">
        <x:f>SUM(E457:J457)</x:f>
        <x:v>1</x:v>
      </x:c>
      <x:c r="L457" s="205" t="n">
        <x:f>IFERROR(K457/D457,0)</x:f>
        <x:v>0.0426003237624606</x:v>
      </x:c>
      <x:c r="M457" s="160" t="str">
        <x:v>Presence-floor proxy only — 10k+ municipality completion</x:v>
      </x:c>
      <x:c r="N457" s="160" t="str">
        <x:v>Added under the &gt;=50k-county expansion rule: Census Vintage 2025 municipality population &gt;=10,000; general-purpose city-equivalent municipality; direct Census adjacency. Presence-floor proxy only — exact tracked-chain count requires municipal-boundary/GIS verification. Sweetwater Local Foods Market provides county specialty-grocery evidence; Dalton Township is below 10,000 in V2025.</x:v>
      </x:c>
      <x:c r="O457" s="160" t="str">
        <x:v>Muskegon County</x:v>
      </x:c>
    </x:row>
    <x:row r="458">
      <x:c r="A458" s="28" t="n">
        <x:v>469</x:v>
      </x:c>
      <x:c r="B458" s="28" t="str">
        <x:v>Salinas</x:v>
      </x:c>
      <x:c r="C458" s="28" t="str">
        <x:v>CA</x:v>
      </x:c>
      <x:c r="D458" s="204" t="n">
        <x:v>23.5</x:v>
      </x:c>
      <x:c r="E458" s="28" t="n">
        <x:v>0</x:v>
      </x:c>
      <x:c r="F458" s="28" t="n">
        <x:v>0</x:v>
      </x:c>
      <x:c r="G458" s="28" t="n">
        <x:v>0</x:v>
      </x:c>
      <x:c r="H458" s="28" t="n">
        <x:v>0</x:v>
      </x:c>
      <x:c r="I458" s="28" t="n">
        <x:v>0</x:v>
      </x:c>
      <x:c r="J458" s="28" t="n">
        <x:v>1</x:v>
      </x:c>
      <x:c r="K458" s="28" t="n">
        <x:f>SUM(E458:J458)</x:f>
        <x:v>1</x:v>
      </x:c>
      <x:c r="L458" s="205" t="n">
        <x:f>IFERROR(K458/D458,0)</x:f>
        <x:v>0.0425531914893617</x:v>
      </x:c>
      <x:c r="M458" s="160" t="str">
        <x:v>Presence-floor proxy only — 200-city expansion</x:v>
      </x:c>
      <x:c r="N458" s="160" t="str">
        <x:v>Added in the 200-city screening expansion. One-store screening floor only; exact selected-chain count and 5-mile buffer require GIS verification.</x:v>
      </x:c>
      <x:c r="O458" s="160" t="str">
        <x:v>Monterey County</x:v>
      </x:c>
    </x:row>
    <x:row r="459">
      <x:c r="A459" s="28" t="n">
        <x:v>470</x:v>
      </x:c>
      <x:c r="B459" s="28" t="str">
        <x:v>Gresham</x:v>
      </x:c>
      <x:c r="C459" s="28" t="str">
        <x:v>OR</x:v>
      </x:c>
      <x:c r="D459" s="204" t="n">
        <x:v>23.5</x:v>
      </x:c>
      <x:c r="E459" s="28" t="n">
        <x:v>0</x:v>
      </x:c>
      <x:c r="F459" s="28" t="n">
        <x:v>0</x:v>
      </x:c>
      <x:c r="G459" s="28" t="n">
        <x:v>0</x:v>
      </x:c>
      <x:c r="H459" s="28" t="n">
        <x:v>0</x:v>
      </x:c>
      <x:c r="I459" s="28" t="n">
        <x:v>0</x:v>
      </x:c>
      <x:c r="J459" s="28" t="n">
        <x:v>1</x:v>
      </x:c>
      <x:c r="K459" s="28" t="n">
        <x:f>SUM(E459:J459)</x:f>
        <x:v>1</x:v>
      </x:c>
      <x:c r="L459" s="205" t="n">
        <x:f>IFERROR(K459/D459,0)</x:f>
        <x:v>0.0425531914893617</x:v>
      </x:c>
      <x:c r="M459" s="160" t="str">
        <x:v>Presence-floor proxy only — 300-city expansion</x:v>
      </x:c>
      <x:c r="N459" s="160" t="str">
        <x:v>Added in the 300-city screening expansion. One-store screening floor only; exact selected-chain count and 5-mile buffer require GIS verification.</x:v>
      </x:c>
      <x:c r="O459" s="160" t="str">
        <x:v>Multnomah County</x:v>
      </x:c>
    </x:row>
    <x:row r="460">
      <x:c r="A460" s="28" t="n">
        <x:v>471</x:v>
      </x:c>
      <x:c r="B460" s="28" t="str">
        <x:v>Lorain</x:v>
      </x:c>
      <x:c r="C460" s="28" t="str">
        <x:v>OH</x:v>
      </x:c>
      <x:c r="D460" s="204" t="n">
        <x:v>23.61</x:v>
      </x:c>
      <x:c r="E460" s="28" t="n">
        <x:v>0</x:v>
      </x:c>
      <x:c r="F460" s="28" t="n">
        <x:v>0</x:v>
      </x:c>
      <x:c r="G460" s="28" t="n">
        <x:v>0</x:v>
      </x:c>
      <x:c r="H460" s="28" t="n">
        <x:v>0</x:v>
      </x:c>
      <x:c r="I460" s="28" t="n">
        <x:v>0</x:v>
      </x:c>
      <x:c r="J460" s="28" t="n">
        <x:v>1</x:v>
      </x:c>
      <x:c r="K460" s="28" t="n">
        <x:f>SUM(E460:J460)</x:f>
        <x:v>1</x:v>
      </x:c>
      <x:c r="L460" s="205" t="n">
        <x:f>IFERROR(K460/D460,0)</x:f>
        <x:v>0.042354934349851756</x:v>
      </x:c>
      <x:c r="M460" s="160" t="str">
        <x:v>Presence-floor proxy only — restricted-state adjacency expansion</x:v>
      </x:c>
      <x:c r="N460" s="160" t="str">
        <x:v>Census V2025 population 65,366. Added for Lorain County completion; one-store screening floor pending production GIS verification.</x:v>
      </x:c>
      <x:c r="O460" s="160" t="str">
        <x:v>Lorain County</x:v>
      </x:c>
    </x:row>
    <x:row r="461">
      <x:c r="A461" s="28" t="n">
        <x:v>472</x:v>
      </x:c>
      <x:c r="B461" s="28" t="str">
        <x:v>Lower Merion Township</x:v>
      </x:c>
      <x:c r="C461" s="28" t="str">
        <x:v>PA</x:v>
      </x:c>
      <x:c r="D461" s="204" t="n">
        <x:v>23.61</x:v>
      </x:c>
      <x:c r="E461" s="28" t="n">
        <x:v>0</x:v>
      </x:c>
      <x:c r="F461" s="28" t="n">
        <x:v>0</x:v>
      </x:c>
      <x:c r="G461" s="28" t="n">
        <x:v>0</x:v>
      </x:c>
      <x:c r="H461" s="28" t="n">
        <x:v>0</x:v>
      </x:c>
      <x:c r="I461" s="28" t="n">
        <x:v>0</x:v>
      </x:c>
      <x:c r="J461" s="28" t="n">
        <x:v>1</x:v>
      </x:c>
      <x:c r="K461" s="28" t="n">
        <x:f>SUM(E461:J461)</x:f>
        <x:v>1</x:v>
      </x:c>
      <x:c r="L461" s="205" t="n">
        <x:f>IFERROR(K461/D461,0)</x:f>
        <x:v>0.042354934349851756</x:v>
      </x:c>
      <x:c r="M461" s="160" t="str">
        <x:v>Presence-floor proxy only — 10k+ municipality completion</x:v>
      </x:c>
      <x:c r="N46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61" s="160" t="str">
        <x:v>Montgomery County</x:v>
      </x:c>
    </x:row>
    <x:row r="462">
      <x:c r="A462" s="28" t="n">
        <x:v>473</x:v>
      </x:c>
      <x:c r="B462" s="28" t="str">
        <x:v>Parsippany-Troy Hills Township</x:v>
      </x:c>
      <x:c r="C462" s="28" t="str">
        <x:v>NJ</x:v>
      </x:c>
      <x:c r="D462" s="204" t="n">
        <x:v>23.632</x:v>
      </x:c>
      <x:c r="E462" s="28" t="n">
        <x:v>0</x:v>
      </x:c>
      <x:c r="F462" s="28" t="n">
        <x:v>0</x:v>
      </x:c>
      <x:c r="G462" s="28" t="n">
        <x:v>0</x:v>
      </x:c>
      <x:c r="H462" s="28" t="n">
        <x:v>0</x:v>
      </x:c>
      <x:c r="I462" s="28" t="n">
        <x:v>0</x:v>
      </x:c>
      <x:c r="J462" s="28" t="n">
        <x:v>1</x:v>
      </x:c>
      <x:c r="K462" s="28" t="n">
        <x:f>SUM(E462:J462)</x:f>
        <x:v>1</x:v>
      </x:c>
      <x:c r="L462" s="205" t="n">
        <x:f>IFERROR(K462/D462,0)</x:f>
        <x:v>0.042315504400812456</x:v>
      </x:c>
      <x:c r="M462" s="160" t="str">
        <x:v>Presence-floor proxy only — 10k+ municipality completion</x:v>
      </x:c>
      <x:c r="N462"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62" s="160" t="str">
        <x:v>Morris County</x:v>
      </x:c>
    </x:row>
    <x:row r="463">
      <x:c r="A463" s="28" t="n">
        <x:v>474</x:v>
      </x:c>
      <x:c r="B463" s="28" t="str">
        <x:v>Newport Beach</x:v>
      </x:c>
      <x:c r="C463" s="28" t="str">
        <x:v>CA</x:v>
      </x:c>
      <x:c r="D463" s="204" t="n">
        <x:v>23.79</x:v>
      </x:c>
      <x:c r="E463" s="28" t="n">
        <x:v>0</x:v>
      </x:c>
      <x:c r="F463" s="28" t="n">
        <x:v>0</x:v>
      </x:c>
      <x:c r="G463" s="28" t="n">
        <x:v>0</x:v>
      </x:c>
      <x:c r="H463" s="28" t="n">
        <x:v>0</x:v>
      </x:c>
      <x:c r="I463" s="28" t="n">
        <x:v>0</x:v>
      </x:c>
      <x:c r="J463" s="28" t="n">
        <x:v>1</x:v>
      </x:c>
      <x:c r="K463" s="28" t="n">
        <x:f>SUM(E463:J463)</x:f>
        <x:v>1</x:v>
      </x:c>
      <x:c r="L463" s="205" t="n">
        <x:f>IFERROR(K463/D463,0)</x:f>
        <x:v>0.042034468263976464</x:v>
      </x:c>
      <x:c r="M463" s="160" t="str">
        <x:v>Presence-floor proxy only — 50k+ county completion</x:v>
      </x:c>
      <x:c r="N463"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463" s="160" t="str">
        <x:v>Orange County</x:v>
      </x:c>
    </x:row>
    <x:row r="464">
      <x:c r="A464" s="28" t="n">
        <x:v>475</x:v>
      </x:c>
      <x:c r="B464" s="28" t="str">
        <x:v>Dover city</x:v>
      </x:c>
      <x:c r="C464" s="28" t="str">
        <x:v>DE</x:v>
      </x:c>
      <x:c r="D464" s="204" t="n">
        <x:v>23.879</x:v>
      </x:c>
      <x:c r="E464" s="28" t="n">
        <x:v>0</x:v>
      </x:c>
      <x:c r="F464" s="28" t="n">
        <x:v>0</x:v>
      </x:c>
      <x:c r="G464" s="28" t="n">
        <x:v>0</x:v>
      </x:c>
      <x:c r="H464" s="28" t="n">
        <x:v>0</x:v>
      </x:c>
      <x:c r="I464" s="28" t="n">
        <x:v>0</x:v>
      </x:c>
      <x:c r="J464" s="28" t="n">
        <x:v>1</x:v>
      </x:c>
      <x:c r="K464" s="28" t="n">
        <x:f>SUM(E464:J464)</x:f>
        <x:v>1</x:v>
      </x:c>
      <x:c r="L464" s="205" t="n">
        <x:f>IFERROR(K464/D464,0)</x:f>
        <x:v>0.04187780057791365</x:v>
      </x:c>
      <x:c r="M464" s="160" t="str">
        <x:v>Presence-floor proxy only — 10k+ municipality completion</x:v>
      </x:c>
      <x:c r="N464" s="160" t="str">
        <x:v>Added under the &gt;=50k-county expansion rule: Census Vintage 2025 municipality population &gt;=10,000; general-purpose city-equivalent municipality; direct Census adjacency. Presence-floor proxy only — exact tracked-chain count requires municipal-boundary/GIS verification. Fifer's Farm Store and Delaware Department of Agriculture market listings provide Kent County specialty-food evidence.</x:v>
      </x:c>
      <x:c r="O464" s="160" t="str">
        <x:v>Kent County</x:v>
      </x:c>
    </x:row>
    <x:row r="465">
      <x:c r="A465" s="28" t="n">
        <x:v>476</x:v>
      </x:c>
      <x:c r="B465" s="28" t="str">
        <x:v>Frederick</x:v>
      </x:c>
      <x:c r="C465" s="28" t="str">
        <x:v>MD</x:v>
      </x:c>
      <x:c r="D465" s="204" t="n">
        <x:v>23.95</x:v>
      </x:c>
      <x:c r="E465" s="28" t="n">
        <x:v>0</x:v>
      </x:c>
      <x:c r="F465" s="28" t="n">
        <x:v>0</x:v>
      </x:c>
      <x:c r="G465" s="28" t="n">
        <x:v>0</x:v>
      </x:c>
      <x:c r="H465" s="28" t="n">
        <x:v>0</x:v>
      </x:c>
      <x:c r="I465" s="28" t="n">
        <x:v>1</x:v>
      </x:c>
      <x:c r="J465" s="28" t="n">
        <x:v>0</x:v>
      </x:c>
      <x:c r="K465" s="28" t="n">
        <x:f>SUM(E465:J465)</x:f>
        <x:v>1</x:v>
      </x:c>
      <x:c r="L465" s="205" t="n">
        <x:f>IFERROR(K465/D465,0)</x:f>
        <x:v>0.04175365344467641</x:v>
      </x:c>
      <x:c r="M465" s="160" t="str">
        <x:v>Confirmed lower bound — restricted-state adjacency expansion</x:v>
      </x:c>
      <x:c r="N465" s="160" t="str">
        <x:v>Census V2025 population 92,059. Wegmans Frederick directly verified; Census QuickFacts 2020 land area.</x:v>
      </x:c>
      <x:c r="O465" s="160" t="str">
        <x:v>Frederick County</x:v>
      </x:c>
    </x:row>
    <x:row r="466">
      <x:c r="A466" s="28" t="n">
        <x:v>477</x:v>
      </x:c>
      <x:c r="B466" s="28" t="str">
        <x:v>Pompano Beach</x:v>
      </x:c>
      <x:c r="C466" s="28" t="str">
        <x:v>FL</x:v>
      </x:c>
      <x:c r="D466" s="204" t="n">
        <x:v>24</x:v>
      </x:c>
      <x:c r="E466" s="28" t="n">
        <x:v>0</x:v>
      </x:c>
      <x:c r="F466" s="28" t="n">
        <x:v>0</x:v>
      </x:c>
      <x:c r="G466" s="28" t="n">
        <x:v>0</x:v>
      </x:c>
      <x:c r="H466" s="28" t="n">
        <x:v>0</x:v>
      </x:c>
      <x:c r="I466" s="28" t="n">
        <x:v>0</x:v>
      </x:c>
      <x:c r="J466" s="28" t="n">
        <x:v>1</x:v>
      </x:c>
      <x:c r="K466" s="28" t="n">
        <x:f>SUM(E466:J466)</x:f>
        <x:v>1</x:v>
      </x:c>
      <x:c r="L466" s="205" t="n">
        <x:f>IFERROR(K466/D466,0)</x:f>
        <x:v>0.041666666666666664</x:v>
      </x:c>
      <x:c r="M466" s="160" t="str">
        <x:v>Presence-floor proxy only — 300-city expansion</x:v>
      </x:c>
      <x:c r="N466" s="160" t="str">
        <x:v>Added in the 300-city screening expansion. One-store screening floor only; exact selected-chain count and 5-mile buffer require GIS verification.</x:v>
      </x:c>
      <x:c r="O466" s="160" t="str">
        <x:v>Broward County</x:v>
      </x:c>
    </x:row>
    <x:row r="467">
      <x:c r="A467" s="28" t="n">
        <x:v>478</x:v>
      </x:c>
      <x:c r="B467" s="28" t="str">
        <x:v>Palo Alto</x:v>
      </x:c>
      <x:c r="C467" s="28" t="str">
        <x:v>CA</x:v>
      </x:c>
      <x:c r="D467" s="204" t="n">
        <x:v>24.051</x:v>
      </x:c>
      <x:c r="E467" s="28" t="n">
        <x:v>0</x:v>
      </x:c>
      <x:c r="F467" s="28" t="n">
        <x:v>0</x:v>
      </x:c>
      <x:c r="G467" s="28" t="n">
        <x:v>0</x:v>
      </x:c>
      <x:c r="H467" s="28" t="n">
        <x:v>0</x:v>
      </x:c>
      <x:c r="I467" s="28" t="n">
        <x:v>0</x:v>
      </x:c>
      <x:c r="J467" s="28" t="n">
        <x:v>1</x:v>
      </x:c>
      <x:c r="K467" s="28" t="n">
        <x:f>SUM(E467:J467)</x:f>
        <x:v>1</x:v>
      </x:c>
      <x:c r="L467" s="205" t="n">
        <x:f>IFERROR(K467/D467,0)</x:f>
        <x:v>0.041578312752068525</x:v>
      </x:c>
      <x:c r="M467" s="160" t="str">
        <x:v>Presence-floor proxy only — 50k+ county completion</x:v>
      </x:c>
      <x:c r="N467" s="160" t="str">
        <x:v>Added to complete ≥50,000-population incorporated-place coverage in counties ranked 6–10 by store count under the same Census Vintage 2025 screen. One-store screening floor only; exact selected-chain count and 5-mile buffer require GIS verification.</x:v>
      </x:c>
      <x:c r="O467" s="160" t="str">
        <x:v>Santa Clara County</x:v>
      </x:c>
    </x:row>
    <x:row r="468">
      <x:c r="A468" s="28" t="n">
        <x:v>479</x:v>
      </x:c>
      <x:c r="B468" s="28" t="str">
        <x:v>Orangetown Town</x:v>
      </x:c>
      <x:c r="C468" s="28" t="str">
        <x:v>NY</x:v>
      </x:c>
      <x:c r="D468" s="204" t="n">
        <x:v>24.055</x:v>
      </x:c>
      <x:c r="E468" s="28" t="n">
        <x:v>0</x:v>
      </x:c>
      <x:c r="F468" s="28" t="n">
        <x:v>0</x:v>
      </x:c>
      <x:c r="G468" s="28" t="n">
        <x:v>0</x:v>
      </x:c>
      <x:c r="H468" s="28" t="n">
        <x:v>0</x:v>
      </x:c>
      <x:c r="I468" s="28" t="n">
        <x:v>0</x:v>
      </x:c>
      <x:c r="J468" s="28" t="n">
        <x:v>1</x:v>
      </x:c>
      <x:c r="K468" s="28" t="n">
        <x:f>SUM(E468:J468)</x:f>
        <x:v>1</x:v>
      </x:c>
      <x:c r="L468" s="205" t="n">
        <x:f>IFERROR(K468/D468,0)</x:f>
        <x:v>0.04157139887757223</x:v>
      </x:c>
      <x:c r="M468" s="160" t="str">
        <x:v>Presence-floor proxy only — 10k+ municipality completion</x:v>
      </x:c>
      <x:c r="N468"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Nested New York villages are excluded under the established non-overlapping towns convention.</x:v>
      </x:c>
      <x:c r="O468" s="160" t="str">
        <x:v>Rockland County</x:v>
      </x:c>
    </x:row>
    <x:row r="469">
      <x:c r="A469" s="28" t="n">
        <x:v>480</x:v>
      </x:c>
      <x:c r="B469" s="28" t="str">
        <x:v>Pleasanton</x:v>
      </x:c>
      <x:c r="C469" s="28" t="str">
        <x:v>CA</x:v>
      </x:c>
      <x:c r="D469" s="204" t="n">
        <x:v>24.141</x:v>
      </x:c>
      <x:c r="E469" s="28" t="n">
        <x:v>0</x:v>
      </x:c>
      <x:c r="F469" s="28" t="n">
        <x:v>0</x:v>
      </x:c>
      <x:c r="G469" s="28" t="n">
        <x:v>0</x:v>
      </x:c>
      <x:c r="H469" s="28" t="n">
        <x:v>0</x:v>
      </x:c>
      <x:c r="I469" s="28" t="n">
        <x:v>0</x:v>
      </x:c>
      <x:c r="J469" s="28" t="n">
        <x:v>1</x:v>
      </x:c>
      <x:c r="K469" s="28" t="n">
        <x:f>SUM(E469:J469)</x:f>
        <x:v>1</x:v>
      </x:c>
      <x:c r="L469" s="205" t="n">
        <x:f>IFERROR(K469/D469,0)</x:f>
        <x:v>0.04142330475125306</x:v>
      </x:c>
      <x:c r="M469" s="160" t="str">
        <x:v>Presence-floor proxy only — 50k+ county completion</x:v>
      </x:c>
      <x:c r="N46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469" s="160" t="str">
        <x:v>Alameda County</x:v>
      </x:c>
    </x:row>
    <x:row r="470">
      <x:c r="A470" s="28" t="n">
        <x:v>481</x:v>
      </x:c>
      <x:c r="B470" s="28" t="str">
        <x:v>Yarmouth Town</x:v>
      </x:c>
      <x:c r="C470" s="28" t="str">
        <x:v>MA</x:v>
      </x:c>
      <x:c r="D470" s="204" t="n">
        <x:v>24.156</x:v>
      </x:c>
      <x:c r="E470" s="28" t="n">
        <x:v>0</x:v>
      </x:c>
      <x:c r="F470" s="28" t="n">
        <x:v>0</x:v>
      </x:c>
      <x:c r="G470" s="28" t="n">
        <x:v>0</x:v>
      </x:c>
      <x:c r="H470" s="28" t="n">
        <x:v>0</x:v>
      </x:c>
      <x:c r="I470" s="28" t="n">
        <x:v>0</x:v>
      </x:c>
      <x:c r="J470" s="28" t="n">
        <x:v>1</x:v>
      </x:c>
      <x:c r="K470" s="28" t="n">
        <x:f>SUM(E470:J470)</x:f>
        <x:v>1</x:v>
      </x:c>
      <x:c r="L470" s="205" t="n">
        <x:f>IFERROR(K470/D470,0)</x:f>
        <x:v>0.041397582381188944</x:v>
      </x:c>
      <x:c r="M470" s="160" t="str">
        <x:v>Presence-floor proxy only — 10k+ municipality completion</x:v>
      </x:c>
      <x:c r="N470"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470" s="160" t="str">
        <x:v>Barnstable County</x:v>
      </x:c>
    </x:row>
    <x:row r="471">
      <x:c r="A471" t="n">
        <x:v>482</x:v>
      </x:c>
      <x:c r="B471" t="str">
        <x:v>Newark</x:v>
      </x:c>
      <x:c r="C471" t="str">
        <x:v>NJ</x:v>
      </x:c>
      <x:c r="D471" s="161" t="n">
        <x:v>24.187</x:v>
      </x:c>
      <x:c r="E471" t="n">
        <x:v>0</x:v>
      </x:c>
      <x:c r="F471" t="n">
        <x:v>0</x:v>
      </x:c>
      <x:c r="G471" t="n">
        <x:v>0</x:v>
      </x:c>
      <x:c r="H471" t="n">
        <x:v>0</x:v>
      </x:c>
      <x:c r="I471" t="n">
        <x:v>0</x:v>
      </x:c>
      <x:c r="J471" t="n">
        <x:v>1</x:v>
      </x:c>
      <x:c r="K471" t="n">
        <x:f>SUM(E471:J471)</x:f>
        <x:v>1</x:v>
      </x:c>
      <x:c r="L471" s="163" t="n">
        <x:f>IFERROR(K471/D471,0)</x:f>
        <x:v>0.04134452391780708</x:v>
      </x:c>
      <x:c r="M471" s="160" t="str">
        <x:v>Presence-floor proxy only</x:v>
      </x:c>
      <x:c r="N471" s="160" t="str">
        <x:v>One-store screening floor only; exact selected-chain count and 5-mile buffer require GIS verification.</x:v>
      </x:c>
      <x:c r="O471" s="160" t="str">
        <x:v>Essex County</x:v>
      </x:c>
    </x:row>
    <x:row r="472">
      <x:c r="A472" t="n">
        <x:v>483</x:v>
      </x:c>
      <x:c r="B472" t="str">
        <x:v>Bernards Township</x:v>
      </x:c>
      <x:c r="C472" t="str">
        <x:v>NJ</x:v>
      </x:c>
      <x:c r="D472" s="161" t="n">
        <x:v>24.201</x:v>
      </x:c>
      <x:c r="E472" t="n">
        <x:v>0</x:v>
      </x:c>
      <x:c r="F472" t="n">
        <x:v>0</x:v>
      </x:c>
      <x:c r="G472" t="n">
        <x:v>0</x:v>
      </x:c>
      <x:c r="H472" t="n">
        <x:v>0</x:v>
      </x:c>
      <x:c r="I472" t="n">
        <x:v>0</x:v>
      </x:c>
      <x:c r="J472" t="n">
        <x:v>1</x:v>
      </x:c>
      <x:c r="K472" t="n">
        <x:f>SUM(E472:J472)</x:f>
        <x:v>1</x:v>
      </x:c>
      <x:c r="L472" s="163" t="n">
        <x:f>IFERROR(K472/D472,0)</x:f>
        <x:v>0.04132060658650469</x:v>
      </x:c>
      <x:c r="M472" s="160" t="str">
        <x:v>Presence-floor proxy only — 10k+ municipality completion</x:v>
      </x:c>
      <x:c r="N47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472" s="160" t="str">
        <x:v>Somerset County</x:v>
      </x:c>
    </x:row>
    <x:row r="473">
      <x:c r="A473" t="n">
        <x:v>484</x:v>
      </x:c>
      <x:c r="B473" t="str">
        <x:v>Saginaw Charter Township</x:v>
      </x:c>
      <x:c r="C473" t="str">
        <x:v>MI</x:v>
      </x:c>
      <x:c r="D473" s="161" t="n">
        <x:v>24.496</x:v>
      </x:c>
      <x:c r="E473" t="n">
        <x:v>0</x:v>
      </x:c>
      <x:c r="F473" t="n">
        <x:v>0</x:v>
      </x:c>
      <x:c r="G473" t="n">
        <x:v>0</x:v>
      </x:c>
      <x:c r="H473" t="n">
        <x:v>0</x:v>
      </x:c>
      <x:c r="I473" t="n">
        <x:v>0</x:v>
      </x:c>
      <x:c r="J473" t="n">
        <x:v>1</x:v>
      </x:c>
      <x:c r="K473" t="n">
        <x:f>SUM(E473:J473)</x:f>
        <x:v>1</x:v>
      </x:c>
      <x:c r="L473" s="163" t="n">
        <x:f>IFERROR(K473/D473,0)</x:f>
        <x:v>0.04082299150881777</x:v>
      </x:c>
      <x:c r="M473" s="160" t="str">
        <x:v>Presence-floor proxy only — 10k+ municipality completion</x:v>
      </x:c>
      <x:c r="N473" s="160" t="str">
        <x:v>Added under the &gt;=50k-county expansion rule: Census Vintage 2025 municipality population &gt;=10,000; general-purpose city-equivalent municipality; direct Census adjacency. Presence-floor proxy only — exact tracked-chain count requires municipal-boundary/GIS verification. Bridgeport Charter Township is below the threshold at V2025 population 9,874. Downtown Saginaw / county farmers-market evidence supports county selection.</x:v>
      </x:c>
      <x:c r="O473" s="160" t="str">
        <x:v>Saginaw County</x:v>
      </x:c>
    </x:row>
    <x:row r="474">
      <x:c r="A474" t="n">
        <x:v>485</x:v>
      </x:c>
      <x:c r="B474" t="str">
        <x:v>Carmel</x:v>
      </x:c>
      <x:c r="C474" t="str">
        <x:v>IN</x:v>
      </x:c>
      <x:c r="D474" s="161" t="n">
        <x:v>49.09</x:v>
      </x:c>
      <x:c r="E474" t="n">
        <x:v>1</x:v>
      </x:c>
      <x:c r="F474" t="n">
        <x:v>0</x:v>
      </x:c>
      <x:c r="G474" t="n">
        <x:v>0</x:v>
      </x:c>
      <x:c r="H474" t="n">
        <x:v>1</x:v>
      </x:c>
      <x:c r="I474" t="n">
        <x:v>0</x:v>
      </x:c>
      <x:c r="J474" t="n">
        <x:v>0</x:v>
      </x:c>
      <x:c r="K474" t="n">
        <x:f>SUM(E474:J474)</x:f>
        <x:v>2</x:v>
      </x:c>
      <x:c r="L474" s="163" t="n">
        <x:f>IFERROR(K474/D474,0)</x:f>
        <x:v>0.04074149521287431</x:v>
      </x:c>
      <x:c r="M474" s="160" t="str">
        <x:v>Confirmed lower bound — adjacent-county expansion</x:v>
      </x:c>
      <x:c r="N474" s="160" t="str">
        <x:v>Added in second adjacent-county expansion; Whole Foods and Fresh Thyme locations verified. Census Vintage 2025 eligibility; Census 2025 Gazetteer land area.</x:v>
      </x:c>
      <x:c r="O474" s="160" t="str">
        <x:v>Hamilton County</x:v>
      </x:c>
    </x:row>
    <x:row r="475">
      <x:c r="A475" t="n">
        <x:v>486</x:v>
      </x:c>
      <x:c r="B475" t="str">
        <x:v>San Marcos</x:v>
      </x:c>
      <x:c r="C475" t="str">
        <x:v>CA</x:v>
      </x:c>
      <x:c r="D475" s="161" t="n">
        <x:v>24.57</x:v>
      </x:c>
      <x:c r="E475" t="n">
        <x:v>0</x:v>
      </x:c>
      <x:c r="F475" t="n">
        <x:v>0</x:v>
      </x:c>
      <x:c r="G475" t="n">
        <x:v>0</x:v>
      </x:c>
      <x:c r="H475" t="n">
        <x:v>0</x:v>
      </x:c>
      <x:c r="I475" t="n">
        <x:v>0</x:v>
      </x:c>
      <x:c r="J475" t="n">
        <x:v>1</x:v>
      </x:c>
      <x:c r="K475" t="n">
        <x:f>SUM(E475:J475)</x:f>
        <x:v>1</x:v>
      </x:c>
      <x:c r="L475" s="163" t="n">
        <x:f>IFERROR(K475/D475,0)</x:f>
        <x:v>0.0407000407000407</x:v>
      </x:c>
      <x:c r="M475" s="160" t="str">
        <x:v>Presence-floor proxy only — 50k+ county completion</x:v>
      </x:c>
      <x:c r="N475" s="160" t="str">
        <x:v>Added to complete ≥50,000-population incorporated-place coverage in a top-5 store-count county using Census Vintage 2025 eligibility. One-store screening floor only; exact selected-chain count and 5-mile buffer require GIS verification.</x:v>
      </x:c>
      <x:c r="O475" s="160" t="str">
        <x:v>San Diego County</x:v>
      </x:c>
    </x:row>
    <x:row r="476">
      <x:c r="A476" t="n">
        <x:v>488</x:v>
      </x:c>
      <x:c r="B476" t="str">
        <x:v>Kalamazoo</x:v>
      </x:c>
      <x:c r="C476" t="str">
        <x:v>MI</x:v>
      </x:c>
      <x:c r="D476" s="161" t="n">
        <x:v>24.69</x:v>
      </x:c>
      <x:c r="E476" t="n">
        <x:v>0</x:v>
      </x:c>
      <x:c r="F476" t="n">
        <x:v>0</x:v>
      </x:c>
      <x:c r="G476" t="n">
        <x:v>0</x:v>
      </x:c>
      <x:c r="H476" t="n">
        <x:v>0</x:v>
      </x:c>
      <x:c r="I476" t="n">
        <x:v>0</x:v>
      </x:c>
      <x:c r="J476" t="n">
        <x:v>1</x:v>
      </x:c>
      <x:c r="K476" t="n">
        <x:f>SUM(E476:J476)</x:f>
        <x:v>1</x:v>
      </x:c>
      <x:c r="L476" s="163" t="n">
        <x:f>IFERROR(K476/D476,0)</x:f>
        <x:v>0.04050222762251924</x:v>
      </x:c>
      <x:c r="M476" s="160" t="str">
        <x:v>Presence-floor proxy only — restricted-state adjacency expansion</x:v>
      </x:c>
      <x:c r="N476" s="160" t="str">
        <x:v>Census V2025 population 72,683. Fresh Thyme is verified in Kalamazoo County (Portage); city row retains one-store screening floor pending production GIS boundary attribution.</x:v>
      </x:c>
      <x:c r="O476" s="160" t="str">
        <x:v>Kalamazoo County</x:v>
      </x:c>
    </x:row>
    <x:row r="477">
      <x:c r="A477" t="n">
        <x:v>489</x:v>
      </x:c>
      <x:c r="B477" t="str">
        <x:v>Lakewood</x:v>
      </x:c>
      <x:c r="C477" t="str">
        <x:v>NJ</x:v>
      </x:c>
      <x:c r="D477" s="161" t="n">
        <x:v>24.7</x:v>
      </x:c>
      <x:c r="E477" t="n">
        <x:v>0</x:v>
      </x:c>
      <x:c r="F477" t="n">
        <x:v>0</x:v>
      </x:c>
      <x:c r="G477" t="n">
        <x:v>0</x:v>
      </x:c>
      <x:c r="H477" t="n">
        <x:v>0</x:v>
      </x:c>
      <x:c r="I477" t="n">
        <x:v>0</x:v>
      </x:c>
      <x:c r="J477" t="n">
        <x:v>1</x:v>
      </x:c>
      <x:c r="K477" t="n">
        <x:f>SUM(E477:J477)</x:f>
        <x:v>1</x:v>
      </x:c>
      <x:c r="L477" s="163" t="n">
        <x:f>IFERROR(K477/D477,0)</x:f>
        <x:v>0.04048582995951417</x:v>
      </x:c>
      <x:c r="M477" s="160" t="str">
        <x:v>Presence-floor proxy only — 200-city expansion</x:v>
      </x:c>
      <x:c r="N477" s="160" t="str">
        <x:v>Added in the 200-city screening expansion. One-store screening floor only; exact selected-chain count and 5-mile buffer require GIS verification.</x:v>
      </x:c>
      <x:c r="O477" s="160" t="str">
        <x:v>Ocean County</x:v>
      </x:c>
    </x:row>
    <x:row r="478">
      <x:c r="A478" t="n">
        <x:v>490</x:v>
      </x:c>
      <x:c r="B478" t="str">
        <x:v>Dublin City</x:v>
      </x:c>
      <x:c r="C478" t="str">
        <x:v>OH</x:v>
      </x:c>
      <x:c r="D478" s="161" t="n">
        <x:v>24.701</x:v>
      </x:c>
      <x:c r="E478" t="n">
        <x:v>0</x:v>
      </x:c>
      <x:c r="F478" t="n">
        <x:v>0</x:v>
      </x:c>
      <x:c r="G478" t="n">
        <x:v>0</x:v>
      </x:c>
      <x:c r="H478" t="n">
        <x:v>0</x:v>
      </x:c>
      <x:c r="I478" t="n">
        <x:v>0</x:v>
      </x:c>
      <x:c r="J478" t="n">
        <x:v>1</x:v>
      </x:c>
      <x:c r="K478" t="n">
        <x:f>SUM(E478:J478)</x:f>
        <x:v>1</x:v>
      </x:c>
      <x:c r="L478" s="163" t="n">
        <x:f>IFERROR(K478/D478,0)</x:f>
        <x:v>0.040484190923444394</x:v>
      </x:c>
      <x:c r="M478" s="160" t="str">
        <x:v>Presence-floor proxy only — 10k+ municipality completion</x:v>
      </x:c>
      <x:c r="N478" s="160" t="str">
        <x:v>Added under the &gt;=50k-county expansion rule: Census Vintage 2025 municipality population &gt;=10,000; general-purpose city-equivalent municipality; direct Census adjacency. Presence-floor proxy only — exact tracked-chain count requires municipal-boundary/GIS verification. Dublin City spans multiple counties and is canonically assigned to Delaware County for this expansion; full Census place land area is used.</x:v>
      </x:c>
      <x:c r="O478" s="160" t="str">
        <x:v>Delaware County</x:v>
      </x:c>
    </x:row>
    <x:row r="479">
      <x:c r="A479" t="n">
        <x:v>491</x:v>
      </x:c>
      <x:c r="B479" t="str">
        <x:v>Salem Town</x:v>
      </x:c>
      <x:c r="C479" t="str">
        <x:v>NH</x:v>
      </x:c>
      <x:c r="D479" s="161" t="n">
        <x:v>24.853</x:v>
      </x:c>
      <x:c r="E479" t="n">
        <x:v>0</x:v>
      </x:c>
      <x:c r="F479" t="n">
        <x:v>0</x:v>
      </x:c>
      <x:c r="G479" t="n">
        <x:v>0</x:v>
      </x:c>
      <x:c r="H479" t="n">
        <x:v>0</x:v>
      </x:c>
      <x:c r="I479" t="n">
        <x:v>0</x:v>
      </x:c>
      <x:c r="J479" t="n">
        <x:v>1</x:v>
      </x:c>
      <x:c r="K479" t="n">
        <x:f>SUM(E479:J479)</x:f>
        <x:v>1</x:v>
      </x:c>
      <x:c r="L479" s="163" t="n">
        <x:f>IFERROR(K479/D479,0)</x:f>
        <x:v>0.04023659115599726</x:v>
      </x:c>
      <x:c r="M479" s="160" t="str">
        <x:v>Presence-floor proxy only — 10k+ municipality completion</x:v>
      </x:c>
      <x:c r="N479"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479" s="160" t="str">
        <x:v>Rockingham County</x:v>
      </x:c>
    </x:row>
    <x:row r="480">
      <x:c r="A480" t="n">
        <x:v>492</x:v>
      </x:c>
      <x:c r="B480" t="str">
        <x:v>Weston</x:v>
      </x:c>
      <x:c r="C480" t="str">
        <x:v>FL</x:v>
      </x:c>
      <x:c r="D480" s="161" t="n">
        <x:v>24.93</x:v>
      </x:c>
      <x:c r="E480" t="n">
        <x:v>0</x:v>
      </x:c>
      <x:c r="F480" t="n">
        <x:v>0</x:v>
      </x:c>
      <x:c r="G480" t="n">
        <x:v>0</x:v>
      </x:c>
      <x:c r="H480" t="n">
        <x:v>0</x:v>
      </x:c>
      <x:c r="I480" t="n">
        <x:v>0</x:v>
      </x:c>
      <x:c r="J480" t="n">
        <x:v>1</x:v>
      </x:c>
      <x:c r="K480" t="n">
        <x:f>SUM(E480:J480)</x:f>
        <x:v>1</x:v>
      </x:c>
      <x:c r="L480" s="163" t="n">
        <x:f>IFERROR(K480/D480,0)</x:f>
        <x:v>0.04011231448054553</x:v>
      </x:c>
      <x:c r="M480" s="160" t="str">
        <x:v>Presence-floor proxy only — 50k+ county completion</x:v>
      </x:c>
      <x:c r="N480"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480" s="160" t="str">
        <x:v>Broward County</x:v>
      </x:c>
    </x:row>
    <x:row r="481">
      <x:c r="A481" t="n">
        <x:v>493</x:v>
      </x:c>
      <x:c r="B481" t="str">
        <x:v>Chester Town</x:v>
      </x:c>
      <x:c r="C481" t="str">
        <x:v>NY</x:v>
      </x:c>
      <x:c r="D481" s="161" t="n">
        <x:v>25.049</x:v>
      </x:c>
      <x:c r="E481" t="n">
        <x:v>0</x:v>
      </x:c>
      <x:c r="F481" t="n">
        <x:v>0</x:v>
      </x:c>
      <x:c r="G481" t="n">
        <x:v>0</x:v>
      </x:c>
      <x:c r="H481" t="n">
        <x:v>0</x:v>
      </x:c>
      <x:c r="I481" t="n">
        <x:v>0</x:v>
      </x:c>
      <x:c r="J481" t="n">
        <x:v>1</x:v>
      </x:c>
      <x:c r="K481" t="n">
        <x:f>SUM(E481:J481)</x:f>
        <x:v>1</x:v>
      </x:c>
      <x:c r="L481" s="163" t="n">
        <x:f>IFERROR(K481/D481,0)</x:f>
        <x:v>0.039921753363407725</x:v>
      </x:c>
      <x:c r="M481" s="160" t="str">
        <x:v>Presence-floor proxy only — 10k+ municipality completion</x:v>
      </x:c>
      <x:c r="N481"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481" s="160" t="str">
        <x:v>Orange County</x:v>
      </x:c>
    </x:row>
    <x:row r="482">
      <x:c r="A482" t="n">
        <x:v>494</x:v>
      </x:c>
      <x:c r="B482" t="str">
        <x:v>Syracuse</x:v>
      </x:c>
      <x:c r="C482" t="str">
        <x:v>NY</x:v>
      </x:c>
      <x:c r="D482" s="161" t="n">
        <x:v>25.1</x:v>
      </x:c>
      <x:c r="E482" t="n">
        <x:v>0</x:v>
      </x:c>
      <x:c r="F482" t="n">
        <x:v>0</x:v>
      </x:c>
      <x:c r="G482" t="n">
        <x:v>0</x:v>
      </x:c>
      <x:c r="H482" t="n">
        <x:v>0</x:v>
      </x:c>
      <x:c r="I482" t="n">
        <x:v>0</x:v>
      </x:c>
      <x:c r="J482" t="n">
        <x:v>1</x:v>
      </x:c>
      <x:c r="K482" t="n">
        <x:f>SUM(E482:J482)</x:f>
        <x:v>1</x:v>
      </x:c>
      <x:c r="L482" s="163" t="n">
        <x:f>IFERROR(K482/D482,0)</x:f>
        <x:v>0.0398406374501992</x:v>
      </x:c>
      <x:c r="M482" s="160" t="str">
        <x:v>Presence-floor proxy only — 200-city expansion</x:v>
      </x:c>
      <x:c r="N482" s="160" t="str">
        <x:v>Added in the 200-city screening expansion. One-store screening floor only; exact selected-chain count and 5-mile buffer require GIS verification.</x:v>
      </x:c>
      <x:c r="O482" s="160" t="str">
        <x:v>Onondaga County</x:v>
      </x:c>
    </x:row>
    <x:row r="483">
      <x:c r="A483" t="n">
        <x:v>495</x:v>
      </x:c>
      <x:c r="B483" t="str">
        <x:v>San Jose</x:v>
      </x:c>
      <x:c r="C483" t="str">
        <x:v>CA</x:v>
      </x:c>
      <x:c r="D483" s="161" t="n">
        <x:v>176.526</x:v>
      </x:c>
      <x:c r="E483" t="n">
        <x:v>1</x:v>
      </x:c>
      <x:c r="F483" t="n">
        <x:v>6</x:v>
      </x:c>
      <x:c r="G483" t="n">
        <x:v>0</x:v>
      </x:c>
      <x:c r="H483" t="n">
        <x:v>0</x:v>
      </x:c>
      <x:c r="I483" t="n">
        <x:v>0</x:v>
      </x:c>
      <x:c r="J483" t="n">
        <x:v>0</x:v>
      </x:c>
      <x:c r="K483" t="n">
        <x:f>SUM(E483:J483)</x:f>
        <x:v>7</x:v>
      </x:c>
      <x:c r="L483" s="163" t="n">
        <x:f>IFERROR(K483/D483,0)</x:f>
        <x:v>0.03965421524308034</x:v>
      </x:c>
      <x:c r="M483" s="160" t="str">
        <x:v>Confirmed lower bound</x:v>
      </x:c>
      <x:c r="N483" s="160" t="str">
        <x:v>Verified public-directory count for ≥1 major chain; other selected chains and 5-mile spillover omitted.</x:v>
      </x:c>
      <x:c r="O483" s="160" t="str">
        <x:v>Santa Clara County</x:v>
      </x:c>
    </x:row>
    <x:row r="484">
      <x:c r="A484" t="n">
        <x:v>496</x:v>
      </x:c>
      <x:c r="B484" t="str">
        <x:v>York Township</x:v>
      </x:c>
      <x:c r="C484" t="str">
        <x:v>PA</x:v>
      </x:c>
      <x:c r="D484" s="161" t="n">
        <x:v>25.262</x:v>
      </x:c>
      <x:c r="E484" t="n">
        <x:v>0</x:v>
      </x:c>
      <x:c r="F484" t="n">
        <x:v>0</x:v>
      </x:c>
      <x:c r="G484" t="n">
        <x:v>0</x:v>
      </x:c>
      <x:c r="H484" t="n">
        <x:v>0</x:v>
      </x:c>
      <x:c r="I484" t="n">
        <x:v>0</x:v>
      </x:c>
      <x:c r="J484" t="n">
        <x:v>1</x:v>
      </x:c>
      <x:c r="K484" t="n">
        <x:f>SUM(E484:J484)</x:f>
        <x:v>1</x:v>
      </x:c>
      <x:c r="L484" s="163" t="n">
        <x:f>IFERROR(K484/D484,0)</x:f>
        <x:v>0.039585147652600745</x:v>
      </x:c>
      <x:c r="M484" s="160" t="str">
        <x:v>Presence-floor proxy only — 10k+ municipality completion</x:v>
      </x:c>
      <x:c r="N48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484" s="160" t="str">
        <x:v>York County</x:v>
      </x:c>
    </x:row>
    <x:row r="485">
      <x:c r="A485" t="n">
        <x:v>497</x:v>
      </x:c>
      <x:c r="B485" t="str">
        <x:v>Chicago</x:v>
      </x:c>
      <x:c r="C485" t="str">
        <x:v>IL</x:v>
      </x:c>
      <x:c r="D485" s="161" t="n">
        <x:v>227.635</x:v>
      </x:c>
      <x:c r="E485" t="n">
        <x:v>8</x:v>
      </x:c>
      <x:c r="F485" t="n">
        <x:v>0</x:v>
      </x:c>
      <x:c r="G485" t="n">
        <x:v>0</x:v>
      </x:c>
      <x:c r="H485" t="n">
        <x:v>1</x:v>
      </x:c>
      <x:c r="I485" t="n">
        <x:v>0</x:v>
      </x:c>
      <x:c r="J485" t="n">
        <x:v>0</x:v>
      </x:c>
      <x:c r="K485" t="n">
        <x:f>SUM(E485:J485)</x:f>
        <x:v>9</x:v>
      </x:c>
      <x:c r="L485" s="163" t="n">
        <x:f>IFERROR(K485/D485,0)</x:f>
        <x:v>0.03953697805697718</x:v>
      </x:c>
      <x:c r="M485" s="160" t="str">
        <x:v>Confirmed lower bound</x:v>
      </x:c>
      <x:c r="N485" s="160" t="str">
        <x:v>Verified public-directory count for ≥1 major chain; other selected chains and 5-mile spillover omitted.</x:v>
      </x:c>
      <x:c r="O485" s="160" t="str">
        <x:v>Cook County</x:v>
      </x:c>
    </x:row>
    <x:row r="486">
      <x:c r="A486" t="n">
        <x:v>498</x:v>
      </x:c>
      <x:c r="B486" t="str">
        <x:v>Scranton</x:v>
      </x:c>
      <x:c r="C486" t="str">
        <x:v>PA</x:v>
      </x:c>
      <x:c r="D486" s="161" t="n">
        <x:v>25.31</x:v>
      </x:c>
      <x:c r="E486" t="n">
        <x:v>0</x:v>
      </x:c>
      <x:c r="F486" t="n">
        <x:v>0</x:v>
      </x:c>
      <x:c r="G486" t="n">
        <x:v>0</x:v>
      </x:c>
      <x:c r="H486" t="n">
        <x:v>0</x:v>
      </x:c>
      <x:c r="I486" t="n">
        <x:v>0</x:v>
      </x:c>
      <x:c r="J486" t="n">
        <x:v>1</x:v>
      </x:c>
      <x:c r="K486" t="n">
        <x:f>SUM(E486:J486)</x:f>
        <x:v>1</x:v>
      </x:c>
      <x:c r="L486" s="163" t="n">
        <x:f>IFERROR(K486/D486,0)</x:f>
        <x:v>0.039510075069142635</x:v>
      </x:c>
      <x:c r="M486" s="160" t="str">
        <x:v>Presence-floor proxy only — restricted-state adjacency expansion</x:v>
      </x:c>
      <x:c r="N486" s="160" t="str">
        <x:v>Census V2025 population 75,514. A Wegmans Scranton-area location is verified at county level; exact incorporated-city boundary attribution is deferred to production GIS.</x:v>
      </x:c>
      <x:c r="O486" s="160" t="str">
        <x:v>Lackawanna County</x:v>
      </x:c>
    </x:row>
    <x:row r="487">
      <x:c r="A487" t="n">
        <x:v>499</x:v>
      </x:c>
      <x:c r="B487" t="str">
        <x:v>Mahwah Township</x:v>
      </x:c>
      <x:c r="C487" t="str">
        <x:v>NJ</x:v>
      </x:c>
      <x:c r="D487" s="161" t="n">
        <x:v>25.392</x:v>
      </x:c>
      <x:c r="E487" t="n">
        <x:v>0</x:v>
      </x:c>
      <x:c r="F487" t="n">
        <x:v>0</x:v>
      </x:c>
      <x:c r="G487" t="n">
        <x:v>0</x:v>
      </x:c>
      <x:c r="H487" t="n">
        <x:v>0</x:v>
      </x:c>
      <x:c r="I487" t="n">
        <x:v>0</x:v>
      </x:c>
      <x:c r="J487" t="n">
        <x:v>1</x:v>
      </x:c>
      <x:c r="K487" t="n">
        <x:f>SUM(E487:J487)</x:f>
        <x:v>1</x:v>
      </x:c>
      <x:c r="L487" s="163" t="n">
        <x:f>IFERROR(K487/D487,0)</x:f>
        <x:v>0.03938248267170762</x:v>
      </x:c>
      <x:c r="M487" s="160" t="str">
        <x:v>Presence-floor proxy only — 10k+ municipality completion</x:v>
      </x:c>
      <x:c r="N48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87" s="160" t="str">
        <x:v>Bergen County</x:v>
      </x:c>
    </x:row>
    <x:row r="488">
      <x:c r="A488" t="n">
        <x:v>500</x:v>
      </x:c>
      <x:c r="B488" t="str">
        <x:v>Clovis</x:v>
      </x:c>
      <x:c r="C488" t="str">
        <x:v>CA</x:v>
      </x:c>
      <x:c r="D488" s="161" t="n">
        <x:v>25.4</x:v>
      </x:c>
      <x:c r="E488" t="n">
        <x:v>0</x:v>
      </x:c>
      <x:c r="F488" t="n">
        <x:v>0</x:v>
      </x:c>
      <x:c r="G488" t="n">
        <x:v>0</x:v>
      </x:c>
      <x:c r="H488" t="n">
        <x:v>0</x:v>
      </x:c>
      <x:c r="I488" t="n">
        <x:v>0</x:v>
      </x:c>
      <x:c r="J488" t="n">
        <x:v>1</x:v>
      </x:c>
      <x:c r="K488" t="n">
        <x:f>SUM(E488:J488)</x:f>
        <x:v>1</x:v>
      </x:c>
      <x:c r="L488" s="163" t="n">
        <x:f>IFERROR(K488/D488,0)</x:f>
        <x:v>0.03937007874015748</x:v>
      </x:c>
      <x:c r="M488" s="160" t="str">
        <x:v>Presence-floor proxy only — 250-city expansion</x:v>
      </x:c>
      <x:c r="N488" s="160" t="str">
        <x:v>Added in the 250-city screening expansion. One-store screening floor only; exact selected-chain count and 5-mile buffer require GIS verification.</x:v>
      </x:c>
      <x:c r="O488" s="160" t="str">
        <x:v>Fresno County</x:v>
      </x:c>
    </x:row>
    <x:row r="489">
      <x:c r="A489" t="n">
        <x:v>501</x:v>
      </x:c>
      <x:c r="B489" t="str">
        <x:v>Pflugerville</x:v>
      </x:c>
      <x:c r="C489" t="str">
        <x:v>TX</x:v>
      </x:c>
      <x:c r="D489" s="161" t="n">
        <x:v>25.56</x:v>
      </x:c>
      <x:c r="E489" t="n">
        <x:v>0</x:v>
      </x:c>
      <x:c r="F489" t="n">
        <x:v>0</x:v>
      </x:c>
      <x:c r="G489" t="n">
        <x:v>0</x:v>
      </x:c>
      <x:c r="H489" t="n">
        <x:v>0</x:v>
      </x:c>
      <x:c r="I489" t="n">
        <x:v>0</x:v>
      </x:c>
      <x:c r="J489" t="n">
        <x:v>1</x:v>
      </x:c>
      <x:c r="K489" t="n">
        <x:f>SUM(E489:J489)</x:f>
        <x:v>1</x:v>
      </x:c>
      <x:c r="L489" s="163" t="n">
        <x:f>IFERROR(K489/D489,0)</x:f>
        <x:v>0.03912363067292645</x:v>
      </x:c>
      <x:c r="M489" s="160" t="str">
        <x:v>Presence-floor proxy only — 50k+ county completion</x:v>
      </x:c>
      <x:c r="N489"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489" s="160" t="str">
        <x:v>Travis County</x:v>
      </x:c>
    </x:row>
    <x:row r="490">
      <x:c r="A490" t="n">
        <x:v>502</x:v>
      </x:c>
      <x:c r="B490" t="str">
        <x:v>Northampton Township</x:v>
      </x:c>
      <x:c r="C490" t="str">
        <x:v>PA</x:v>
      </x:c>
      <x:c r="D490" s="161" t="n">
        <x:v>25.682</x:v>
      </x:c>
      <x:c r="E490" t="n">
        <x:v>0</x:v>
      </x:c>
      <x:c r="F490" t="n">
        <x:v>0</x:v>
      </x:c>
      <x:c r="G490" t="n">
        <x:v>0</x:v>
      </x:c>
      <x:c r="H490" t="n">
        <x:v>0</x:v>
      </x:c>
      <x:c r="I490" t="n">
        <x:v>0</x:v>
      </x:c>
      <x:c r="J490" t="n">
        <x:v>1</x:v>
      </x:c>
      <x:c r="K490" t="n">
        <x:f>SUM(E490:J490)</x:f>
        <x:v>1</x:v>
      </x:c>
      <x:c r="L490" s="163" t="n">
        <x:f>IFERROR(K490/D490,0)</x:f>
        <x:v>0.038937777431664204</x:v>
      </x:c>
      <x:c r="M490" s="160" t="str">
        <x:v>Presence-floor proxy only — 10k+ municipality completion</x:v>
      </x:c>
      <x:c r="N49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490" s="160" t="str">
        <x:v>Bucks County</x:v>
      </x:c>
    </x:row>
    <x:row r="491">
      <x:c r="A491" t="n">
        <x:v>503</x:v>
      </x:c>
      <x:c r="B491" t="str">
        <x:v>Orange</x:v>
      </x:c>
      <x:c r="C491" t="str">
        <x:v>CA</x:v>
      </x:c>
      <x:c r="D491" s="161" t="n">
        <x:v>25.7</x:v>
      </x:c>
      <x:c r="E491" t="n">
        <x:v>0</x:v>
      </x:c>
      <x:c r="F491" t="n">
        <x:v>0</x:v>
      </x:c>
      <x:c r="G491" t="n">
        <x:v>0</x:v>
      </x:c>
      <x:c r="H491" t="n">
        <x:v>0</x:v>
      </x:c>
      <x:c r="I491" t="n">
        <x:v>0</x:v>
      </x:c>
      <x:c r="J491" t="n">
        <x:v>1</x:v>
      </x:c>
      <x:c r="K491" t="n">
        <x:f>SUM(E491:J491)</x:f>
        <x:v>1</x:v>
      </x:c>
      <x:c r="L491" s="163" t="n">
        <x:f>IFERROR(K491/D491,0)</x:f>
        <x:v>0.038910505836575876</x:v>
      </x:c>
      <x:c r="M491" s="160" t="str">
        <x:v>Presence-floor proxy only — 250-city expansion</x:v>
      </x:c>
      <x:c r="N491" s="160" t="str">
        <x:v>Added in the 250-city screening expansion. One-store screening floor only; exact selected-chain count and 5-mile buffer require GIS verification.</x:v>
      </x:c>
      <x:c r="O491" s="160" t="str">
        <x:v>Orange County</x:v>
      </x:c>
    </x:row>
    <x:row r="492">
      <x:c r="A492" t="n">
        <x:v>504</x:v>
      </x:c>
      <x:c r="B492" t="str">
        <x:v>Hillsboro</x:v>
      </x:c>
      <x:c r="C492" t="str">
        <x:v>OR</x:v>
      </x:c>
      <x:c r="D492" s="161" t="n">
        <x:v>25.7</x:v>
      </x:c>
      <x:c r="E492" t="n">
        <x:v>0</x:v>
      </x:c>
      <x:c r="F492" t="n">
        <x:v>0</x:v>
      </x:c>
      <x:c r="G492" t="n">
        <x:v>0</x:v>
      </x:c>
      <x:c r="H492" t="n">
        <x:v>0</x:v>
      </x:c>
      <x:c r="I492" t="n">
        <x:v>0</x:v>
      </x:c>
      <x:c r="J492" t="n">
        <x:v>1</x:v>
      </x:c>
      <x:c r="K492" t="n">
        <x:f>SUM(E492:J492)</x:f>
        <x:v>1</x:v>
      </x:c>
      <x:c r="L492" s="163" t="n">
        <x:f>IFERROR(K492/D492,0)</x:f>
        <x:v>0.038910505836575876</x:v>
      </x:c>
      <x:c r="M492" s="160" t="str">
        <x:v>Presence-floor proxy only — 300-city expansion</x:v>
      </x:c>
      <x:c r="N492" s="160" t="str">
        <x:v>Added in the 300-city screening expansion. One-store screening floor only; exact selected-chain count and 5-mile buffer require GIS verification.</x:v>
      </x:c>
      <x:c r="O492" s="160" t="str">
        <x:v>Washington County</x:v>
      </x:c>
    </x:row>
    <x:row r="493">
      <x:c r="A493" t="n">
        <x:v>505</x:v>
      </x:c>
      <x:c r="B493" t="str">
        <x:v>San Jacinto</x:v>
      </x:c>
      <x:c r="C493" t="str">
        <x:v>CA</x:v>
      </x:c>
      <x:c r="D493" s="161" t="n">
        <x:v>25.873</x:v>
      </x:c>
      <x:c r="E493" t="n">
        <x:v>0</x:v>
      </x:c>
      <x:c r="F493" t="n">
        <x:v>0</x:v>
      </x:c>
      <x:c r="G493" t="n">
        <x:v>0</x:v>
      </x:c>
      <x:c r="H493" t="n">
        <x:v>0</x:v>
      </x:c>
      <x:c r="I493" t="n">
        <x:v>0</x:v>
      </x:c>
      <x:c r="J493" t="n">
        <x:v>1</x:v>
      </x:c>
      <x:c r="K493" t="n">
        <x:f>SUM(E493:J493)</x:f>
        <x:v>1</x:v>
      </x:c>
      <x:c r="L493" s="163" t="n">
        <x:f>IFERROR(K493/D493,0)</x:f>
        <x:v>0.038650330460325434</x:v>
      </x:c>
      <x:c r="M493" s="160" t="str">
        <x:v>Presence-floor proxy only — 50k+ county completion</x:v>
      </x:c>
      <x:c r="N493"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493" s="160" t="str">
        <x:v>Riverside County</x:v>
      </x:c>
    </x:row>
    <x:row r="494">
      <x:c r="A494" t="n">
        <x:v>506</x:v>
      </x:c>
      <x:c r="B494" t="str">
        <x:v>Springfield</x:v>
      </x:c>
      <x:c r="C494" t="str">
        <x:v>OH</x:v>
      </x:c>
      <x:c r="D494" s="161" t="n">
        <x:v>25.97</x:v>
      </x:c>
      <x:c r="E494" t="n">
        <x:v>0</x:v>
      </x:c>
      <x:c r="F494" t="n">
        <x:v>0</x:v>
      </x:c>
      <x:c r="G494" t="n">
        <x:v>0</x:v>
      </x:c>
      <x:c r="H494" t="n">
        <x:v>0</x:v>
      </x:c>
      <x:c r="I494" t="n">
        <x:v>0</x:v>
      </x:c>
      <x:c r="J494" t="n">
        <x:v>1</x:v>
      </x:c>
      <x:c r="K494" t="n">
        <x:f>SUM(E494:J494)</x:f>
        <x:v>1</x:v>
      </x:c>
      <x:c r="L494" s="163" t="n">
        <x:f>IFERROR(K494/D494,0)</x:f>
        <x:v>0.038505968425105896</x:v>
      </x:c>
      <x:c r="M494" s="160" t="str">
        <x:v>Presence-floor proxy only — restricted-state adjacency expansion</x:v>
      </x:c>
      <x:c r="N494" s="160" t="str">
        <x:v>Census V2025 population 58,281. Added for Clark County completion; one-store screening floor pending production GIS verification.</x:v>
      </x:c>
      <x:c r="O494" s="160" t="str">
        <x:v>Clark County</x:v>
      </x:c>
    </x:row>
    <x:row r="495">
      <x:c r="A495" t="n">
        <x:v>507</x:v>
      </x:c>
      <x:c r="B495" t="str">
        <x:v>Clearwater</x:v>
      </x:c>
      <x:c r="C495" t="str">
        <x:v>FL</x:v>
      </x:c>
      <x:c r="D495" s="161" t="n">
        <x:v>26.1</x:v>
      </x:c>
      <x:c r="E495" t="n">
        <x:v>0</x:v>
      </x:c>
      <x:c r="F495" t="n">
        <x:v>0</x:v>
      </x:c>
      <x:c r="G495" t="n">
        <x:v>0</x:v>
      </x:c>
      <x:c r="H495" t="n">
        <x:v>0</x:v>
      </x:c>
      <x:c r="I495" t="n">
        <x:v>0</x:v>
      </x:c>
      <x:c r="J495" t="n">
        <x:v>1</x:v>
      </x:c>
      <x:c r="K495" t="n">
        <x:f>SUM(E495:J495)</x:f>
        <x:v>1</x:v>
      </x:c>
      <x:c r="L495" s="163" t="n">
        <x:f>IFERROR(K495/D495,0)</x:f>
        <x:v>0.038314176245210725</x:v>
      </x:c>
      <x:c r="M495" s="160" t="str">
        <x:v>Presence-floor proxy only — 300-city expansion</x:v>
      </x:c>
      <x:c r="N495" s="160" t="str">
        <x:v>Added in the 300-city screening expansion. One-store screening floor only; exact selected-chain count and 5-mile buffer require GIS verification.</x:v>
      </x:c>
      <x:c r="O495" s="160" t="str">
        <x:v>Pinellas County</x:v>
      </x:c>
    </x:row>
    <x:row r="496">
      <x:c r="A496" t="n">
        <x:v>508</x:v>
      </x:c>
      <x:c r="B496" t="str">
        <x:v>Middletown</x:v>
      </x:c>
      <x:c r="C496" t="str">
        <x:v>OH</x:v>
      </x:c>
      <x:c r="D496" s="161" t="n">
        <x:v>26.13</x:v>
      </x:c>
      <x:c r="E496" t="n">
        <x:v>0</x:v>
      </x:c>
      <x:c r="F496" t="n">
        <x:v>0</x:v>
      </x:c>
      <x:c r="G496" t="n">
        <x:v>0</x:v>
      </x:c>
      <x:c r="H496" t="n">
        <x:v>0</x:v>
      </x:c>
      <x:c r="I496" t="n">
        <x:v>0</x:v>
      </x:c>
      <x:c r="J496" t="n">
        <x:v>1</x:v>
      </x:c>
      <x:c r="K496" t="n">
        <x:f>SUM(E496:J496)</x:f>
        <x:v>1</x:v>
      </x:c>
      <x:c r="L496" s="163" t="n">
        <x:f>IFERROR(K496/D496,0)</x:f>
        <x:v>0.03827018752391887</x:v>
      </x:c>
      <x:c r="M496" s="160" t="str">
        <x:v>Presence-floor proxy only — restricted-state adjacency expansion</x:v>
      </x:c>
      <x:c r="N496" s="160" t="str">
        <x:v>Census V2025 population 52,146. Added to complete ≥50,000 city coverage in Butler County; one-store screening floor.</x:v>
      </x:c>
      <x:c r="O496" s="160" t="str">
        <x:v>Butler County</x:v>
      </x:c>
    </x:row>
    <x:row r="497">
      <x:c r="A497" t="n">
        <x:v>509</x:v>
      </x:c>
      <x:c r="B497" t="str">
        <x:v>Southfield</x:v>
      </x:c>
      <x:c r="C497" t="str">
        <x:v>MI</x:v>
      </x:c>
      <x:c r="D497" s="161" t="n">
        <x:v>26.25</x:v>
      </x:c>
      <x:c r="E497" t="n">
        <x:v>0</x:v>
      </x:c>
      <x:c r="F497" t="n">
        <x:v>0</x:v>
      </x:c>
      <x:c r="G497" t="n">
        <x:v>0</x:v>
      </x:c>
      <x:c r="H497" t="n">
        <x:v>0</x:v>
      </x:c>
      <x:c r="I497" t="n">
        <x:v>0</x:v>
      </x:c>
      <x:c r="J497" t="n">
        <x:v>1</x:v>
      </x:c>
      <x:c r="K497" t="n">
        <x:f>SUM(E497:J497)</x:f>
        <x:v>1</x:v>
      </x:c>
      <x:c r="L497" s="163" t="n">
        <x:f>IFERROR(K497/D497,0)</x:f>
        <x:v>0.0380952380952381</x:v>
      </x:c>
      <x:c r="M497" s="160" t="str">
        <x:v>Presence-floor proxy only — restricted-state adjacency expansion</x:v>
      </x:c>
      <x:c r="N497" s="160" t="str">
        <x:v>Census V2025 population 76,111. Added for Oakland County completion; one-store screening floor pending production GIS verification.</x:v>
      </x:c>
      <x:c r="O497" s="160" t="str">
        <x:v>Oakland County</x:v>
      </x:c>
    </x:row>
    <x:row r="498">
      <x:c r="A498" t="n">
        <x:v>510</x:v>
      </x:c>
      <x:c r="B498" t="str">
        <x:v>Canton</x:v>
      </x:c>
      <x:c r="C498" t="str">
        <x:v>OH</x:v>
      </x:c>
      <x:c r="D498" s="161" t="n">
        <x:v>26.32</x:v>
      </x:c>
      <x:c r="E498" t="n">
        <x:v>0</x:v>
      </x:c>
      <x:c r="F498" t="n">
        <x:v>0</x:v>
      </x:c>
      <x:c r="G498" t="n">
        <x:v>0</x:v>
      </x:c>
      <x:c r="H498" t="n">
        <x:v>0</x:v>
      </x:c>
      <x:c r="I498" t="n">
        <x:v>0</x:v>
      </x:c>
      <x:c r="J498" t="n">
        <x:v>1</x:v>
      </x:c>
      <x:c r="K498" t="n">
        <x:f>SUM(E498:J498)</x:f>
        <x:v>1</x:v>
      </x:c>
      <x:c r="L498" s="163" t="n">
        <x:f>IFERROR(K498/D498,0)</x:f>
        <x:v>0.037993920972644375</x:v>
      </x:c>
      <x:c r="M498" s="160" t="str">
        <x:v>Presence-floor proxy only — restricted-state adjacency expansion</x:v>
      </x:c>
      <x:c r="N498" s="160" t="str">
        <x:v>Census V2025 population 69,001. Added for Stark County completion; one-store screening floor pending production GIS verification.</x:v>
      </x:c>
      <x:c r="O498" s="160" t="str">
        <x:v>Stark County</x:v>
      </x:c>
    </x:row>
    <x:row r="499">
      <x:c r="A499" t="n">
        <x:v>511</x:v>
      </x:c>
      <x:c r="B499" t="str">
        <x:v>Cecil Township</x:v>
      </x:c>
      <x:c r="C499" t="str">
        <x:v>PA</x:v>
      </x:c>
      <x:c r="D499" s="161" t="n">
        <x:v>26.36</x:v>
      </x:c>
      <x:c r="E499" t="n">
        <x:v>0</x:v>
      </x:c>
      <x:c r="F499" t="n">
        <x:v>0</x:v>
      </x:c>
      <x:c r="G499" t="n">
        <x:v>0</x:v>
      </x:c>
      <x:c r="H499" t="n">
        <x:v>0</x:v>
      </x:c>
      <x:c r="I499" t="n">
        <x:v>0</x:v>
      </x:c>
      <x:c r="J499" t="n">
        <x:v>1</x:v>
      </x:c>
      <x:c r="K499" t="n">
        <x:f>SUM(E499:J499)</x:f>
        <x:v>1</x:v>
      </x:c>
      <x:c r="L499" s="163" t="n">
        <x:f>IFERROR(K499/D499,0)</x:f>
        <x:v>0.03793626707132018</x:v>
      </x:c>
      <x:c r="M499" s="160" t="str">
        <x:v>Presence-floor proxy only — 10k+ municipality completion</x:v>
      </x:c>
      <x:c r="N499"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South Strabane Township is excluded at V2025 population 9,672.</x:v>
      </x:c>
      <x:c r="O499" s="160" t="str">
        <x:v>Washington County</x:v>
      </x:c>
    </x:row>
    <x:row r="500">
      <x:c r="A500" t="n">
        <x:v>512</x:v>
      </x:c>
      <x:c r="B500" t="str">
        <x:v>Allen</x:v>
      </x:c>
      <x:c r="C500" t="str">
        <x:v>TX</x:v>
      </x:c>
      <x:c r="D500" s="161" t="n">
        <x:v>26.4</x:v>
      </x:c>
      <x:c r="E500" t="n">
        <x:v>0</x:v>
      </x:c>
      <x:c r="F500" t="n">
        <x:v>0</x:v>
      </x:c>
      <x:c r="G500" t="n">
        <x:v>0</x:v>
      </x:c>
      <x:c r="H500" t="n">
        <x:v>0</x:v>
      </x:c>
      <x:c r="I500" t="n">
        <x:v>0</x:v>
      </x:c>
      <x:c r="J500" t="n">
        <x:v>1</x:v>
      </x:c>
      <x:c r="K500" t="n">
        <x:f>SUM(E500:J500)</x:f>
        <x:v>1</x:v>
      </x:c>
      <x:c r="L500" s="163" t="n">
        <x:f>IFERROR(K500/D500,0)</x:f>
        <x:v>0.03787878787878788</x:v>
      </x:c>
      <x:c r="M500" s="160" t="str">
        <x:v>Presence-floor proxy only — 300-city expansion</x:v>
      </x:c>
      <x:c r="N500" s="160" t="str">
        <x:v>Added in the 300-city screening expansion. One-store screening floor only; exact selected-chain count and 5-mile buffer require GIS verification.</x:v>
      </x:c>
      <x:c r="O500" s="160" t="str">
        <x:v>Collin County</x:v>
      </x:c>
    </x:row>
    <x:row r="501">
      <x:c r="A501" t="n">
        <x:v>513</x:v>
      </x:c>
      <x:c r="B501" t="str">
        <x:v>Oxnard</x:v>
      </x:c>
      <x:c r="C501" t="str">
        <x:v>CA</x:v>
      </x:c>
      <x:c r="D501" s="161" t="n">
        <x:v>26.5</x:v>
      </x:c>
      <x:c r="E501" t="n">
        <x:v>0</x:v>
      </x:c>
      <x:c r="F501" t="n">
        <x:v>0</x:v>
      </x:c>
      <x:c r="G501" t="n">
        <x:v>0</x:v>
      </x:c>
      <x:c r="H501" t="n">
        <x:v>0</x:v>
      </x:c>
      <x:c r="I501" t="n">
        <x:v>0</x:v>
      </x:c>
      <x:c r="J501" t="n">
        <x:v>1</x:v>
      </x:c>
      <x:c r="K501" t="n">
        <x:f>SUM(E501:J501)</x:f>
        <x:v>1</x:v>
      </x:c>
      <x:c r="L501" s="163" t="n">
        <x:f>IFERROR(K501/D501,0)</x:f>
        <x:v>0.03773584905660377</x:v>
      </x:c>
      <x:c r="M501" s="160" t="str">
        <x:v>Presence-floor proxy only — 200-city expansion</x:v>
      </x:c>
      <x:c r="N501" s="160" t="str">
        <x:v>Added in the 200-city screening expansion. One-store screening floor only; exact selected-chain count and 5-mile buffer require GIS verification.</x:v>
      </x:c>
      <x:c r="O501" s="160" t="str">
        <x:v>Ventura County</x:v>
      </x:c>
    </x:row>
    <x:row r="502">
      <x:c r="A502" t="n">
        <x:v>514</x:v>
      </x:c>
      <x:c r="B502" t="str">
        <x:v>Livermore</x:v>
      </x:c>
      <x:c r="C502" t="str">
        <x:v>CA</x:v>
      </x:c>
      <x:c r="D502" s="161" t="n">
        <x:v>26.57</x:v>
      </x:c>
      <x:c r="E502" t="n">
        <x:v>0</x:v>
      </x:c>
      <x:c r="F502" t="n">
        <x:v>0</x:v>
      </x:c>
      <x:c r="G502" t="n">
        <x:v>0</x:v>
      </x:c>
      <x:c r="H502" t="n">
        <x:v>0</x:v>
      </x:c>
      <x:c r="I502" t="n">
        <x:v>0</x:v>
      </x:c>
      <x:c r="J502" t="n">
        <x:v>1</x:v>
      </x:c>
      <x:c r="K502" t="n">
        <x:f>SUM(E502:J502)</x:f>
        <x:v>1</x:v>
      </x:c>
      <x:c r="L502" s="163" t="n">
        <x:f>IFERROR(K502/D502,0)</x:f>
        <x:v>0.03763643206624012</x:v>
      </x:c>
      <x:c r="M502" s="160" t="str">
        <x:v>Presence-floor proxy only — 50k+ county completion</x:v>
      </x:c>
      <x:c r="N502"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02" s="160" t="str">
        <x:v>Alameda County</x:v>
      </x:c>
    </x:row>
    <x:row r="503">
      <x:c r="A503" t="n">
        <x:v>516</x:v>
      </x:c>
      <x:c r="B503" t="str">
        <x:v>Beavercreek City</x:v>
      </x:c>
      <x:c r="C503" t="str">
        <x:v>OH</x:v>
      </x:c>
      <x:c r="D503" s="161" t="n">
        <x:v>26.594</x:v>
      </x:c>
      <x:c r="E503" t="n">
        <x:v>0</x:v>
      </x:c>
      <x:c r="F503" t="n">
        <x:v>0</x:v>
      </x:c>
      <x:c r="G503" t="n">
        <x:v>0</x:v>
      </x:c>
      <x:c r="H503" t="n">
        <x:v>1</x:v>
      </x:c>
      <x:c r="I503" t="n">
        <x:v>0</x:v>
      </x:c>
      <x:c r="J503" t="n">
        <x:v>0</x:v>
      </x:c>
      <x:c r="K503" t="n">
        <x:f>SUM(E503:J503)</x:f>
        <x:v>1</x:v>
      </x:c>
      <x:c r="L503" s="163" t="n">
        <x:f>IFERROR(K503/D503,0)</x:f>
        <x:v>0.03760246672181695</x:v>
      </x:c>
      <x:c r="M503" s="160" t="str">
        <x:v>Confirmed lower bound — official retailer store page</x:v>
      </x:c>
      <x:c r="N503" s="160" t="str">
        <x:v>Confirmed lower bound: 1 Fresh Thyme location at 2850 Centre Dr., Beavercreek, from the retailer store locator; other tracked chains and nearby spillover omitted. County V2025 population 174,322; all five are above the 10,000 municipal threshold.</x:v>
      </x:c>
      <x:c r="O503" s="160" t="str">
        <x:v>Greene County</x:v>
      </x:c>
    </x:row>
    <x:row r="504">
      <x:c r="A504" t="n">
        <x:v>517</x:v>
      </x:c>
      <x:c r="B504" t="str">
        <x:v>Cornwall Town</x:v>
      </x:c>
      <x:c r="C504" t="str">
        <x:v>NY</x:v>
      </x:c>
      <x:c r="D504" s="161" t="n">
        <x:v>26.664</x:v>
      </x:c>
      <x:c r="E504" t="n">
        <x:v>0</x:v>
      </x:c>
      <x:c r="F504" t="n">
        <x:v>0</x:v>
      </x:c>
      <x:c r="G504" t="n">
        <x:v>0</x:v>
      </x:c>
      <x:c r="H504" t="n">
        <x:v>0</x:v>
      </x:c>
      <x:c r="I504" t="n">
        <x:v>0</x:v>
      </x:c>
      <x:c r="J504" t="n">
        <x:v>1</x:v>
      </x:c>
      <x:c r="K504" t="n">
        <x:f>SUM(E504:J504)</x:f>
        <x:v>1</x:v>
      </x:c>
      <x:c r="L504" s="163" t="n">
        <x:f>IFERROR(K504/D504,0)</x:f>
        <x:v>0.0375037503750375</x:v>
      </x:c>
      <x:c r="M504" s="160" t="str">
        <x:v>Presence-floor proxy only — 10k+ municipality completion</x:v>
      </x:c>
      <x:c r="N50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504" s="160" t="str">
        <x:v>Orange County</x:v>
      </x:c>
    </x:row>
    <x:row r="505">
      <x:c r="A505" t="n">
        <x:v>518</x:v>
      </x:c>
      <x:c r="B505" t="str">
        <x:v>Dover city</x:v>
      </x:c>
      <x:c r="C505" t="str">
        <x:v>NH</x:v>
      </x:c>
      <x:c r="D505" s="161" t="n">
        <x:v>26.732</x:v>
      </x:c>
      <x:c r="E505" t="n">
        <x:v>0</x:v>
      </x:c>
      <x:c r="F505" t="n">
        <x:v>0</x:v>
      </x:c>
      <x:c r="G505" t="n">
        <x:v>0</x:v>
      </x:c>
      <x:c r="H505" t="n">
        <x:v>0</x:v>
      </x:c>
      <x:c r="I505" t="n">
        <x:v>0</x:v>
      </x:c>
      <x:c r="J505" t="n">
        <x:v>1</x:v>
      </x:c>
      <x:c r="K505" t="n">
        <x:f>SUM(E505:J505)</x:f>
        <x:v>1</x:v>
      </x:c>
      <x:c r="L505" s="163" t="n">
        <x:f>IFERROR(K505/D505,0)</x:f>
        <x:v>0.03740834954361814</x:v>
      </x:c>
      <x:c r="M505" s="160" t="str">
        <x:v>Presence-floor proxy only — 10k+ municipality completion</x:v>
      </x:c>
      <x:c r="N505" s="160" t="str">
        <x:v>Added under the 2026-09-15 &gt;=50k-county expansion rule: Census Vintage 2025 municipality population &gt;=10,000; general-purpose city-equivalent municipality; direct Census adjacency. Presence-floor proxy only — exact tracked-chain count requires municipal-boundary/GIS verification. Barrington remains below the 10,000 threshold.</x:v>
      </x:c>
      <x:c r="O505" s="160" t="str">
        <x:v>Strafford County</x:v>
      </x:c>
    </x:row>
    <x:row r="506">
      <x:c r="A506" t="n">
        <x:v>519</x:v>
      </x:c>
      <x:c r="B506" t="str">
        <x:v>Windham Town</x:v>
      </x:c>
      <x:c r="C506" t="str">
        <x:v>NH</x:v>
      </x:c>
      <x:c r="D506" s="161" t="n">
        <x:v>26.748</x:v>
      </x:c>
      <x:c r="E506" t="n">
        <x:v>0</x:v>
      </x:c>
      <x:c r="F506" t="n">
        <x:v>0</x:v>
      </x:c>
      <x:c r="G506" t="n">
        <x:v>0</x:v>
      </x:c>
      <x:c r="H506" t="n">
        <x:v>0</x:v>
      </x:c>
      <x:c r="I506" t="n">
        <x:v>0</x:v>
      </x:c>
      <x:c r="J506" t="n">
        <x:v>1</x:v>
      </x:c>
      <x:c r="K506" t="n">
        <x:f>SUM(E506:J506)</x:f>
        <x:v>1</x:v>
      </x:c>
      <x:c r="L506" s="163" t="n">
        <x:f>IFERROR(K506/D506,0)</x:f>
        <x:v>0.03738597278301181</x:v>
      </x:c>
      <x:c r="M506" s="160" t="str">
        <x:v>Presence-floor proxy only — 10k+ municipality completion</x:v>
      </x:c>
      <x:c r="N506"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506" s="160" t="str">
        <x:v>Rockingham County</x:v>
      </x:c>
    </x:row>
    <x:row r="507">
      <x:c r="A507" t="n">
        <x:v>520</x:v>
      </x:c>
      <x:c r="B507" t="str">
        <x:v>Palm Desert</x:v>
      </x:c>
      <x:c r="C507" t="str">
        <x:v>CA</x:v>
      </x:c>
      <x:c r="D507" s="161" t="n">
        <x:v>26.777</x:v>
      </x:c>
      <x:c r="E507" t="n">
        <x:v>0</x:v>
      </x:c>
      <x:c r="F507" t="n">
        <x:v>0</x:v>
      </x:c>
      <x:c r="G507" t="n">
        <x:v>0</x:v>
      </x:c>
      <x:c r="H507" t="n">
        <x:v>0</x:v>
      </x:c>
      <x:c r="I507" t="n">
        <x:v>0</x:v>
      </x:c>
      <x:c r="J507" t="n">
        <x:v>1</x:v>
      </x:c>
      <x:c r="K507" t="n">
        <x:f>SUM(E507:J507)</x:f>
        <x:v>1</x:v>
      </x:c>
      <x:c r="L507" s="163" t="n">
        <x:f>IFERROR(K507/D507,0)</x:f>
        <x:v>0.03734548306382343</x:v>
      </x:c>
      <x:c r="M507" s="160" t="str">
        <x:v>Presence-floor proxy only — 50k+ county completion</x:v>
      </x:c>
      <x:c r="N507"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07" s="160" t="str">
        <x:v>Riverside County</x:v>
      </x:c>
    </x:row>
    <x:row r="508">
      <x:c r="A508" t="n">
        <x:v>521</x:v>
      </x:c>
      <x:c r="B508" t="str">
        <x:v>Ulster town</x:v>
      </x:c>
      <x:c r="C508" t="str">
        <x:v>NY</x:v>
      </x:c>
      <x:c r="D508" s="161" t="n">
        <x:v>26.802</x:v>
      </x:c>
      <x:c r="E508" t="n">
        <x:v>0</x:v>
      </x:c>
      <x:c r="F508" t="n">
        <x:v>0</x:v>
      </x:c>
      <x:c r="G508" t="n">
        <x:v>0</x:v>
      </x:c>
      <x:c r="H508" t="n">
        <x:v>0</x:v>
      </x:c>
      <x:c r="I508" t="n">
        <x:v>0</x:v>
      </x:c>
      <x:c r="J508" t="n">
        <x:v>1</x:v>
      </x:c>
      <x:c r="K508" t="n">
        <x:f>SUM(E508:J508)</x:f>
        <x:v>1</x:v>
      </x:c>
      <x:c r="L508" s="163" t="n">
        <x:f>IFERROR(K508/D508,0)</x:f>
        <x:v>0.03731064845907022</x:v>
      </x:c>
      <x:c r="M508" s="160" t="str">
        <x:v>Presence-floor proxy only — 10k+ municipality completion</x:v>
      </x:c>
      <x:c r="N508"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508" s="160" t="str">
        <x:v>Ulster County</x:v>
      </x:c>
    </x:row>
    <x:row r="509">
      <x:c r="A509" t="n">
        <x:v>522</x:v>
      </x:c>
      <x:c r="B509" t="str">
        <x:v>Alpharetta</x:v>
      </x:c>
      <x:c r="C509" t="str">
        <x:v>GA</x:v>
      </x:c>
      <x:c r="D509" s="161" t="n">
        <x:v>26.9</x:v>
      </x:c>
      <x:c r="E509" t="n">
        <x:v>0</x:v>
      </x:c>
      <x:c r="F509" t="n">
        <x:v>0</x:v>
      </x:c>
      <x:c r="G509" t="n">
        <x:v>0</x:v>
      </x:c>
      <x:c r="H509" t="n">
        <x:v>0</x:v>
      </x:c>
      <x:c r="I509" t="n">
        <x:v>0</x:v>
      </x:c>
      <x:c r="J509" t="n">
        <x:v>1</x:v>
      </x:c>
      <x:c r="K509" t="n">
        <x:f>SUM(E509:J509)</x:f>
        <x:v>1</x:v>
      </x:c>
      <x:c r="L509" s="163" t="n">
        <x:f>IFERROR(K509/D509,0)</x:f>
        <x:v>0.03717472118959108</x:v>
      </x:c>
      <x:c r="M509" s="160" t="str">
        <x:v>Presence-floor proxy only — 50k+ county completion</x:v>
      </x:c>
      <x:c r="N50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09" s="160" t="str">
        <x:v>Fulton County</x:v>
      </x:c>
    </x:row>
    <x:row r="510">
      <x:c r="A510" t="n">
        <x:v>523</x:v>
      </x:c>
      <x:c r="B510" t="str">
        <x:v>Hilltown Township</x:v>
      </x:c>
      <x:c r="C510" t="str">
        <x:v>PA</x:v>
      </x:c>
      <x:c r="D510" s="161" t="n">
        <x:v>26.966</x:v>
      </x:c>
      <x:c r="E510" t="n">
        <x:v>0</x:v>
      </x:c>
      <x:c r="F510" t="n">
        <x:v>0</x:v>
      </x:c>
      <x:c r="G510" t="n">
        <x:v>0</x:v>
      </x:c>
      <x:c r="H510" t="n">
        <x:v>0</x:v>
      </x:c>
      <x:c r="I510" t="n">
        <x:v>0</x:v>
      </x:c>
      <x:c r="J510" t="n">
        <x:v>1</x:v>
      </x:c>
      <x:c r="K510" t="n">
        <x:f>SUM(E510:J510)</x:f>
        <x:v>1</x:v>
      </x:c>
      <x:c r="L510" s="163" t="n">
        <x:f>IFERROR(K510/D510,0)</x:f>
        <x:v>0.03708373507379663</x:v>
      </x:c>
      <x:c r="M510" s="160" t="str">
        <x:v>Presence-floor proxy only — 10k+ municipality completion</x:v>
      </x:c>
      <x:c r="N51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10" s="160" t="str">
        <x:v>Bucks County</x:v>
      </x:c>
    </x:row>
    <x:row r="511">
      <x:c r="A511" t="n">
        <x:v>524</x:v>
      </x:c>
      <x:c r="B511" t="str">
        <x:v>Holland Charter Township</x:v>
      </x:c>
      <x:c r="C511" t="str">
        <x:v>MI</x:v>
      </x:c>
      <x:c r="D511" s="161" t="n">
        <x:v>26.981</x:v>
      </x:c>
      <x:c r="E511" t="n">
        <x:v>0</x:v>
      </x:c>
      <x:c r="F511" t="n">
        <x:v>0</x:v>
      </x:c>
      <x:c r="G511" t="n">
        <x:v>0</x:v>
      </x:c>
      <x:c r="H511" t="n">
        <x:v>0</x:v>
      </x:c>
      <x:c r="I511" t="n">
        <x:v>0</x:v>
      </x:c>
      <x:c r="J511" t="n">
        <x:v>1</x:v>
      </x:c>
      <x:c r="K511" t="n">
        <x:f>SUM(E511:J511)</x:f>
        <x:v>1</x:v>
      </x:c>
      <x:c r="L511" s="163" t="n">
        <x:f>IFERROR(K511/D511,0)</x:f>
        <x:v>0.03706311849078981</x:v>
      </x:c>
      <x:c r="M511" s="160" t="str">
        <x:v>Presence-floor proxy only — 10k+ municipality completion</x:v>
      </x:c>
      <x:c r="N511"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511" s="160" t="str">
        <x:v>Ottawa County</x:v>
      </x:c>
    </x:row>
    <x:row r="512">
      <x:c r="A512" t="n">
        <x:v>525</x:v>
      </x:c>
      <x:c r="B512" t="str">
        <x:v>Minneapolis</x:v>
      </x:c>
      <x:c r="C512" t="str">
        <x:v>MN</x:v>
      </x:c>
      <x:c r="D512" s="161" t="n">
        <x:v>53.973</x:v>
      </x:c>
      <x:c r="E512" t="n">
        <x:v>2</x:v>
      </x:c>
      <x:c r="F512" t="n">
        <x:v>0</x:v>
      </x:c>
      <x:c r="G512" t="n">
        <x:v>0</x:v>
      </x:c>
      <x:c r="H512" t="n">
        <x:v>0</x:v>
      </x:c>
      <x:c r="I512" t="n">
        <x:v>0</x:v>
      </x:c>
      <x:c r="J512" t="n">
        <x:v>0</x:v>
      </x:c>
      <x:c r="K512" t="n">
        <x:f>SUM(E512:J512)</x:f>
        <x:v>2</x:v>
      </x:c>
      <x:c r="L512" s="163" t="n">
        <x:f>IFERROR(K512/D512,0)</x:f>
        <x:v>0.03705556481944676</x:v>
      </x:c>
      <x:c r="M512" s="160" t="str">
        <x:v>Confirmed lower bound</x:v>
      </x:c>
      <x:c r="N512" s="160" t="str">
        <x:v>Verified public-directory count for ≥1 major chain; other selected chains and 5-mile spillover omitted.</x:v>
      </x:c>
      <x:c r="O512" s="160" t="str">
        <x:v>Hennepin County</x:v>
      </x:c>
    </x:row>
    <x:row r="513">
      <x:c r="A513" t="n">
        <x:v>526</x:v>
      </x:c>
      <x:c r="B513" t="str">
        <x:v>Huntington Beach</x:v>
      </x:c>
      <x:c r="C513" t="str">
        <x:v>CA</x:v>
      </x:c>
      <x:c r="D513" s="161" t="n">
        <x:v>27</x:v>
      </x:c>
      <x:c r="E513" t="n">
        <x:v>0</x:v>
      </x:c>
      <x:c r="F513" t="n">
        <x:v>0</x:v>
      </x:c>
      <x:c r="G513" t="n">
        <x:v>0</x:v>
      </x:c>
      <x:c r="H513" t="n">
        <x:v>0</x:v>
      </x:c>
      <x:c r="I513" t="n">
        <x:v>0</x:v>
      </x:c>
      <x:c r="J513" t="n">
        <x:v>1</x:v>
      </x:c>
      <x:c r="K513" t="n">
        <x:f>SUM(E513:J513)</x:f>
        <x:v>1</x:v>
      </x:c>
      <x:c r="L513" s="163" t="n">
        <x:f>IFERROR(K513/D513,0)</x:f>
        <x:v>0.037037037037037035</x:v>
      </x:c>
      <x:c r="M513" s="160" t="str">
        <x:v>Presence-floor proxy only — 200-city expansion</x:v>
      </x:c>
      <x:c r="N513" s="160" t="str">
        <x:v>Added in the 200-city screening expansion. One-store screening floor only; exact selected-chain count and 5-mile buffer require GIS verification.</x:v>
      </x:c>
      <x:c r="O513" s="160" t="str">
        <x:v>Orange County</x:v>
      </x:c>
    </x:row>
    <x:row r="514">
      <x:c r="A514" t="n">
        <x:v>527</x:v>
      </x:c>
      <x:c r="B514" t="str">
        <x:v>Wappinger Town</x:v>
      </x:c>
      <x:c r="C514" t="str">
        <x:v>NY</x:v>
      </x:c>
      <x:c r="D514" s="161" t="n">
        <x:v>27.072</x:v>
      </x:c>
      <x:c r="E514" t="n">
        <x:v>0</x:v>
      </x:c>
      <x:c r="F514" t="n">
        <x:v>0</x:v>
      </x:c>
      <x:c r="G514" t="n">
        <x:v>0</x:v>
      </x:c>
      <x:c r="H514" t="n">
        <x:v>0</x:v>
      </x:c>
      <x:c r="I514" t="n">
        <x:v>0</x:v>
      </x:c>
      <x:c r="J514" t="n">
        <x:v>1</x:v>
      </x:c>
      <x:c r="K514" t="n">
        <x:f>SUM(E514:J514)</x:f>
        <x:v>1</x:v>
      </x:c>
      <x:c r="L514" s="163" t="n">
        <x:f>IFERROR(K514/D514,0)</x:f>
        <x:v>0.03693853427895981</x:v>
      </x:c>
      <x:c r="M514" s="160" t="str">
        <x:v>Presence-floor proxy only — 10k+ municipality completion</x:v>
      </x:c>
      <x:c r="N514"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514" s="160" t="str">
        <x:v>Dutchess County</x:v>
      </x:c>
    </x:row>
    <x:row r="515">
      <x:c r="A515" t="n">
        <x:v>528</x:v>
      </x:c>
      <x:c r="B515" t="str">
        <x:v>Plumstead Township</x:v>
      </x:c>
      <x:c r="C515" t="str">
        <x:v>PA</x:v>
      </x:c>
      <x:c r="D515" s="161" t="n">
        <x:v>27.161</x:v>
      </x:c>
      <x:c r="E515" t="n">
        <x:v>0</x:v>
      </x:c>
      <x:c r="F515" t="n">
        <x:v>0</x:v>
      </x:c>
      <x:c r="G515" t="n">
        <x:v>0</x:v>
      </x:c>
      <x:c r="H515" t="n">
        <x:v>0</x:v>
      </x:c>
      <x:c r="I515" t="n">
        <x:v>0</x:v>
      </x:c>
      <x:c r="J515" t="n">
        <x:v>1</x:v>
      </x:c>
      <x:c r="K515" t="n">
        <x:f>SUM(E515:J515)</x:f>
        <x:v>1</x:v>
      </x:c>
      <x:c r="L515" s="163" t="n">
        <x:f>IFERROR(K515/D515,0)</x:f>
        <x:v>0.03681749567394425</x:v>
      </x:c>
      <x:c r="M515" s="160" t="str">
        <x:v>Presence-floor proxy only — 10k+ municipality completion</x:v>
      </x:c>
      <x:c r="N515"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15" s="160" t="str">
        <x:v>Bucks County</x:v>
      </x:c>
    </x:row>
    <x:row r="516">
      <x:c r="A516" t="n">
        <x:v>529</x:v>
      </x:c>
      <x:c r="B516" t="str">
        <x:v>Fishkill Town</x:v>
      </x:c>
      <x:c r="C516" t="str">
        <x:v>NY</x:v>
      </x:c>
      <x:c r="D516" s="161" t="n">
        <x:v>27.26</x:v>
      </x:c>
      <x:c r="E516" t="n">
        <x:v>0</x:v>
      </x:c>
      <x:c r="F516" t="n">
        <x:v>0</x:v>
      </x:c>
      <x:c r="G516" t="n">
        <x:v>0</x:v>
      </x:c>
      <x:c r="H516" t="n">
        <x:v>0</x:v>
      </x:c>
      <x:c r="I516" t="n">
        <x:v>0</x:v>
      </x:c>
      <x:c r="J516" t="n">
        <x:v>1</x:v>
      </x:c>
      <x:c r="K516" t="n">
        <x:f>SUM(E516:J516)</x:f>
        <x:v>1</x:v>
      </x:c>
      <x:c r="L516" s="163" t="n">
        <x:f>IFERROR(K516/D516,0)</x:f>
        <x:v>0.036683785766691124</x:v>
      </x:c>
      <x:c r="M516" s="160" t="str">
        <x:v>Presence-floor proxy only — 10k+ municipality completion</x:v>
      </x:c>
      <x:c r="N516"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516" s="160" t="str">
        <x:v>Dutchess County</x:v>
      </x:c>
    </x:row>
    <x:row r="517">
      <x:c r="A517" t="n">
        <x:v>530</x:v>
      </x:c>
      <x:c r="B517" t="str">
        <x:v>North Strabane Township</x:v>
      </x:c>
      <x:c r="C517" t="str">
        <x:v>PA</x:v>
      </x:c>
      <x:c r="D517" s="161" t="n">
        <x:v>27.26</x:v>
      </x:c>
      <x:c r="E517" t="n">
        <x:v>0</x:v>
      </x:c>
      <x:c r="F517" t="n">
        <x:v>0</x:v>
      </x:c>
      <x:c r="G517" t="n">
        <x:v>0</x:v>
      </x:c>
      <x:c r="H517" t="n">
        <x:v>0</x:v>
      </x:c>
      <x:c r="I517" t="n">
        <x:v>0</x:v>
      </x:c>
      <x:c r="J517" t="n">
        <x:v>1</x:v>
      </x:c>
      <x:c r="K517" t="n">
        <x:f>SUM(E517:J517)</x:f>
        <x:v>1</x:v>
      </x:c>
      <x:c r="L517" s="163" t="n">
        <x:f>IFERROR(K517/D517,0)</x:f>
        <x:v>0.036683785766691124</x:v>
      </x:c>
      <x:c r="M517" s="160" t="str">
        <x:v>Presence-floor proxy only — 10k+ municipality completion</x:v>
      </x:c>
      <x:c r="N517"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South Strabane Township is excluded at V2025 population 9,672.</x:v>
      </x:c>
      <x:c r="O517" s="160" t="str">
        <x:v>Washington County</x:v>
      </x:c>
    </x:row>
    <x:row r="518">
      <x:c r="A518" t="n">
        <x:v>531</x:v>
      </x:c>
      <x:c r="B518" t="str">
        <x:v>Santa Ana</x:v>
      </x:c>
      <x:c r="C518" t="str">
        <x:v>CA</x:v>
      </x:c>
      <x:c r="D518" s="161" t="n">
        <x:v>27.27</x:v>
      </x:c>
      <x:c r="E518" t="n">
        <x:v>0</x:v>
      </x:c>
      <x:c r="F518" t="n">
        <x:v>0</x:v>
      </x:c>
      <x:c r="G518" t="n">
        <x:v>0</x:v>
      </x:c>
      <x:c r="H518" t="n">
        <x:v>0</x:v>
      </x:c>
      <x:c r="I518" t="n">
        <x:v>0</x:v>
      </x:c>
      <x:c r="J518" t="n">
        <x:v>1</x:v>
      </x:c>
      <x:c r="K518" t="n">
        <x:f>SUM(E518:J518)</x:f>
        <x:v>1</x:v>
      </x:c>
      <x:c r="L518" s="163" t="n">
        <x:f>IFERROR(K518/D518,0)</x:f>
        <x:v>0.036670333700036674</x:v>
      </x:c>
      <x:c r="M518" s="160" t="str">
        <x:v>Presence-floor proxy only</x:v>
      </x:c>
      <x:c r="N518" s="160" t="str">
        <x:v>One-store screening floor only; exact selected-chain count and 5-mile buffer require GIS verification.</x:v>
      </x:c>
      <x:c r="O518" s="160" t="str">
        <x:v>Orange County</x:v>
      </x:c>
    </x:row>
    <x:row r="519">
      <x:c r="A519" t="n">
        <x:v>532</x:v>
      </x:c>
      <x:c r="B519" t="str">
        <x:v>Windsor Township</x:v>
      </x:c>
      <x:c r="C519" t="str">
        <x:v>PA</x:v>
      </x:c>
      <x:c r="D519" s="161" t="n">
        <x:v>27.278</x:v>
      </x:c>
      <x:c r="E519" t="n">
        <x:v>0</x:v>
      </x:c>
      <x:c r="F519" t="n">
        <x:v>0</x:v>
      </x:c>
      <x:c r="G519" t="n">
        <x:v>0</x:v>
      </x:c>
      <x:c r="H519" t="n">
        <x:v>0</x:v>
      </x:c>
      <x:c r="I519" t="n">
        <x:v>0</x:v>
      </x:c>
      <x:c r="J519" t="n">
        <x:v>1</x:v>
      </x:c>
      <x:c r="K519" t="n">
        <x:f>SUM(E519:J519)</x:f>
        <x:v>1</x:v>
      </x:c>
      <x:c r="L519" s="163" t="n">
        <x:f>IFERROR(K519/D519,0)</x:f>
        <x:v>0.03665957914803138</x:v>
      </x:c>
      <x:c r="M519" s="160" t="str">
        <x:v>Presence-floor proxy only — 10k+ municipality completion</x:v>
      </x:c>
      <x:c r="N519"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519" s="160" t="str">
        <x:v>York County</x:v>
      </x:c>
    </x:row>
    <x:row r="520">
      <x:c r="A520" t="n">
        <x:v>533</x:v>
      </x:c>
      <x:c r="B520" t="str">
        <x:v>North Huntingdon Township</x:v>
      </x:c>
      <x:c r="C520" t="str">
        <x:v>PA</x:v>
      </x:c>
      <x:c r="D520" s="161" t="n">
        <x:v>27.295</x:v>
      </x:c>
      <x:c r="E520" t="n">
        <x:v>0</x:v>
      </x:c>
      <x:c r="F520" t="n">
        <x:v>0</x:v>
      </x:c>
      <x:c r="G520" t="n">
        <x:v>0</x:v>
      </x:c>
      <x:c r="H520" t="n">
        <x:v>0</x:v>
      </x:c>
      <x:c r="I520" t="n">
        <x:v>0</x:v>
      </x:c>
      <x:c r="J520" t="n">
        <x:v>1</x:v>
      </x:c>
      <x:c r="K520" t="n">
        <x:f>SUM(E520:J520)</x:f>
        <x:v>1</x:v>
      </x:c>
      <x:c r="L520" s="163" t="n">
        <x:f>IFERROR(K520/D520,0)</x:f>
        <x:v>0.03663674665689687</x:v>
      </x:c>
      <x:c r="M520" s="160" t="str">
        <x:v>Presence-floor proxy only — 10k+ municipality completion</x:v>
      </x:c>
      <x:c r="N520"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520" s="160" t="str">
        <x:v>Westmoreland County</x:v>
      </x:c>
    </x:row>
    <x:row r="521">
      <x:c r="A521" t="n">
        <x:v>534</x:v>
      </x:c>
      <x:c r="B521" t="str">
        <x:v>Hollywood</x:v>
      </x:c>
      <x:c r="C521" t="str">
        <x:v>FL</x:v>
      </x:c>
      <x:c r="D521" s="161" t="n">
        <x:v>27.3</x:v>
      </x:c>
      <x:c r="E521" t="n">
        <x:v>0</x:v>
      </x:c>
      <x:c r="F521" t="n">
        <x:v>0</x:v>
      </x:c>
      <x:c r="G521" t="n">
        <x:v>0</x:v>
      </x:c>
      <x:c r="H521" t="n">
        <x:v>0</x:v>
      </x:c>
      <x:c r="I521" t="n">
        <x:v>0</x:v>
      </x:c>
      <x:c r="J521" t="n">
        <x:v>1</x:v>
      </x:c>
      <x:c r="K521" t="n">
        <x:f>SUM(E521:J521)</x:f>
        <x:v>1</x:v>
      </x:c>
      <x:c r="L521" s="163" t="n">
        <x:f>IFERROR(K521/D521,0)</x:f>
        <x:v>0.03663003663003663</x:v>
      </x:c>
      <x:c r="M521" s="160" t="str">
        <x:v>Presence-floor proxy only — 200-city expansion</x:v>
      </x:c>
      <x:c r="N521" s="160" t="str">
        <x:v>Added in the 200-city screening expansion. One-store screening floor only; exact selected-chain count and 5-mile buffer require GIS verification.</x:v>
      </x:c>
      <x:c r="O521" s="160" t="str">
        <x:v>Broward County</x:v>
      </x:c>
    </x:row>
    <x:row r="522">
      <x:c r="A522" t="n">
        <x:v>535</x:v>
      </x:c>
      <x:c r="B522" t="str">
        <x:v>Lower Township</x:v>
      </x:c>
      <x:c r="C522" t="str">
        <x:v>NJ</x:v>
      </x:c>
      <x:c r="D522" s="161" t="n">
        <x:v>27.43</x:v>
      </x:c>
      <x:c r="E522" t="n">
        <x:v>0</x:v>
      </x:c>
      <x:c r="F522" t="n">
        <x:v>0</x:v>
      </x:c>
      <x:c r="G522" t="n">
        <x:v>0</x:v>
      </x:c>
      <x:c r="H522" t="n">
        <x:v>0</x:v>
      </x:c>
      <x:c r="I522" t="n">
        <x:v>0</x:v>
      </x:c>
      <x:c r="J522" t="n">
        <x:v>1</x:v>
      </x:c>
      <x:c r="K522" t="n">
        <x:f>SUM(E522:J522)</x:f>
        <x:v>1</x:v>
      </x:c>
      <x:c r="L522" s="163" t="n">
        <x:f>IFERROR(K522/D522,0)</x:f>
        <x:v>0.03645643456069996</x:v>
      </x:c>
      <x:c r="M522" s="160" t="str">
        <x:v>Presence-floor proxy only — 10k+ municipality completion</x:v>
      </x:c>
      <x:c r="N522" s="160" t="str">
        <x:v>Added under the &gt;=50k-county expansion rule: Census Vintage 2025 municipality population &gt;=10,000; general-purpose city-equivalent municipality; direct Census adjacency. Presence-floor proxy only — exact tracked-chain count requires municipal-boundary/GIS verification. Upper Township is confirmed above 10,000 in Census V2025; Lower, Middle, and Ocean City also remain above the municipal screen.</x:v>
      </x:c>
      <x:c r="O522" s="160" t="str">
        <x:v>Cape May County</x:v>
      </x:c>
    </x:row>
    <x:row r="523">
      <x:c r="A523" t="n">
        <x:v>536</x:v>
      </x:c>
      <x:c r="B523" t="str">
        <x:v>Amherst Town City</x:v>
      </x:c>
      <x:c r="C523" t="str">
        <x:v>MA</x:v>
      </x:c>
      <x:c r="D523" s="161" t="n">
        <x:v>27.624</x:v>
      </x:c>
      <x:c r="E523" t="n">
        <x:v>0</x:v>
      </x:c>
      <x:c r="F523" t="n">
        <x:v>0</x:v>
      </x:c>
      <x:c r="G523" t="n">
        <x:v>0</x:v>
      </x:c>
      <x:c r="H523" t="n">
        <x:v>0</x:v>
      </x:c>
      <x:c r="I523" t="n">
        <x:v>0</x:v>
      </x:c>
      <x:c r="J523" t="n">
        <x:v>1</x:v>
      </x:c>
      <x:c r="K523" t="n">
        <x:f>SUM(E523:J523)</x:f>
        <x:v>1</x:v>
      </x:c>
      <x:c r="L523" s="163" t="n">
        <x:f>IFERROR(K523/D523,0)</x:f>
        <x:v>0.03620040544454098</x:v>
      </x:c>
      <x:c r="M523" s="160" t="str">
        <x:v>Presence-floor proxy only — 10k+ municipality completion</x:v>
      </x:c>
      <x:c r="N523"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523" s="160" t="str">
        <x:v>Hampshire County</x:v>
      </x:c>
    </x:row>
    <x:row r="524">
      <x:c r="A524" t="n">
        <x:v>537</x:v>
      </x:c>
      <x:c r="B524" t="str">
        <x:v>Stony Point Town</x:v>
      </x:c>
      <x:c r="C524" t="str">
        <x:v>NY</x:v>
      </x:c>
      <x:c r="D524" s="161" t="n">
        <x:v>27.7</x:v>
      </x:c>
      <x:c r="E524" t="n">
        <x:v>0</x:v>
      </x:c>
      <x:c r="F524" t="n">
        <x:v>0</x:v>
      </x:c>
      <x:c r="G524" t="n">
        <x:v>0</x:v>
      </x:c>
      <x:c r="H524" t="n">
        <x:v>0</x:v>
      </x:c>
      <x:c r="I524" t="n">
        <x:v>0</x:v>
      </x:c>
      <x:c r="J524" t="n">
        <x:v>1</x:v>
      </x:c>
      <x:c r="K524" t="n">
        <x:f>SUM(E524:J524)</x:f>
        <x:v>1</x:v>
      </x:c>
      <x:c r="L524" s="163" t="n">
        <x:f>IFERROR(K524/D524,0)</x:f>
        <x:v>0.036101083032490974</x:v>
      </x:c>
      <x:c r="M524" s="160" t="str">
        <x:v>Presence-floor proxy only — 10k+ municipality completion</x:v>
      </x:c>
      <x:c r="N524"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Nested New York villages are excluded under the established non-overlapping towns convention.</x:v>
      </x:c>
      <x:c r="O524" s="160" t="str">
        <x:v>Rockland County</x:v>
      </x:c>
    </x:row>
    <x:row r="525">
      <x:c r="A525" t="n">
        <x:v>538</x:v>
      </x:c>
      <x:c r="B525" t="str">
        <x:v>Mentor City</x:v>
      </x:c>
      <x:c r="C525" t="str">
        <x:v>OH</x:v>
      </x:c>
      <x:c r="D525" s="161" t="n">
        <x:v>27.797</x:v>
      </x:c>
      <x:c r="E525" t="n">
        <x:v>0</x:v>
      </x:c>
      <x:c r="F525" t="n">
        <x:v>0</x:v>
      </x:c>
      <x:c r="G525" t="n">
        <x:v>0</x:v>
      </x:c>
      <x:c r="H525" t="n">
        <x:v>0</x:v>
      </x:c>
      <x:c r="I525" t="n">
        <x:v>0</x:v>
      </x:c>
      <x:c r="J525" t="n">
        <x:v>1</x:v>
      </x:c>
      <x:c r="K525" t="n">
        <x:f>SUM(E525:J525)</x:f>
        <x:v>1</x:v>
      </x:c>
      <x:c r="L525" s="163" t="n">
        <x:f>IFERROR(K525/D525,0)</x:f>
        <x:v>0.03597510522718279</x:v>
      </x:c>
      <x:c r="M525" s="160" t="str">
        <x:v>Presence-floor proxy only — 10k+ municipality completion</x:v>
      </x:c>
      <x:c r="N525"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525" s="160" t="str">
        <x:v>Lake County</x:v>
      </x:c>
    </x:row>
    <x:row r="526">
      <x:c r="A526" t="n">
        <x:v>539</x:v>
      </x:c>
      <x:c r="B526" t="str">
        <x:v>Oakland</x:v>
      </x:c>
      <x:c r="C526" t="str">
        <x:v>CA</x:v>
      </x:c>
      <x:c r="D526" s="161" t="n">
        <x:v>55.786</x:v>
      </x:c>
      <x:c r="E526" t="n">
        <x:v>2</x:v>
      </x:c>
      <x:c r="F526" t="n">
        <x:v>0</x:v>
      </x:c>
      <x:c r="G526" t="n">
        <x:v>0</x:v>
      </x:c>
      <x:c r="H526" t="n">
        <x:v>0</x:v>
      </x:c>
      <x:c r="I526" t="n">
        <x:v>0</x:v>
      </x:c>
      <x:c r="J526" t="n">
        <x:v>0</x:v>
      </x:c>
      <x:c r="K526" t="n">
        <x:f>SUM(E526:J526)</x:f>
        <x:v>2</x:v>
      </x:c>
      <x:c r="L526" s="163" t="n">
        <x:f>IFERROR(K526/D526,0)</x:f>
        <x:v>0.0358512888538343</x:v>
      </x:c>
      <x:c r="M526" s="160" t="str">
        <x:v>Confirmed lower bound</x:v>
      </x:c>
      <x:c r="N526" s="160" t="str">
        <x:v>Verified public-directory count for ≥1 major chain; other selected chains and 5-mile spillover omitted.</x:v>
      </x:c>
      <x:c r="O526" s="160" t="str">
        <x:v>Alameda County</x:v>
      </x:c>
    </x:row>
    <x:row r="527">
      <x:c r="A527" t="n">
        <x:v>540</x:v>
      </x:c>
      <x:c r="B527" t="str">
        <x:v>Wheatfield town</x:v>
      </x:c>
      <x:c r="C527" t="str">
        <x:v>NY</x:v>
      </x:c>
      <x:c r="D527" s="161" t="n">
        <x:v>27.91</x:v>
      </x:c>
      <x:c r="E527" t="n">
        <x:v>0</x:v>
      </x:c>
      <x:c r="F527" t="n">
        <x:v>0</x:v>
      </x:c>
      <x:c r="G527" t="n">
        <x:v>0</x:v>
      </x:c>
      <x:c r="H527" t="n">
        <x:v>0</x:v>
      </x:c>
      <x:c r="I527" t="n">
        <x:v>0</x:v>
      </x:c>
      <x:c r="J527" t="n">
        <x:v>1</x:v>
      </x:c>
      <x:c r="K527" t="n">
        <x:f>SUM(E527:J527)</x:f>
        <x:v>1</x:v>
      </x:c>
      <x:c r="L527" s="163" t="n">
        <x:f>IFERROR(K527/D527,0)</x:f>
        <x:v>0.03582945180938732</x:v>
      </x:c>
      <x:c r="M527" s="160" t="str">
        <x:v>Presence-floor proxy only — 10k+ municipality completion</x:v>
      </x:c>
      <x:c r="N527"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527" s="160" t="str">
        <x:v>Niagara County</x:v>
      </x:c>
    </x:row>
    <x:row r="528">
      <x:c r="A528" t="n">
        <x:v>541</x:v>
      </x:c>
      <x:c r="B528" t="str">
        <x:v>Malta town</x:v>
      </x:c>
      <x:c r="C528" t="str">
        <x:v>NY</x:v>
      </x:c>
      <x:c r="D528" s="161" t="n">
        <x:v>27.922</x:v>
      </x:c>
      <x:c r="E528" t="n">
        <x:v>0</x:v>
      </x:c>
      <x:c r="F528" t="n">
        <x:v>0</x:v>
      </x:c>
      <x:c r="G528" t="n">
        <x:v>0</x:v>
      </x:c>
      <x:c r="H528" t="n">
        <x:v>0</x:v>
      </x:c>
      <x:c r="I528" t="n">
        <x:v>0</x:v>
      </x:c>
      <x:c r="J528" t="n">
        <x:v>1</x:v>
      </x:c>
      <x:c r="K528" t="n">
        <x:f>SUM(E528:J528)</x:f>
        <x:v>1</x:v>
      </x:c>
      <x:c r="L528" s="163" t="n">
        <x:f>IFERROR(K528/D528,0)</x:f>
        <x:v>0.03581405343456772</x:v>
      </x:c>
      <x:c r="M528" s="160" t="str">
        <x:v>Presence-floor proxy only — 10k+ municipality completion</x:v>
      </x:c>
      <x:c r="N528"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528" s="160" t="str">
        <x:v>Saratoga County</x:v>
      </x:c>
    </x:row>
    <x:row r="529">
      <x:c r="A529" t="n">
        <x:v>542</x:v>
      </x:c>
      <x:c r="B529" t="str">
        <x:v>Milford Township</x:v>
      </x:c>
      <x:c r="C529" t="str">
        <x:v>PA</x:v>
      </x:c>
      <x:c r="D529" s="161" t="n">
        <x:v>27.922</x:v>
      </x:c>
      <x:c r="E529" t="n">
        <x:v>0</x:v>
      </x:c>
      <x:c r="F529" t="n">
        <x:v>0</x:v>
      </x:c>
      <x:c r="G529" t="n">
        <x:v>0</x:v>
      </x:c>
      <x:c r="H529" t="n">
        <x:v>0</x:v>
      </x:c>
      <x:c r="I529" t="n">
        <x:v>0</x:v>
      </x:c>
      <x:c r="J529" t="n">
        <x:v>1</x:v>
      </x:c>
      <x:c r="K529" t="n">
        <x:f>SUM(E529:J529)</x:f>
        <x:v>1</x:v>
      </x:c>
      <x:c r="L529" s="163" t="n">
        <x:f>IFERROR(K529/D529,0)</x:f>
        <x:v>0.03581405343456772</x:v>
      </x:c>
      <x:c r="M529" s="160" t="str">
        <x:v>Presence-floor proxy only — 10k+ municipality completion</x:v>
      </x:c>
      <x:c r="N52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29" s="160" t="str">
        <x:v>Bucks County</x:v>
      </x:c>
    </x:row>
    <x:row r="530">
      <x:c r="A530" t="n">
        <x:v>543</x:v>
      </x:c>
      <x:c r="B530" t="str">
        <x:v>Saratoga Springs city</x:v>
      </x:c>
      <x:c r="C530" t="str">
        <x:v>NY</x:v>
      </x:c>
      <x:c r="D530" s="161" t="n">
        <x:v>28.057</x:v>
      </x:c>
      <x:c r="E530" t="n">
        <x:v>0</x:v>
      </x:c>
      <x:c r="F530" t="n">
        <x:v>0</x:v>
      </x:c>
      <x:c r="G530" t="n">
        <x:v>0</x:v>
      </x:c>
      <x:c r="H530" t="n">
        <x:v>0</x:v>
      </x:c>
      <x:c r="I530" t="n">
        <x:v>0</x:v>
      </x:c>
      <x:c r="J530" t="n">
        <x:v>1</x:v>
      </x:c>
      <x:c r="K530" t="n">
        <x:f>SUM(E530:J530)</x:f>
        <x:v>1</x:v>
      </x:c>
      <x:c r="L530" s="163" t="n">
        <x:f>IFERROR(K530/D530,0)</x:f>
        <x:v>0.035641729336707416</x:v>
      </x:c>
      <x:c r="M530" s="160" t="str">
        <x:v>Presence-floor proxy only — 10k+ municipality completion</x:v>
      </x:c>
      <x:c r="N530"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530" s="160" t="str">
        <x:v>Saratoga County</x:v>
      </x:c>
    </x:row>
    <x:row r="531">
      <x:c r="A531" t="n">
        <x:v>545</x:v>
      </x:c>
      <x:c r="B531" t="str">
        <x:v>Ann Arbor</x:v>
      </x:c>
      <x:c r="C531" t="str">
        <x:v>MI</x:v>
      </x:c>
      <x:c r="D531" s="161" t="n">
        <x:v>28.2</x:v>
      </x:c>
      <x:c r="E531" t="n">
        <x:v>0</x:v>
      </x:c>
      <x:c r="F531" t="n">
        <x:v>0</x:v>
      </x:c>
      <x:c r="G531" t="n">
        <x:v>0</x:v>
      </x:c>
      <x:c r="H531" t="n">
        <x:v>0</x:v>
      </x:c>
      <x:c r="I531" t="n">
        <x:v>0</x:v>
      </x:c>
      <x:c r="J531" t="n">
        <x:v>1</x:v>
      </x:c>
      <x:c r="K531" t="n">
        <x:f>SUM(E531:J531)</x:f>
        <x:v>1</x:v>
      </x:c>
      <x:c r="L531" s="163" t="n">
        <x:f>IFERROR(K531/D531,0)</x:f>
        <x:v>0.03546099290780142</x:v>
      </x:c>
      <x:c r="M531" s="160" t="str">
        <x:v>Presence-floor proxy only — 250-city expansion</x:v>
      </x:c>
      <x:c r="N531" s="160" t="str">
        <x:v>Added in the 250-city screening expansion. One-store screening floor only; exact selected-chain count and 5-mile buffer require GIS verification.</x:v>
      </x:c>
      <x:c r="O531" s="160" t="str">
        <x:v>Washtenaw County</x:v>
      </x:c>
    </x:row>
    <x:row r="532">
      <x:c r="A532" t="n">
        <x:v>546</x:v>
      </x:c>
      <x:c r="B532" t="str">
        <x:v>Waterbury</x:v>
      </x:c>
      <x:c r="C532" t="str">
        <x:v>CT</x:v>
      </x:c>
      <x:c r="D532" s="161" t="n">
        <x:v>28.5</x:v>
      </x:c>
      <x:c r="E532" t="n">
        <x:v>0</x:v>
      </x:c>
      <x:c r="F532" t="n">
        <x:v>0</x:v>
      </x:c>
      <x:c r="G532" t="n">
        <x:v>0</x:v>
      </x:c>
      <x:c r="H532" t="n">
        <x:v>0</x:v>
      </x:c>
      <x:c r="I532" t="n">
        <x:v>0</x:v>
      </x:c>
      <x:c r="J532" t="n">
        <x:v>1</x:v>
      </x:c>
      <x:c r="K532" t="n">
        <x:f>SUM(E532:J532)</x:f>
        <x:v>1</x:v>
      </x:c>
      <x:c r="L532" s="163" t="n">
        <x:f>IFERROR(K532/D532,0)</x:f>
        <x:v>0.03508771929824561</x:v>
      </x:c>
      <x:c r="M532" s="160" t="str">
        <x:v>Presence-floor proxy only — 300-city expansion</x:v>
      </x:c>
      <x:c r="N532" s="160" t="str">
        <x:v>Added in the 300-city screening expansion. One-store screening floor only; exact selected-chain count and 5-mile buffer require GIS verification.</x:v>
      </x:c>
      <x:c r="O532" s="160" t="str">
        <x:v>New Haven County</x:v>
      </x:c>
    </x:row>
    <x:row r="533">
      <x:c r="A533" t="n">
        <x:v>548</x:v>
      </x:c>
      <x:c r="B533" t="str">
        <x:v>Poughkeepsie Town</x:v>
      </x:c>
      <x:c r="C533" t="str">
        <x:v>NY</x:v>
      </x:c>
      <x:c r="D533" s="161" t="n">
        <x:v>28.538</x:v>
      </x:c>
      <x:c r="E533" t="n">
        <x:v>0</x:v>
      </x:c>
      <x:c r="F533" t="n">
        <x:v>0</x:v>
      </x:c>
      <x:c r="G533" t="n">
        <x:v>0</x:v>
      </x:c>
      <x:c r="H533" t="n">
        <x:v>0</x:v>
      </x:c>
      <x:c r="I533" t="n">
        <x:v>0</x:v>
      </x:c>
      <x:c r="J533" t="n">
        <x:v>1</x:v>
      </x:c>
      <x:c r="K533" t="n">
        <x:f>SUM(E533:J533)</x:f>
        <x:v>1</x:v>
      </x:c>
      <x:c r="L533" s="163" t="n">
        <x:f>IFERROR(K533/D533,0)</x:f>
        <x:v>0.03504099796762212</x:v>
      </x:c>
      <x:c r="M533" s="160" t="str">
        <x:v>Presence-floor proxy only — 10k+ municipality completion</x:v>
      </x:c>
      <x:c r="N533"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533" s="160" t="str">
        <x:v>Dutchess County</x:v>
      </x:c>
    </x:row>
    <x:row r="534">
      <x:c r="A534" t="n">
        <x:v>549</x:v>
      </x:c>
      <x:c r="B534" t="str">
        <x:v>Richardson</x:v>
      </x:c>
      <x:c r="C534" t="str">
        <x:v>TX</x:v>
      </x:c>
      <x:c r="D534" s="161" t="n">
        <x:v>28.6</x:v>
      </x:c>
      <x:c r="E534" t="n">
        <x:v>0</x:v>
      </x:c>
      <x:c r="F534" t="n">
        <x:v>0</x:v>
      </x:c>
      <x:c r="G534" t="n">
        <x:v>0</x:v>
      </x:c>
      <x:c r="H534" t="n">
        <x:v>0</x:v>
      </x:c>
      <x:c r="I534" t="n">
        <x:v>0</x:v>
      </x:c>
      <x:c r="J534" t="n">
        <x:v>1</x:v>
      </x:c>
      <x:c r="K534" t="n">
        <x:f>SUM(E534:J534)</x:f>
        <x:v>1</x:v>
      </x:c>
      <x:c r="L534" s="163" t="n">
        <x:f>IFERROR(K534/D534,0)</x:f>
        <x:v>0.03496503496503496</x:v>
      </x:c>
      <x:c r="M534" s="160" t="str">
        <x:v>Presence-floor proxy only — 300-city expansion</x:v>
      </x:c>
      <x:c r="N534" s="160" t="str">
        <x:v>Added in the 300-city screening expansion. One-store screening floor only; exact selected-chain count and 5-mile buffer require GIS verification.</x:v>
      </x:c>
      <x:c r="O534" s="160" t="str">
        <x:v>Dallas County</x:v>
      </x:c>
    </x:row>
    <x:row r="535">
      <x:c r="A535" t="n">
        <x:v>550</x:v>
      </x:c>
      <x:c r="B535" t="str">
        <x:v>Grand Haven Charter Township</x:v>
      </x:c>
      <x:c r="C535" t="str">
        <x:v>MI</x:v>
      </x:c>
      <x:c r="D535" s="161" t="n">
        <x:v>28.7</x:v>
      </x:c>
      <x:c r="E535" t="n">
        <x:v>0</x:v>
      </x:c>
      <x:c r="F535" t="n">
        <x:v>0</x:v>
      </x:c>
      <x:c r="G535" t="n">
        <x:v>0</x:v>
      </x:c>
      <x:c r="H535" t="n">
        <x:v>0</x:v>
      </x:c>
      <x:c r="I535" t="n">
        <x:v>0</x:v>
      </x:c>
      <x:c r="J535" t="n">
        <x:v>1</x:v>
      </x:c>
      <x:c r="K535" t="n">
        <x:f>SUM(E535:J535)</x:f>
        <x:v>1</x:v>
      </x:c>
      <x:c r="L535" s="163" t="n">
        <x:f>IFERROR(K535/D535,0)</x:f>
        <x:v>0.03484320557491289</x:v>
      </x:c>
      <x:c r="M535" s="160" t="str">
        <x:v>Presence-floor proxy only — 10k+ municipality completion</x:v>
      </x:c>
      <x:c r="N535"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535" s="160" t="str">
        <x:v>Ottawa County</x:v>
      </x:c>
    </x:row>
    <x:row r="536">
      <x:c r="A536" t="n">
        <x:v>551</x:v>
      </x:c>
      <x:c r="B536" t="str">
        <x:v>Greenwood</x:v>
      </x:c>
      <x:c r="C536" t="str">
        <x:v>IN</x:v>
      </x:c>
      <x:c r="D536" s="161" t="n">
        <x:v>28.817</x:v>
      </x:c>
      <x:c r="E536" t="n">
        <x:v>0</x:v>
      </x:c>
      <x:c r="F536" t="n">
        <x:v>0</x:v>
      </x:c>
      <x:c r="G536" t="n">
        <x:v>0</x:v>
      </x:c>
      <x:c r="H536" t="n">
        <x:v>1</x:v>
      </x:c>
      <x:c r="I536" t="n">
        <x:v>0</x:v>
      </x:c>
      <x:c r="J536" t="n">
        <x:v>0</x:v>
      </x:c>
      <x:c r="K536" t="n">
        <x:f>SUM(E536:J536)</x:f>
        <x:v>1</x:v>
      </x:c>
      <x:c r="L536" s="163" t="n">
        <x:f>IFERROR(K536/D536,0)</x:f>
        <x:v>0.03470173855710171</x:v>
      </x:c>
      <x:c r="M536" s="160" t="str">
        <x:v>Confirmed lower bound — adjacent-county expansion</x:v>
      </x:c>
      <x:c r="N536" s="160" t="str">
        <x:v>Added in second adjacent-county expansion; Fresh Thyme location verified. Census Vintage 2025 eligibility; Census 2025 Gazetteer land area.</x:v>
      </x:c>
      <x:c r="O536" s="160" t="str">
        <x:v>Johnson County</x:v>
      </x:c>
    </x:row>
    <x:row r="537">
      <x:c r="A537" t="n">
        <x:v>552</x:v>
      </x:c>
      <x:c r="B537" t="str">
        <x:v>Raymond Town</x:v>
      </x:c>
      <x:c r="C537" t="str">
        <x:v>NH</x:v>
      </x:c>
      <x:c r="D537" s="161" t="n">
        <x:v>28.824</x:v>
      </x:c>
      <x:c r="E537" t="n">
        <x:v>0</x:v>
      </x:c>
      <x:c r="F537" t="n">
        <x:v>0</x:v>
      </x:c>
      <x:c r="G537" t="n">
        <x:v>0</x:v>
      </x:c>
      <x:c r="H537" t="n">
        <x:v>0</x:v>
      </x:c>
      <x:c r="I537" t="n">
        <x:v>0</x:v>
      </x:c>
      <x:c r="J537" t="n">
        <x:v>1</x:v>
      </x:c>
      <x:c r="K537" t="n">
        <x:f>SUM(E537:J537)</x:f>
        <x:v>1</x:v>
      </x:c>
      <x:c r="L537" s="163" t="n">
        <x:f>IFERROR(K537/D537,0)</x:f>
        <x:v>0.034693311129614206</x:v>
      </x:c>
      <x:c r="M537" s="160" t="str">
        <x:v>Presence-floor proxy only — 10k+ municipality completion</x:v>
      </x:c>
      <x:c r="N537"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537" s="160" t="str">
        <x:v>Rockingham County</x:v>
      </x:c>
    </x:row>
    <x:row r="538">
      <x:c r="A538" t="n">
        <x:v>553</x:v>
      </x:c>
      <x:c r="B538" t="str">
        <x:v>Miramar</x:v>
      </x:c>
      <x:c r="C538" t="str">
        <x:v>FL</x:v>
      </x:c>
      <x:c r="D538" s="161" t="n">
        <x:v>28.9</x:v>
      </x:c>
      <x:c r="E538" t="n">
        <x:v>0</x:v>
      </x:c>
      <x:c r="F538" t="n">
        <x:v>0</x:v>
      </x:c>
      <x:c r="G538" t="n">
        <x:v>0</x:v>
      </x:c>
      <x:c r="H538" t="n">
        <x:v>0</x:v>
      </x:c>
      <x:c r="I538" t="n">
        <x:v>0</x:v>
      </x:c>
      <x:c r="J538" t="n">
        <x:v>1</x:v>
      </x:c>
      <x:c r="K538" t="n">
        <x:f>SUM(E538:J538)</x:f>
        <x:v>1</x:v>
      </x:c>
      <x:c r="L538" s="163" t="n">
        <x:f>IFERROR(K538/D538,0)</x:f>
        <x:v>0.03460207612456748</x:v>
      </x:c>
      <x:c r="M538" s="160" t="str">
        <x:v>Presence-floor proxy only — 200-city expansion</x:v>
      </x:c>
      <x:c r="N538" s="160" t="str">
        <x:v>Added in the 200-city screening expansion. One-store screening floor only; exact selected-chain count and 5-mile buffer require GIS verification.</x:v>
      </x:c>
      <x:c r="O538" s="160" t="str">
        <x:v>Broward County</x:v>
      </x:c>
    </x:row>
    <x:row r="539">
      <x:c r="A539" t="n">
        <x:v>556</x:v>
      </x:c>
      <x:c r="B539" t="str">
        <x:v>Union Township</x:v>
      </x:c>
      <x:c r="C539" t="str">
        <x:v>OH</x:v>
      </x:c>
      <x:c r="D539" s="161" t="n">
        <x:v>29.014</x:v>
      </x:c>
      <x:c r="E539" t="n">
        <x:v>0</x:v>
      </x:c>
      <x:c r="F539" t="n">
        <x:v>0</x:v>
      </x:c>
      <x:c r="G539" t="n">
        <x:v>0</x:v>
      </x:c>
      <x:c r="H539" t="n">
        <x:v>0</x:v>
      </x:c>
      <x:c r="I539" t="n">
        <x:v>0</x:v>
      </x:c>
      <x:c r="J539" t="n">
        <x:v>1</x:v>
      </x:c>
      <x:c r="K539" t="n">
        <x:f>SUM(E539:J539)</x:f>
        <x:v>1</x:v>
      </x:c>
      <x:c r="L539" s="163" t="n">
        <x:f>IFERROR(K539/D539,0)</x:f>
        <x:v>0.03446611980423244</x:v>
      </x:c>
      <x:c r="M539" s="160" t="str">
        <x:v>Presence-floor proxy only — 10k+ municipality completion</x:v>
      </x:c>
      <x:c r="N539" s="160" t="str">
        <x:v>Added under the &gt;=50k-county expansion rule: Census Vintage 2025 municipality population &gt;=10,000; general-purpose city-equivalent municipality; direct Census adjacency. Presence-floor proxy only — exact tracked-chain count requires municipal-boundary/GIS verification. Jungle Jim's Eastgate provides strong county specialty-grocery evidence but is not one of the five tracked proxy chains.</x:v>
      </x:c>
      <x:c r="O539" s="160" t="str">
        <x:v>Clermont County</x:v>
      </x:c>
    </x:row>
    <x:row r="540">
      <x:c r="A540" t="n">
        <x:v>557</x:v>
      </x:c>
      <x:c r="B540" t="str">
        <x:v>Missouri City</x:v>
      </x:c>
      <x:c r="C540" t="str">
        <x:v>TX</x:v>
      </x:c>
      <x:c r="D540" s="161" t="n">
        <x:v>29.026</x:v>
      </x:c>
      <x:c r="E540" t="n">
        <x:v>0</x:v>
      </x:c>
      <x:c r="F540" t="n">
        <x:v>0</x:v>
      </x:c>
      <x:c r="G540" t="n">
        <x:v>0</x:v>
      </x:c>
      <x:c r="H540" t="n">
        <x:v>0</x:v>
      </x:c>
      <x:c r="I540" t="n">
        <x:v>0</x:v>
      </x:c>
      <x:c r="J540" t="n">
        <x:v>1</x:v>
      </x:c>
      <x:c r="K540" t="n">
        <x:f>SUM(E540:J540)</x:f>
        <x:v>1</x:v>
      </x:c>
      <x:c r="L540" s="163" t="n">
        <x:f>IFERROR(K540/D540,0)</x:f>
        <x:v>0.03445187073658099</x:v>
      </x:c>
      <x:c r="M540" s="160" t="str">
        <x:v>Presence-floor proxy only — 50k+ county completion</x:v>
      </x:c>
      <x:c r="N540"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40" s="160" t="str">
        <x:v>Harris County</x:v>
      </x:c>
    </x:row>
    <x:row r="541">
      <x:c r="A541" t="n">
        <x:v>558</x:v>
      </x:c>
      <x:c r="B541" t="str">
        <x:v>Tiverton Town</x:v>
      </x:c>
      <x:c r="C541" t="str">
        <x:v>RI</x:v>
      </x:c>
      <x:c r="D541" s="161" t="n">
        <x:v>29.056</x:v>
      </x:c>
      <x:c r="E541" t="n">
        <x:v>0</x:v>
      </x:c>
      <x:c r="F541" t="n">
        <x:v>0</x:v>
      </x:c>
      <x:c r="G541" t="n">
        <x:v>0</x:v>
      </x:c>
      <x:c r="H541" t="n">
        <x:v>0</x:v>
      </x:c>
      <x:c r="I541" t="n">
        <x:v>0</x:v>
      </x:c>
      <x:c r="J541" t="n">
        <x:v>1</x:v>
      </x:c>
      <x:c r="K541" t="n">
        <x:f>SUM(E541:J541)</x:f>
        <x:v>1</x:v>
      </x:c>
      <x:c r="L541" s="163" t="n">
        <x:f>IFERROR(K541/D541,0)</x:f>
        <x:v>0.03441629955947136</x:v>
      </x:c>
      <x:c r="M541" s="160" t="str">
        <x:v>Presence-floor proxy only — 10k+ municipality completion</x:v>
      </x:c>
      <x:c r="N541"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Census Vintage 2025.</x:v>
      </x:c>
      <x:c r="O541" s="160" t="str">
        <x:v>Newport County</x:v>
      </x:c>
    </x:row>
    <x:row r="542">
      <x:c r="A542" t="n">
        <x:v>559</x:v>
      </x:c>
      <x:c r="B542" t="str">
        <x:v>Evesham Township</x:v>
      </x:c>
      <x:c r="C542" t="str">
        <x:v>NJ</x:v>
      </x:c>
      <x:c r="D542" s="161" t="n">
        <x:v>29.156</x:v>
      </x:c>
      <x:c r="E542" t="n">
        <x:v>0</x:v>
      </x:c>
      <x:c r="F542" t="n">
        <x:v>0</x:v>
      </x:c>
      <x:c r="G542" t="n">
        <x:v>0</x:v>
      </x:c>
      <x:c r="H542" t="n">
        <x:v>0</x:v>
      </x:c>
      <x:c r="I542" t="n">
        <x:v>0</x:v>
      </x:c>
      <x:c r="J542" t="n">
        <x:v>1</x:v>
      </x:c>
      <x:c r="K542" t="n">
        <x:f>SUM(E542:J542)</x:f>
        <x:v>1</x:v>
      </x:c>
      <x:c r="L542" s="163" t="n">
        <x:f>IFERROR(K542/D542,0)</x:f>
        <x:v>0.03429825764851146</x:v>
      </x:c>
      <x:c r="M542" s="160" t="str">
        <x:v>Presence-floor proxy only — 10k+ municipality completion</x:v>
      </x:c>
      <x:c r="N54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542" s="160" t="str">
        <x:v>Burlington County</x:v>
      </x:c>
    </x:row>
    <x:row r="543">
      <x:c r="A543" t="n">
        <x:v>560</x:v>
      </x:c>
      <x:c r="B543" t="str">
        <x:v>Antioch</x:v>
      </x:c>
      <x:c r="C543" t="str">
        <x:v>CA</x:v>
      </x:c>
      <x:c r="D543" s="161" t="n">
        <x:v>29.2</x:v>
      </x:c>
      <x:c r="E543" t="n">
        <x:v>0</x:v>
      </x:c>
      <x:c r="F543" t="n">
        <x:v>0</x:v>
      </x:c>
      <x:c r="G543" t="n">
        <x:v>0</x:v>
      </x:c>
      <x:c r="H543" t="n">
        <x:v>0</x:v>
      </x:c>
      <x:c r="I543" t="n">
        <x:v>0</x:v>
      </x:c>
      <x:c r="J543" t="n">
        <x:v>1</x:v>
      </x:c>
      <x:c r="K543" t="n">
        <x:f>SUM(E543:J543)</x:f>
        <x:v>1</x:v>
      </x:c>
      <x:c r="L543" s="163" t="n">
        <x:f>IFERROR(K543/D543,0)</x:f>
        <x:v>0.03424657534246575</x:v>
      </x:c>
      <x:c r="M543" s="160" t="str">
        <x:v>Presence-floor proxy only — 300-city expansion</x:v>
      </x:c>
      <x:c r="N543" s="160" t="str">
        <x:v>Added in the 300-city screening expansion. One-store screening floor only; exact selected-chain count and 5-mile buffer require GIS verification.</x:v>
      </x:c>
      <x:c r="O543" s="160" t="str">
        <x:v>Contra Costa County</x:v>
      </x:c>
    </x:row>
    <x:row r="544">
      <x:c r="A544" t="n">
        <x:v>561</x:v>
      </x:c>
      <x:c r="B544" t="str">
        <x:v>Summit Township</x:v>
      </x:c>
      <x:c r="C544" t="str">
        <x:v>MI</x:v>
      </x:c>
      <x:c r="D544" s="161" t="n">
        <x:v>29.207</x:v>
      </x:c>
      <x:c r="E544" t="n">
        <x:v>0</x:v>
      </x:c>
      <x:c r="F544" t="n">
        <x:v>0</x:v>
      </x:c>
      <x:c r="G544" t="n">
        <x:v>0</x:v>
      </x:c>
      <x:c r="H544" t="n">
        <x:v>0</x:v>
      </x:c>
      <x:c r="I544" t="n">
        <x:v>0</x:v>
      </x:c>
      <x:c r="J544" t="n">
        <x:v>1</x:v>
      </x:c>
      <x:c r="K544" t="n">
        <x:f>SUM(E544:J544)</x:f>
        <x:v>1</x:v>
      </x:c>
      <x:c r="L544" s="163" t="n">
        <x:f>IFERROR(K544/D544,0)</x:f>
        <x:v>0.0342383675146369</x:v>
      </x:c>
      <x:c r="M544" s="160" t="str">
        <x:v>Presence-floor proxy only — 10k+ municipality completion</x:v>
      </x:c>
      <x:c r="N544" s="160" t="str">
        <x:v>Added under the &gt;=50k-county expansion rule: Census Vintage 2025 municipality population &gt;=10,000; general-purpose city-equivalent municipality; direct Census adjacency. Presence-floor proxy only — exact tracked-chain count requires municipal-boundary/GIS verification. Prime Cuts and Jackson local-food markets provide specialty-grocery evidence but are not among the five tracked proxy chains.</x:v>
      </x:c>
      <x:c r="O544" s="160" t="str">
        <x:v>Jackson County</x:v>
      </x:c>
    </x:row>
    <x:row r="545">
      <x:c r="A545" t="n">
        <x:v>562</x:v>
      </x:c>
      <x:c r="B545" t="str">
        <x:v>Hemet</x:v>
      </x:c>
      <x:c r="C545" t="str">
        <x:v>CA</x:v>
      </x:c>
      <x:c r="D545" s="161" t="n">
        <x:v>29.262</x:v>
      </x:c>
      <x:c r="E545" t="n">
        <x:v>0</x:v>
      </x:c>
      <x:c r="F545" t="n">
        <x:v>0</x:v>
      </x:c>
      <x:c r="G545" t="n">
        <x:v>0</x:v>
      </x:c>
      <x:c r="H545" t="n">
        <x:v>0</x:v>
      </x:c>
      <x:c r="I545" t="n">
        <x:v>0</x:v>
      </x:c>
      <x:c r="J545" t="n">
        <x:v>1</x:v>
      </x:c>
      <x:c r="K545" t="n">
        <x:f>SUM(E545:J545)</x:f>
        <x:v>1</x:v>
      </x:c>
      <x:c r="L545" s="163" t="n">
        <x:f>IFERROR(K545/D545,0)</x:f>
        <x:v>0.0341740140796938</x:v>
      </x:c>
      <x:c r="M545" s="160" t="str">
        <x:v>Presence-floor proxy only — 50k+ county completion</x:v>
      </x:c>
      <x:c r="N545"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45" s="160" t="str">
        <x:v>Riverside County</x:v>
      </x:c>
    </x:row>
    <x:row r="546">
      <x:c r="A546" t="n">
        <x:v>563</x:v>
      </x:c>
      <x:c r="B546" t="str">
        <x:v>Westerly Town</x:v>
      </x:c>
      <x:c r="C546" t="str">
        <x:v>RI</x:v>
      </x:c>
      <x:c r="D546" s="161" t="n">
        <x:v>29.469</x:v>
      </x:c>
      <x:c r="E546" t="n">
        <x:v>0</x:v>
      </x:c>
      <x:c r="F546" t="n">
        <x:v>0</x:v>
      </x:c>
      <x:c r="G546" t="n">
        <x:v>0</x:v>
      </x:c>
      <x:c r="H546" t="n">
        <x:v>0</x:v>
      </x:c>
      <x:c r="I546" t="n">
        <x:v>0</x:v>
      </x:c>
      <x:c r="J546" t="n">
        <x:v>1</x:v>
      </x:c>
      <x:c r="K546" t="n">
        <x:f>SUM(E546:J546)</x:f>
        <x:v>1</x:v>
      </x:c>
      <x:c r="L546" s="163" t="n">
        <x:f>IFERROR(K546/D546,0)</x:f>
        <x:v>0.033933964505073126</x:v>
      </x:c>
      <x:c r="M546" s="160" t="str">
        <x:v>Presence-floor proxy only — 10k+ municipality completion</x:v>
      </x:c>
      <x:c r="N546" s="160" t="str">
        <x:v>Added under the &gt;=50k-county expansion rule: Census Vintage 2025 municipality population &gt;=10,000; general-purpose city-equivalent municipality; direct Census adjacency. Presence-floor proxy only — exact tracked-chain count requires municipal-boundary/GIS verification. Rhode Island towns are general-purpose municipalities; smaller Washington County towns remain below the 10,000 threshold.</x:v>
      </x:c>
      <x:c r="O546" s="160" t="str">
        <x:v>Washington County</x:v>
      </x:c>
    </x:row>
    <x:row r="547">
      <x:c r="A547" t="n">
        <x:v>564</x:v>
      </x:c>
      <x:c r="B547" t="str">
        <x:v>San Diego</x:v>
      </x:c>
      <x:c r="C547" t="str">
        <x:v>CA</x:v>
      </x:c>
      <x:c r="D547" s="161" t="n">
        <x:v>325.188</x:v>
      </x:c>
      <x:c r="E547" t="n">
        <x:v>1</x:v>
      </x:c>
      <x:c r="F547" t="n">
        <x:v>10</x:v>
      </x:c>
      <x:c r="G547" t="n">
        <x:v>0</x:v>
      </x:c>
      <x:c r="H547" t="n">
        <x:v>0</x:v>
      </x:c>
      <x:c r="I547" t="n">
        <x:v>0</x:v>
      </x:c>
      <x:c r="J547" t="n">
        <x:v>0</x:v>
      </x:c>
      <x:c r="K547" t="n">
        <x:f>SUM(E547:J547)</x:f>
        <x:v>11</x:v>
      </x:c>
      <x:c r="L547" s="163" t="n">
        <x:f>IFERROR(K547/D547,0)</x:f>
        <x:v>0.0338265864669053</x:v>
      </x:c>
      <x:c r="M547" s="160" t="str">
        <x:v>Confirmed lower bound</x:v>
      </x:c>
      <x:c r="N547" s="160" t="str">
        <x:v>Verified public-directory count for ≥1 major chain; other selected chains and 5-mile spillover omitted.</x:v>
      </x:c>
      <x:c r="O547" s="160" t="str">
        <x:v>San Diego County</x:v>
      </x:c>
    </x:row>
    <x:row r="548">
      <x:c r="A548" t="n">
        <x:v>565</x:v>
      </x:c>
      <x:c r="B548" t="str">
        <x:v>Ballston town</x:v>
      </x:c>
      <x:c r="C548" t="str">
        <x:v>NY</x:v>
      </x:c>
      <x:c r="D548" s="161" t="n">
        <x:v>29.576</x:v>
      </x:c>
      <x:c r="E548" t="n">
        <x:v>0</x:v>
      </x:c>
      <x:c r="F548" t="n">
        <x:v>0</x:v>
      </x:c>
      <x:c r="G548" t="n">
        <x:v>0</x:v>
      </x:c>
      <x:c r="H548" t="n">
        <x:v>0</x:v>
      </x:c>
      <x:c r="I548" t="n">
        <x:v>0</x:v>
      </x:c>
      <x:c r="J548" t="n">
        <x:v>1</x:v>
      </x:c>
      <x:c r="K548" t="n">
        <x:f>SUM(E548:J548)</x:f>
        <x:v>1</x:v>
      </x:c>
      <x:c r="L548" s="163" t="n">
        <x:f>IFERROR(K548/D548,0)</x:f>
        <x:v>0.033811198268866645</x:v>
      </x:c>
      <x:c r="M548" s="160" t="str">
        <x:v>Presence-floor proxy only — 10k+ municipality completion</x:v>
      </x:c>
      <x:c r="N548"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548" s="160" t="str">
        <x:v>Saratoga County</x:v>
      </x:c>
    </x:row>
    <x:row r="549">
      <x:c r="A549" t="n">
        <x:v>566</x:v>
      </x:c>
      <x:c r="B549" t="str">
        <x:v>Mount Olive Township</x:v>
      </x:c>
      <x:c r="C549" t="str">
        <x:v>NJ</x:v>
      </x:c>
      <x:c r="D549" s="161" t="n">
        <x:v>29.62</x:v>
      </x:c>
      <x:c r="E549" t="n">
        <x:v>0</x:v>
      </x:c>
      <x:c r="F549" t="n">
        <x:v>0</x:v>
      </x:c>
      <x:c r="G549" t="n">
        <x:v>0</x:v>
      </x:c>
      <x:c r="H549" t="n">
        <x:v>0</x:v>
      </x:c>
      <x:c r="I549" t="n">
        <x:v>0</x:v>
      </x:c>
      <x:c r="J549" t="n">
        <x:v>1</x:v>
      </x:c>
      <x:c r="K549" t="n">
        <x:f>SUM(E549:J549)</x:f>
        <x:v>1</x:v>
      </x:c>
      <x:c r="L549" s="163" t="n">
        <x:f>IFERROR(K549/D549,0)</x:f>
        <x:v>0.033760972316002696</x:v>
      </x:c>
      <x:c r="M549" s="160" t="str">
        <x:v>Presence-floor proxy only — 10k+ municipality completion</x:v>
      </x:c>
      <x:c r="N54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49" s="160" t="str">
        <x:v>Morris County</x:v>
      </x:c>
    </x:row>
    <x:row r="550">
      <x:c r="A550" t="n">
        <x:v>567</x:v>
      </x:c>
      <x:c r="B550" t="str">
        <x:v>Centennial</x:v>
      </x:c>
      <x:c r="C550" t="str">
        <x:v>CO</x:v>
      </x:c>
      <x:c r="D550" s="161" t="n">
        <x:v>29.7</x:v>
      </x:c>
      <x:c r="E550" t="n">
        <x:v>0</x:v>
      </x:c>
      <x:c r="F550" t="n">
        <x:v>0</x:v>
      </x:c>
      <x:c r="G550" t="n">
        <x:v>0</x:v>
      </x:c>
      <x:c r="H550" t="n">
        <x:v>0</x:v>
      </x:c>
      <x:c r="I550" t="n">
        <x:v>0</x:v>
      </x:c>
      <x:c r="J550" t="n">
        <x:v>1</x:v>
      </x:c>
      <x:c r="K550" t="n">
        <x:f>SUM(E550:J550)</x:f>
        <x:v>1</x:v>
      </x:c>
      <x:c r="L550" s="163" t="n">
        <x:f>IFERROR(K550/D550,0)</x:f>
        <x:v>0.03367003367003367</x:v>
      </x:c>
      <x:c r="M550" s="160" t="str">
        <x:v>Presence-floor proxy only — 300-city expansion</x:v>
      </x:c>
      <x:c r="N550" s="160" t="str">
        <x:v>Added in the 300-city screening expansion. One-store screening floor only; exact selected-chain count and 5-mile buffer require GIS verification.</x:v>
      </x:c>
      <x:c r="O550" s="160" t="str">
        <x:v>Arapahoe County</x:v>
      </x:c>
    </x:row>
    <x:row r="551">
      <x:c r="A551" t="n">
        <x:v>568</x:v>
      </x:c>
      <x:c r="B551" t="str">
        <x:v>Clinton Township</x:v>
      </x:c>
      <x:c r="C551" t="str">
        <x:v>NJ</x:v>
      </x:c>
      <x:c r="D551" s="161" t="n">
        <x:v>29.869</x:v>
      </x:c>
      <x:c r="E551" t="n">
        <x:v>0</x:v>
      </x:c>
      <x:c r="F551" t="n">
        <x:v>0</x:v>
      </x:c>
      <x:c r="G551" t="n">
        <x:v>0</x:v>
      </x:c>
      <x:c r="H551" t="n">
        <x:v>0</x:v>
      </x:c>
      <x:c r="I551" t="n">
        <x:v>0</x:v>
      </x:c>
      <x:c r="J551" t="n">
        <x:v>1</x:v>
      </x:c>
      <x:c r="K551" t="n">
        <x:f>SUM(E551:J551)</x:f>
        <x:v>1</x:v>
      </x:c>
      <x:c r="L551" s="163" t="n">
        <x:f>IFERROR(K551/D551,0)</x:f>
        <x:v>0.03347952726907496</x:v>
      </x:c>
      <x:c r="M551" s="160" t="str">
        <x:v>Presence-floor proxy only — 10k+ municipality completion</x:v>
      </x:c>
      <x:c r="N551" s="160" t="str">
        <x:v>Added under the &gt;=50k-county expansion rule: Census Vintage 2025 municipality population &gt;=10,000; general-purpose city-equivalent municipality; direct Census adjacency. Presence-floor proxy only — exact tracked-chain count requires municipal-boundary/GIS verification. V2025 populations include Raritan 25,281, Readington 16,406, and Clinton Township 13,412.</x:v>
      </x:c>
      <x:c r="O551" s="160" t="str">
        <x:v>Hunterdon County</x:v>
      </x:c>
    </x:row>
    <x:row r="552">
      <x:c r="A552" t="n">
        <x:v>570</x:v>
      </x:c>
      <x:c r="B552" t="str">
        <x:v>Richmond</x:v>
      </x:c>
      <x:c r="C552" t="str">
        <x:v>VA</x:v>
      </x:c>
      <x:c r="D552" s="161" t="n">
        <x:v>59.925</x:v>
      </x:c>
      <x:c r="E552" t="n">
        <x:v>0</x:v>
      </x:c>
      <x:c r="F552" t="n">
        <x:v>0</x:v>
      </x:c>
      <x:c r="G552" t="n">
        <x:v>2</x:v>
      </x:c>
      <x:c r="H552" t="n">
        <x:v>0</x:v>
      </x:c>
      <x:c r="I552" t="n">
        <x:v>0</x:v>
      </x:c>
      <x:c r="J552" t="n">
        <x:v>0</x:v>
      </x:c>
      <x:c r="K552" t="n">
        <x:f>SUM(E552:J552)</x:f>
        <x:v>2</x:v>
      </x:c>
      <x:c r="L552" s="163" t="n">
        <x:f>IFERROR(K552/D552,0)</x:f>
        <x:v>0.033375052148518984</x:v>
      </x:c>
      <x:c r="M552" s="160" t="str">
        <x:v>Confirmed lower bound</x:v>
      </x:c>
      <x:c r="N552" s="160" t="str">
        <x:v>Verified public-directory count for ≥1 major chain; other selected chains and 5-mile spillover omitted.</x:v>
      </x:c>
      <x:c r="O552" s="160" t="str">
        <x:v>Richmond city</x:v>
      </x:c>
    </x:row>
    <x:row r="553">
      <x:c r="A553" t="n">
        <x:v>571</x:v>
      </x:c>
      <x:c r="B553" t="str">
        <x:v>Fruitport Charter Township</x:v>
      </x:c>
      <x:c r="C553" t="str">
        <x:v>MI</x:v>
      </x:c>
      <x:c r="D553" s="161" t="n">
        <x:v>29.972</x:v>
      </x:c>
      <x:c r="E553" t="n">
        <x:v>0</x:v>
      </x:c>
      <x:c r="F553" t="n">
        <x:v>0</x:v>
      </x:c>
      <x:c r="G553" t="n">
        <x:v>0</x:v>
      </x:c>
      <x:c r="H553" t="n">
        <x:v>0</x:v>
      </x:c>
      <x:c r="I553" t="n">
        <x:v>0</x:v>
      </x:c>
      <x:c r="J553" t="n">
        <x:v>1</x:v>
      </x:c>
      <x:c r="K553" t="n">
        <x:f>SUM(E553:J553)</x:f>
        <x:v>1</x:v>
      </x:c>
      <x:c r="L553" s="163" t="n">
        <x:f>IFERROR(K553/D553,0)</x:f>
        <x:v>0.03336447350860803</x:v>
      </x:c>
      <x:c r="M553" s="160" t="str">
        <x:v>Presence-floor proxy only — 10k+ municipality completion</x:v>
      </x:c>
      <x:c r="N553" s="160" t="str">
        <x:v>Added under the &gt;=50k-county expansion rule: Census Vintage 2025 municipality population &gt;=10,000; general-purpose city-equivalent municipality; direct Census adjacency. Presence-floor proxy only — exact tracked-chain count requires municipal-boundary/GIS verification. Sweetwater Local Foods Market provides county specialty-grocery evidence; Dalton Township is below 10,000 in V2025.</x:v>
      </x:c>
      <x:c r="O553" s="160" t="str">
        <x:v>Muskegon County</x:v>
      </x:c>
    </x:row>
    <x:row r="554">
      <x:c r="A554" t="n">
        <x:v>572</x:v>
      </x:c>
      <x:c r="B554" t="str">
        <x:v>Biddeford city</x:v>
      </x:c>
      <x:c r="C554" t="str">
        <x:v>ME</x:v>
      </x:c>
      <x:c r="D554" s="161" t="n">
        <x:v>30.073</x:v>
      </x:c>
      <x:c r="E554" t="n">
        <x:v>0</x:v>
      </x:c>
      <x:c r="F554" t="n">
        <x:v>0</x:v>
      </x:c>
      <x:c r="G554" t="n">
        <x:v>0</x:v>
      </x:c>
      <x:c r="H554" t="n">
        <x:v>0</x:v>
      </x:c>
      <x:c r="I554" t="n">
        <x:v>0</x:v>
      </x:c>
      <x:c r="J554" t="n">
        <x:v>1</x:v>
      </x:c>
      <x:c r="K554" t="n">
        <x:f>SUM(E554:J554)</x:f>
        <x:v>1</x:v>
      </x:c>
      <x:c r="L554" s="163" t="n">
        <x:f>IFERROR(K554/D554,0)</x:f>
        <x:v>0.03325241911349051</x:v>
      </x:c>
      <x:c r="M554" s="160" t="str">
        <x:v>Presence-floor proxy only — 10k+ municipality completion</x:v>
      </x:c>
      <x:c r="N554"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554" s="160" t="str">
        <x:v>York County</x:v>
      </x:c>
    </x:row>
    <x:row r="555">
      <x:c r="A555" t="n">
        <x:v>573</x:v>
      </x:c>
      <x:c r="B555" t="str">
        <x:v>Richmond</x:v>
      </x:c>
      <x:c r="C555" t="str">
        <x:v>CA</x:v>
      </x:c>
      <x:c r="D555" s="161" t="n">
        <x:v>30.1</x:v>
      </x:c>
      <x:c r="E555" t="n">
        <x:v>0</x:v>
      </x:c>
      <x:c r="F555" t="n">
        <x:v>0</x:v>
      </x:c>
      <x:c r="G555" t="n">
        <x:v>0</x:v>
      </x:c>
      <x:c r="H555" t="n">
        <x:v>0</x:v>
      </x:c>
      <x:c r="I555" t="n">
        <x:v>0</x:v>
      </x:c>
      <x:c r="J555" t="n">
        <x:v>1</x:v>
      </x:c>
      <x:c r="K555" t="n">
        <x:f>SUM(E555:J555)</x:f>
        <x:v>1</x:v>
      </x:c>
      <x:c r="L555" s="163" t="n">
        <x:f>IFERROR(K555/D555,0)</x:f>
        <x:v>0.03322259136212624</x:v>
      </x:c>
      <x:c r="M555" s="160" t="str">
        <x:v>Presence-floor proxy only — 300-city expansion</x:v>
      </x:c>
      <x:c r="N555" s="160" t="str">
        <x:v>Added in the 300-city screening expansion. One-store screening floor only; exact selected-chain count and 5-mile buffer require GIS verification.</x:v>
      </x:c>
      <x:c r="O555" s="160" t="str">
        <x:v>Contra Costa County</x:v>
      </x:c>
    </x:row>
    <x:row r="556">
      <x:c r="A556" t="n">
        <x:v>574</x:v>
      </x:c>
      <x:c r="B556" t="str">
        <x:v>Edison</x:v>
      </x:c>
      <x:c r="C556" t="str">
        <x:v>NJ</x:v>
      </x:c>
      <x:c r="D556" s="161" t="n">
        <x:v>30.1</x:v>
      </x:c>
      <x:c r="E556" t="n">
        <x:v>0</x:v>
      </x:c>
      <x:c r="F556" t="n">
        <x:v>0</x:v>
      </x:c>
      <x:c r="G556" t="n">
        <x:v>0</x:v>
      </x:c>
      <x:c r="H556" t="n">
        <x:v>0</x:v>
      </x:c>
      <x:c r="I556" t="n">
        <x:v>0</x:v>
      </x:c>
      <x:c r="J556" t="n">
        <x:v>1</x:v>
      </x:c>
      <x:c r="K556" t="n">
        <x:f>SUM(E556:J556)</x:f>
        <x:v>1</x:v>
      </x:c>
      <x:c r="L556" s="163" t="n">
        <x:f>IFERROR(K556/D556,0)</x:f>
        <x:v>0.03322259136212624</x:v>
      </x:c>
      <x:c r="M556" s="160" t="str">
        <x:v>Presence-floor proxy only — 300-city expansion</x:v>
      </x:c>
      <x:c r="N556" s="160" t="str">
        <x:v>Added in the 300-city screening expansion. One-store screening floor only; exact selected-chain count and 5-mile buffer require GIS verification.</x:v>
      </x:c>
      <x:c r="O556" s="160" t="str">
        <x:v>Middlesex County</x:v>
      </x:c>
    </x:row>
    <x:row r="557">
      <x:c r="A557" t="n">
        <x:v>575</x:v>
      </x:c>
      <x:c r="B557" t="str">
        <x:v>Beekman Town</x:v>
      </x:c>
      <x:c r="C557" t="str">
        <x:v>NY</x:v>
      </x:c>
      <x:c r="D557" s="161" t="n">
        <x:v>30.204</x:v>
      </x:c>
      <x:c r="E557" t="n">
        <x:v>0</x:v>
      </x:c>
      <x:c r="F557" t="n">
        <x:v>0</x:v>
      </x:c>
      <x:c r="G557" t="n">
        <x:v>0</x:v>
      </x:c>
      <x:c r="H557" t="n">
        <x:v>0</x:v>
      </x:c>
      <x:c r="I557" t="n">
        <x:v>0</x:v>
      </x:c>
      <x:c r="J557" t="n">
        <x:v>1</x:v>
      </x:c>
      <x:c r="K557" t="n">
        <x:f>SUM(E557:J557)</x:f>
        <x:v>1</x:v>
      </x:c>
      <x:c r="L557" s="163" t="n">
        <x:f>IFERROR(K557/D557,0)</x:f>
        <x:v>0.033108197589723214</x:v>
      </x:c>
      <x:c r="M557" s="160" t="str">
        <x:v>Presence-floor proxy only — 10k+ municipality completion</x:v>
      </x:c>
      <x:c r="N557"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557" s="160" t="str">
        <x:v>Dutchess County</x:v>
      </x:c>
    </x:row>
    <x:row r="558">
      <x:c r="A558" t="n">
        <x:v>576</x:v>
      </x:c>
      <x:c r="B558" t="str">
        <x:v>Novi</x:v>
      </x:c>
      <x:c r="C558" t="str">
        <x:v>MI</x:v>
      </x:c>
      <x:c r="D558" s="161" t="n">
        <x:v>30.24</x:v>
      </x:c>
      <x:c r="E558" t="n">
        <x:v>0</x:v>
      </x:c>
      <x:c r="F558" t="n">
        <x:v>0</x:v>
      </x:c>
      <x:c r="G558" t="n">
        <x:v>0</x:v>
      </x:c>
      <x:c r="H558" t="n">
        <x:v>0</x:v>
      </x:c>
      <x:c r="I558" t="n">
        <x:v>0</x:v>
      </x:c>
      <x:c r="J558" t="n">
        <x:v>1</x:v>
      </x:c>
      <x:c r="K558" t="n">
        <x:f>SUM(E558:J558)</x:f>
        <x:v>1</x:v>
      </x:c>
      <x:c r="L558" s="163" t="n">
        <x:f>IFERROR(K558/D558,0)</x:f>
        <x:v>0.033068783068783074</x:v>
      </x:c>
      <x:c r="M558" s="160" t="str">
        <x:v>Presence-floor proxy only — restricted-state adjacency expansion</x:v>
      </x:c>
      <x:c r="N558" s="160" t="str">
        <x:v>Census Vintage 2025 city estimate remains above 50,000. Added for Oakland County completion; one-store screening floor pending production GIS verification.</x:v>
      </x:c>
      <x:c r="O558" s="160" t="str">
        <x:v>Oakland County</x:v>
      </x:c>
    </x:row>
    <x:row r="559">
      <x:c r="A559" t="n">
        <x:v>577</x:v>
      </x:c>
      <x:c r="B559" t="str">
        <x:v>Beaumont</x:v>
      </x:c>
      <x:c r="C559" t="str">
        <x:v>CA</x:v>
      </x:c>
      <x:c r="D559" s="161" t="n">
        <x:v>30.332</x:v>
      </x:c>
      <x:c r="E559" t="n">
        <x:v>0</x:v>
      </x:c>
      <x:c r="F559" t="n">
        <x:v>0</x:v>
      </x:c>
      <x:c r="G559" t="n">
        <x:v>0</x:v>
      </x:c>
      <x:c r="H559" t="n">
        <x:v>0</x:v>
      </x:c>
      <x:c r="I559" t="n">
        <x:v>0</x:v>
      </x:c>
      <x:c r="J559" t="n">
        <x:v>1</x:v>
      </x:c>
      <x:c r="K559" t="n">
        <x:f>SUM(E559:J559)</x:f>
        <x:v>1</x:v>
      </x:c>
      <x:c r="L559" s="163" t="n">
        <x:f>IFERROR(K559/D559,0)</x:f>
        <x:v>0.03296848213108269</x:v>
      </x:c>
      <x:c r="M559" s="160" t="str">
        <x:v>Presence-floor proxy only — 50k+ county completion</x:v>
      </x:c>
      <x:c r="N55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59" s="160" t="str">
        <x:v>Riverside County</x:v>
      </x:c>
    </x:row>
    <x:row r="560">
      <x:c r="A560" t="n">
        <x:v>578</x:v>
      </x:c>
      <x:c r="B560" t="str">
        <x:v>Marlboro Township</x:v>
      </x:c>
      <x:c r="C560" t="str">
        <x:v>NJ</x:v>
      </x:c>
      <x:c r="D560" s="161" t="n">
        <x:v>30.344</x:v>
      </x:c>
      <x:c r="E560" t="n">
        <x:v>1</x:v>
      </x:c>
      <x:c r="F560" t="n">
        <x:v>0</x:v>
      </x:c>
      <x:c r="G560" t="n">
        <x:v>0</x:v>
      </x:c>
      <x:c r="H560" t="n">
        <x:v>0</x:v>
      </x:c>
      <x:c r="I560" t="n">
        <x:v>0</x:v>
      </x:c>
      <x:c r="J560" t="n">
        <x:v>0</x:v>
      </x:c>
      <x:c r="K560" t="n">
        <x:f>SUM(E560:J560)</x:f>
        <x:v>1</x:v>
      </x:c>
      <x:c r="L560" s="163" t="n">
        <x:f>IFERROR(K560/D560,0)</x:f>
        <x:v>0.03295544423938834</x:v>
      </x:c>
      <x:c r="M560" s="160" t="str">
        <x:v>Confirmed lower bound — official retailer store page</x:v>
      </x:c>
      <x:c r="N560" s="160" t="str">
        <x:v>Confirmed lower bound: 1 Whole Foods location verified by the retailer's official store page using a municipality-matching location name/address. Other tracked chains and nearby spillover omitted.</x:v>
      </x:c>
      <x:c r="O560" s="160" t="str">
        <x:v>Monmouth County</x:v>
      </x:c>
    </x:row>
    <x:row r="561">
      <x:c r="A561" t="n">
        <x:v>579</x:v>
      </x:c>
      <x:c r="B561" t="str">
        <x:v>Newberry Township</x:v>
      </x:c>
      <x:c r="C561" t="str">
        <x:v>PA</x:v>
      </x:c>
      <x:c r="D561" s="161" t="n">
        <x:v>30.398</x:v>
      </x:c>
      <x:c r="E561" t="n">
        <x:v>0</x:v>
      </x:c>
      <x:c r="F561" t="n">
        <x:v>0</x:v>
      </x:c>
      <x:c r="G561" t="n">
        <x:v>0</x:v>
      </x:c>
      <x:c r="H561" t="n">
        <x:v>0</x:v>
      </x:c>
      <x:c r="I561" t="n">
        <x:v>0</x:v>
      </x:c>
      <x:c r="J561" t="n">
        <x:v>1</x:v>
      </x:c>
      <x:c r="K561" t="n">
        <x:f>SUM(E561:J561)</x:f>
        <x:v>1</x:v>
      </x:c>
      <x:c r="L561" s="163" t="n">
        <x:f>IFERROR(K561/D561,0)</x:f>
        <x:v>0.03289690111191526</x:v>
      </x:c>
      <x:c r="M561" s="160" t="str">
        <x:v>Presence-floor proxy only — 10k+ municipality completion</x:v>
      </x:c>
      <x:c r="N561"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561" s="160" t="str">
        <x:v>York County</x:v>
      </x:c>
    </x:row>
    <x:row r="562">
      <x:c r="A562" t="n">
        <x:v>580</x:v>
      </x:c>
      <x:c r="B562" t="str">
        <x:v>Vallejo</x:v>
      </x:c>
      <x:c r="C562" t="str">
        <x:v>CA</x:v>
      </x:c>
      <x:c r="D562" s="161" t="n">
        <x:v>30.4</x:v>
      </x:c>
      <x:c r="E562" t="n">
        <x:v>0</x:v>
      </x:c>
      <x:c r="F562" t="n">
        <x:v>0</x:v>
      </x:c>
      <x:c r="G562" t="n">
        <x:v>0</x:v>
      </x:c>
      <x:c r="H562" t="n">
        <x:v>0</x:v>
      </x:c>
      <x:c r="I562" t="n">
        <x:v>0</x:v>
      </x:c>
      <x:c r="J562" t="n">
        <x:v>1</x:v>
      </x:c>
      <x:c r="K562" t="n">
        <x:f>SUM(E562:J562)</x:f>
        <x:v>1</x:v>
      </x:c>
      <x:c r="L562" s="163" t="n">
        <x:f>IFERROR(K562/D562,0)</x:f>
        <x:v>0.03289473684210526</x:v>
      </x:c>
      <x:c r="M562" s="160" t="str">
        <x:v>Presence-floor proxy only — 250-city expansion</x:v>
      </x:c>
      <x:c r="N562" s="160" t="str">
        <x:v>Added in the 250-city screening expansion. One-store screening floor only; exact selected-chain count and 5-mile buffer require GIS verification.</x:v>
      </x:c>
      <x:c r="O562" s="160" t="str">
        <x:v>Solano County</x:v>
      </x:c>
    </x:row>
    <x:row r="563">
      <x:c r="A563" t="n">
        <x:v>581</x:v>
      </x:c>
      <x:c r="B563" t="str">
        <x:v>Highlands Town</x:v>
      </x:c>
      <x:c r="C563" t="str">
        <x:v>NY</x:v>
      </x:c>
      <x:c r="D563" s="161" t="n">
        <x:v>30.416</x:v>
      </x:c>
      <x:c r="E563" t="n">
        <x:v>0</x:v>
      </x:c>
      <x:c r="F563" t="n">
        <x:v>0</x:v>
      </x:c>
      <x:c r="G563" t="n">
        <x:v>0</x:v>
      </x:c>
      <x:c r="H563" t="n">
        <x:v>0</x:v>
      </x:c>
      <x:c r="I563" t="n">
        <x:v>0</x:v>
      </x:c>
      <x:c r="J563" t="n">
        <x:v>1</x:v>
      </x:c>
      <x:c r="K563" t="n">
        <x:f>SUM(E563:J563)</x:f>
        <x:v>1</x:v>
      </x:c>
      <x:c r="L563" s="163" t="n">
        <x:f>IFERROR(K563/D563,0)</x:f>
        <x:v>0.03287743293003682</x:v>
      </x:c>
      <x:c r="M563" s="160" t="str">
        <x:v>Presence-floor proxy only — 10k+ municipality completion</x:v>
      </x:c>
      <x:c r="N56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563" s="160" t="str">
        <x:v>Orange County</x:v>
      </x:c>
    </x:row>
    <x:row r="564">
      <x:c r="A564" t="n">
        <x:v>582</x:v>
      </x:c>
      <x:c r="B564" t="str">
        <x:v>Glendale</x:v>
      </x:c>
      <x:c r="C564" t="str">
        <x:v>CA</x:v>
      </x:c>
      <x:c r="D564" s="161" t="n">
        <x:v>30.5</x:v>
      </x:c>
      <x:c r="E564" t="n">
        <x:v>0</x:v>
      </x:c>
      <x:c r="F564" t="n">
        <x:v>0</x:v>
      </x:c>
      <x:c r="G564" t="n">
        <x:v>0</x:v>
      </x:c>
      <x:c r="H564" t="n">
        <x:v>0</x:v>
      </x:c>
      <x:c r="I564" t="n">
        <x:v>0</x:v>
      </x:c>
      <x:c r="J564" t="n">
        <x:v>1</x:v>
      </x:c>
      <x:c r="K564" t="n">
        <x:f>SUM(E564:J564)</x:f>
        <x:v>1</x:v>
      </x:c>
      <x:c r="L564" s="163" t="n">
        <x:f>IFERROR(K564/D564,0)</x:f>
        <x:v>0.03278688524590164</x:v>
      </x:c>
      <x:c r="M564" s="160" t="str">
        <x:v>Presence-floor proxy only — 200-city expansion</x:v>
      </x:c>
      <x:c r="N564" s="160" t="str">
        <x:v>Added in the 200-city screening expansion. One-store screening floor only; exact selected-chain count and 5-mile buffer require GIS verification.</x:v>
      </x:c>
      <x:c r="O564" s="160" t="str">
        <x:v>Los Angeles County</x:v>
      </x:c>
    </x:row>
    <x:row r="565">
      <x:c r="A565" t="n">
        <x:v>583</x:v>
      </x:c>
      <x:c r="B565" t="str">
        <x:v>Concord</x:v>
      </x:c>
      <x:c r="C565" t="str">
        <x:v>CA</x:v>
      </x:c>
      <x:c r="D565" s="161" t="n">
        <x:v>30.6</x:v>
      </x:c>
      <x:c r="E565" t="n">
        <x:v>0</x:v>
      </x:c>
      <x:c r="F565" t="n">
        <x:v>0</x:v>
      </x:c>
      <x:c r="G565" t="n">
        <x:v>0</x:v>
      </x:c>
      <x:c r="H565" t="n">
        <x:v>0</x:v>
      </x:c>
      <x:c r="I565" t="n">
        <x:v>0</x:v>
      </x:c>
      <x:c r="J565" t="n">
        <x:v>1</x:v>
      </x:c>
      <x:c r="K565" t="n">
        <x:f>SUM(E565:J565)</x:f>
        <x:v>1</x:v>
      </x:c>
      <x:c r="L565" s="163" t="n">
        <x:f>IFERROR(K565/D565,0)</x:f>
        <x:v>0.032679738562091505</x:v>
      </x:c>
      <x:c r="M565" s="160" t="str">
        <x:v>Presence-floor proxy only — 250-city expansion</x:v>
      </x:c>
      <x:c r="N565" s="160" t="str">
        <x:v>Added in the 250-city screening expansion. One-store screening floor only; exact selected-chain count and 5-mile buffer require GIS verification.</x:v>
      </x:c>
      <x:c r="O565" s="160" t="str">
        <x:v>Contra Costa County</x:v>
      </x:c>
    </x:row>
    <x:row r="566">
      <x:c r="A566" t="n">
        <x:v>584</x:v>
      </x:c>
      <x:c r="B566" t="str">
        <x:v>Manalapan Township</x:v>
      </x:c>
      <x:c r="C566" t="str">
        <x:v>NJ</x:v>
      </x:c>
      <x:c r="D566" s="161" t="n">
        <x:v>30.651</x:v>
      </x:c>
      <x:c r="E566" t="n">
        <x:v>0</x:v>
      </x:c>
      <x:c r="F566" t="n">
        <x:v>0</x:v>
      </x:c>
      <x:c r="G566" t="n">
        <x:v>0</x:v>
      </x:c>
      <x:c r="H566" t="n">
        <x:v>0</x:v>
      </x:c>
      <x:c r="I566" t="n">
        <x:v>1</x:v>
      </x:c>
      <x:c r="J566" t="n">
        <x:v>0</x:v>
      </x:c>
      <x:c r="K566" t="n">
        <x:f>SUM(E566:J566)</x:f>
        <x:v>1</x:v>
      </x:c>
      <x:c r="L566" s="163" t="n">
        <x:f>IFERROR(K566/D566,0)</x:f>
        <x:v>0.032625362957162896</x:v>
      </x:c>
      <x:c r="M566" s="160" t="str">
        <x:v>Confirmed lower bound — official retailer store page</x:v>
      </x:c>
      <x:c r="N566" s="160" t="str">
        <x:v>Confirmed lower bound: 1 Wegmans location verified by the retailer's official store page using a municipality-matching location name/address. Other tracked chains and nearby spillover omitted.</x:v>
      </x:c>
      <x:c r="O566" s="160" t="str">
        <x:v>Monmouth County</x:v>
      </x:c>
    </x:row>
    <x:row r="567">
      <x:c r="A567" t="n">
        <x:v>585</x:v>
      </x:c>
      <x:c r="B567" t="str">
        <x:v>Wall Township</x:v>
      </x:c>
      <x:c r="C567" t="str">
        <x:v>NJ</x:v>
      </x:c>
      <x:c r="D567" s="161" t="n">
        <x:v>30.658</x:v>
      </x:c>
      <x:c r="E567" t="n">
        <x:v>0</x:v>
      </x:c>
      <x:c r="F567" t="n">
        <x:v>0</x:v>
      </x:c>
      <x:c r="G567" t="n">
        <x:v>0</x:v>
      </x:c>
      <x:c r="H567" t="n">
        <x:v>0</x:v>
      </x:c>
      <x:c r="I567" t="n">
        <x:v>0</x:v>
      </x:c>
      <x:c r="J567" t="n">
        <x:v>1</x:v>
      </x:c>
      <x:c r="K567" t="n">
        <x:f>SUM(E567:J567)</x:f>
        <x:v>1</x:v>
      </x:c>
      <x:c r="L567" s="163" t="n">
        <x:f>IFERROR(K567/D567,0)</x:f>
        <x:v>0.03261791375823602</x:v>
      </x:c>
      <x:c r="M567" s="160" t="str">
        <x:v>Presence-floor proxy only — 10k+ municipality completion</x:v>
      </x:c>
      <x:c r="N56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67" s="160" t="str">
        <x:v>Monmouth County</x:v>
      </x:c>
    </x:row>
    <x:row r="568">
      <x:c r="A568" t="n">
        <x:v>586</x:v>
      </x:c>
      <x:c r="B568" t="str">
        <x:v>Johns Creek</x:v>
      </x:c>
      <x:c r="C568" t="str">
        <x:v>GA</x:v>
      </x:c>
      <x:c r="D568" s="161" t="n">
        <x:v>30.813</x:v>
      </x:c>
      <x:c r="E568" t="n">
        <x:v>0</x:v>
      </x:c>
      <x:c r="F568" t="n">
        <x:v>0</x:v>
      </x:c>
      <x:c r="G568" t="n">
        <x:v>0</x:v>
      </x:c>
      <x:c r="H568" t="n">
        <x:v>0</x:v>
      </x:c>
      <x:c r="I568" t="n">
        <x:v>0</x:v>
      </x:c>
      <x:c r="J568" t="n">
        <x:v>1</x:v>
      </x:c>
      <x:c r="K568" t="n">
        <x:f>SUM(E568:J568)</x:f>
        <x:v>1</x:v>
      </x:c>
      <x:c r="L568" s="163" t="n">
        <x:f>IFERROR(K568/D568,0)</x:f>
        <x:v>0.03245383442053679</x:v>
      </x:c>
      <x:c r="M568" s="160" t="str">
        <x:v>Presence-floor proxy only — 50k+ county completion</x:v>
      </x:c>
      <x:c r="N568"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68" s="160" t="str">
        <x:v>Fulton County</x:v>
      </x:c>
    </x:row>
    <x:row r="569">
      <x:c r="A569" t="n">
        <x:v>587</x:v>
      </x:c>
      <x:c r="B569" t="str">
        <x:v>Thomas Township</x:v>
      </x:c>
      <x:c r="C569" t="str">
        <x:v>MI</x:v>
      </x:c>
      <x:c r="D569" s="161" t="n">
        <x:v>30.84</x:v>
      </x:c>
      <x:c r="E569" t="n">
        <x:v>0</x:v>
      </x:c>
      <x:c r="F569" t="n">
        <x:v>0</x:v>
      </x:c>
      <x:c r="G569" t="n">
        <x:v>0</x:v>
      </x:c>
      <x:c r="H569" t="n">
        <x:v>0</x:v>
      </x:c>
      <x:c r="I569" t="n">
        <x:v>0</x:v>
      </x:c>
      <x:c r="J569" t="n">
        <x:v>1</x:v>
      </x:c>
      <x:c r="K569" t="n">
        <x:f>SUM(E569:J569)</x:f>
        <x:v>1</x:v>
      </x:c>
      <x:c r="L569" s="163" t="n">
        <x:f>IFERROR(K569/D569,0)</x:f>
        <x:v>0.0324254215304799</x:v>
      </x:c>
      <x:c r="M569" s="160" t="str">
        <x:v>Presence-floor proxy only — 10k+ municipality completion</x:v>
      </x:c>
      <x:c r="N569" s="160" t="str">
        <x:v>Added under the &gt;=50k-county expansion rule: Census Vintage 2025 municipality population &gt;=10,000; general-purpose city-equivalent municipality; direct Census adjacency. Presence-floor proxy only — exact tracked-chain count requires municipal-boundary/GIS verification. Bridgeport Charter Township is below the threshold at V2025 population 9,874. Downtown Saginaw / county farmers-market evidence supports county selection.</x:v>
      </x:c>
      <x:c r="O569" s="160" t="str">
        <x:v>Saginaw County</x:v>
      </x:c>
    </x:row>
    <x:row r="570">
      <x:c r="A570" t="n">
        <x:v>589</x:v>
      </x:c>
      <x:c r="B570" t="str">
        <x:v>Allendale Charter Township</x:v>
      </x:c>
      <x:c r="C570" t="str">
        <x:v>MI</x:v>
      </x:c>
      <x:c r="D570" s="161" t="n">
        <x:v>31.138</x:v>
      </x:c>
      <x:c r="E570" t="n">
        <x:v>0</x:v>
      </x:c>
      <x:c r="F570" t="n">
        <x:v>0</x:v>
      </x:c>
      <x:c r="G570" t="n">
        <x:v>0</x:v>
      </x:c>
      <x:c r="H570" t="n">
        <x:v>0</x:v>
      </x:c>
      <x:c r="I570" t="n">
        <x:v>0</x:v>
      </x:c>
      <x:c r="J570" t="n">
        <x:v>1</x:v>
      </x:c>
      <x:c r="K570" t="n">
        <x:f>SUM(E570:J570)</x:f>
        <x:v>1</x:v>
      </x:c>
      <x:c r="L570" s="163" t="n">
        <x:f>IFERROR(K570/D570,0)</x:f>
        <x:v>0.032115100520264624</x:v>
      </x:c>
      <x:c r="M570" s="160" t="str">
        <x:v>Presence-floor proxy only — 10k+ municipality completion</x:v>
      </x:c>
      <x:c r="N570"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570" s="160" t="str">
        <x:v>Ottawa County</x:v>
      </x:c>
    </x:row>
    <x:row r="571">
      <x:c r="A571" t="n">
        <x:v>590</x:v>
      </x:c>
      <x:c r="B571" t="str">
        <x:v>Lloyd town</x:v>
      </x:c>
      <x:c r="C571" t="str">
        <x:v>NY</x:v>
      </x:c>
      <x:c r="D571" s="161" t="n">
        <x:v>31.266</x:v>
      </x:c>
      <x:c r="E571" t="n">
        <x:v>0</x:v>
      </x:c>
      <x:c r="F571" t="n">
        <x:v>0</x:v>
      </x:c>
      <x:c r="G571" t="n">
        <x:v>0</x:v>
      </x:c>
      <x:c r="H571" t="n">
        <x:v>0</x:v>
      </x:c>
      <x:c r="I571" t="n">
        <x:v>0</x:v>
      </x:c>
      <x:c r="J571" t="n">
        <x:v>1</x:v>
      </x:c>
      <x:c r="K571" t="n">
        <x:f>SUM(E571:J571)</x:f>
        <x:v>1</x:v>
      </x:c>
      <x:c r="L571" s="163" t="n">
        <x:f>IFERROR(K571/D571,0)</x:f>
        <x:v>0.031983624384315235</x:v>
      </x:c>
      <x:c r="M571" s="160" t="str">
        <x:v>Presence-floor proxy only — 10k+ municipality completion</x:v>
      </x:c>
      <x:c r="N571"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571" s="160" t="str">
        <x:v>Ulster County</x:v>
      </x:c>
    </x:row>
    <x:row r="572">
      <x:c r="A572" t="n">
        <x:v>591</x:v>
      </x:c>
      <x:c r="B572" t="str">
        <x:v>Westminster</x:v>
      </x:c>
      <x:c r="C572" t="str">
        <x:v>CO</x:v>
      </x:c>
      <x:c r="D572" s="161" t="n">
        <x:v>31.6</x:v>
      </x:c>
      <x:c r="E572" t="n">
        <x:v>0</x:v>
      </x:c>
      <x:c r="F572" t="n">
        <x:v>0</x:v>
      </x:c>
      <x:c r="G572" t="n">
        <x:v>0</x:v>
      </x:c>
      <x:c r="H572" t="n">
        <x:v>0</x:v>
      </x:c>
      <x:c r="I572" t="n">
        <x:v>0</x:v>
      </x:c>
      <x:c r="J572" t="n">
        <x:v>1</x:v>
      </x:c>
      <x:c r="K572" t="n">
        <x:f>SUM(E572:J572)</x:f>
        <x:v>1</x:v>
      </x:c>
      <x:c r="L572" s="163" t="n">
        <x:f>IFERROR(K572/D572,0)</x:f>
        <x:v>0.03164556962025316</x:v>
      </x:c>
      <x:c r="M572" s="160" t="str">
        <x:v>Presence-floor proxy only — 300-city expansion</x:v>
      </x:c>
      <x:c r="N572" s="160" t="str">
        <x:v>Added in the 300-city screening expansion. One-store screening floor only; exact selected-chain count and 5-mile buffer require GIS verification.</x:v>
      </x:c>
      <x:c r="O572" s="160" t="str">
        <x:v>Adams County</x:v>
      </x:c>
    </x:row>
    <x:row r="573">
      <x:c r="A573" t="n">
        <x:v>592</x:v>
      </x:c>
      <x:c r="B573" t="str">
        <x:v>Perris</x:v>
      </x:c>
      <x:c r="C573" t="str">
        <x:v>CA</x:v>
      </x:c>
      <x:c r="D573" s="161" t="n">
        <x:v>31.601</x:v>
      </x:c>
      <x:c r="E573" t="n">
        <x:v>0</x:v>
      </x:c>
      <x:c r="F573" t="n">
        <x:v>0</x:v>
      </x:c>
      <x:c r="G573" t="n">
        <x:v>0</x:v>
      </x:c>
      <x:c r="H573" t="n">
        <x:v>0</x:v>
      </x:c>
      <x:c r="I573" t="n">
        <x:v>0</x:v>
      </x:c>
      <x:c r="J573" t="n">
        <x:v>1</x:v>
      </x:c>
      <x:c r="K573" t="n">
        <x:f>SUM(E573:J573)</x:f>
        <x:v>1</x:v>
      </x:c>
      <x:c r="L573" s="163" t="n">
        <x:f>IFERROR(K573/D573,0)</x:f>
        <x:v>0.031644568209866775</x:v>
      </x:c>
      <x:c r="M573" s="160" t="str">
        <x:v>Presence-floor proxy only — 50k+ county completion</x:v>
      </x:c>
      <x:c r="N573"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73" s="160" t="str">
        <x:v>Riverside County</x:v>
      </x:c>
    </x:row>
    <x:row r="574">
      <x:c r="A574" t="n">
        <x:v>593</x:v>
      </x:c>
      <x:c r="B574" t="str">
        <x:v>Southeast town</x:v>
      </x:c>
      <x:c r="C574" t="str">
        <x:v>NY</x:v>
      </x:c>
      <x:c r="D574" s="161" t="n">
        <x:v>31.72</x:v>
      </x:c>
      <x:c r="E574" t="n">
        <x:v>0</x:v>
      </x:c>
      <x:c r="F574" t="n">
        <x:v>0</x:v>
      </x:c>
      <x:c r="G574" t="n">
        <x:v>0</x:v>
      </x:c>
      <x:c r="H574" t="n">
        <x:v>0</x:v>
      </x:c>
      <x:c r="I574" t="n">
        <x:v>0</x:v>
      </x:c>
      <x:c r="J574" t="n">
        <x:v>1</x:v>
      </x:c>
      <x:c r="K574" t="n">
        <x:f>SUM(E574:J574)</x:f>
        <x:v>1</x:v>
      </x:c>
      <x:c r="L574" s="163" t="n">
        <x:f>IFERROR(K574/D574,0)</x:f>
        <x:v>0.031525851197982346</x:v>
      </x:c>
      <x:c r="M574" s="160" t="str">
        <x:v>Presence-floor proxy only — 10k+ municipality completion</x:v>
      </x:c>
      <x:c r="N574" s="160" t="str">
        <x:v>Added under the 2026-09-15 &gt;=50k-county expansion rule: Census Vintage 2025 municipality population &gt;=10,000; general-purpose city-equivalent municipality; direct Census adjacency. Presence-floor proxy only — exact tracked-chain count requires municipal-boundary/GIS verification. Philipstown is excluded because its latest available estimate remains below 10,000.</x:v>
      </x:c>
      <x:c r="O574" s="160" t="str">
        <x:v>Putnam County</x:v>
      </x:c>
    </x:row>
    <x:row r="575">
      <x:c r="A575" t="n">
        <x:v>594</x:v>
      </x:c>
      <x:c r="B575" t="str">
        <x:v>Blackman Charter Township</x:v>
      </x:c>
      <x:c r="C575" t="str">
        <x:v>MI</x:v>
      </x:c>
      <x:c r="D575" s="161" t="n">
        <x:v>31.727</x:v>
      </x:c>
      <x:c r="E575" t="n">
        <x:v>0</x:v>
      </x:c>
      <x:c r="F575" t="n">
        <x:v>0</x:v>
      </x:c>
      <x:c r="G575" t="n">
        <x:v>0</x:v>
      </x:c>
      <x:c r="H575" t="n">
        <x:v>0</x:v>
      </x:c>
      <x:c r="I575" t="n">
        <x:v>0</x:v>
      </x:c>
      <x:c r="J575" t="n">
        <x:v>1</x:v>
      </x:c>
      <x:c r="K575" t="n">
        <x:f>SUM(E575:J575)</x:f>
        <x:v>1</x:v>
      </x:c>
      <x:c r="L575" s="163" t="n">
        <x:f>IFERROR(K575/D575,0)</x:f>
        <x:v>0.03151889557789895</x:v>
      </x:c>
      <x:c r="M575" s="160" t="str">
        <x:v>Presence-floor proxy only — 10k+ municipality completion</x:v>
      </x:c>
      <x:c r="N575" s="160" t="str">
        <x:v>Added under the &gt;=50k-county expansion rule: Census Vintage 2025 municipality population &gt;=10,000; general-purpose city-equivalent municipality; direct Census adjacency. Presence-floor proxy only — exact tracked-chain count requires municipal-boundary/GIS verification. Prime Cuts and Jackson local-food markets provide specialty-grocery evidence but are not among the five tracked proxy chains.</x:v>
      </x:c>
      <x:c r="O575" s="160" t="str">
        <x:v>Jackson County</x:v>
      </x:c>
    </x:row>
    <x:row r="576">
      <x:c r="A576" t="n">
        <x:v>595</x:v>
      </x:c>
      <x:c r="B576" t="str">
        <x:v>Bridgewater Township</x:v>
      </x:c>
      <x:c r="C576" t="str">
        <x:v>NJ</x:v>
      </x:c>
      <x:c r="D576" s="161" t="n">
        <x:v>31.893</x:v>
      </x:c>
      <x:c r="E576" t="n">
        <x:v>0</x:v>
      </x:c>
      <x:c r="F576" t="n">
        <x:v>0</x:v>
      </x:c>
      <x:c r="G576" t="n">
        <x:v>0</x:v>
      </x:c>
      <x:c r="H576" t="n">
        <x:v>0</x:v>
      </x:c>
      <x:c r="I576" t="n">
        <x:v>0</x:v>
      </x:c>
      <x:c r="J576" t="n">
        <x:v>1</x:v>
      </x:c>
      <x:c r="K576" t="n">
        <x:f>SUM(E576:J576)</x:f>
        <x:v>1</x:v>
      </x:c>
      <x:c r="L576" s="163" t="n">
        <x:f>IFERROR(K576/D576,0)</x:f>
        <x:v>0.03135484275546358</x:v>
      </x:c>
      <x:c r="M576" s="160" t="str">
        <x:v>Presence-floor proxy only — 10k+ municipality completion</x:v>
      </x:c>
      <x:c r="N57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576" s="160" t="str">
        <x:v>Somerset County</x:v>
      </x:c>
    </x:row>
    <x:row r="577">
      <x:c r="A577" t="n">
        <x:v>596</x:v>
      </x:c>
      <x:c r="B577" t="str">
        <x:v>Springfield</x:v>
      </x:c>
      <x:c r="C577" t="str">
        <x:v>MA</x:v>
      </x:c>
      <x:c r="D577" s="161" t="n">
        <x:v>31.9</x:v>
      </x:c>
      <x:c r="E577" t="n">
        <x:v>0</x:v>
      </x:c>
      <x:c r="F577" t="n">
        <x:v>0</x:v>
      </x:c>
      <x:c r="G577" t="n">
        <x:v>0</x:v>
      </x:c>
      <x:c r="H577" t="n">
        <x:v>0</x:v>
      </x:c>
      <x:c r="I577" t="n">
        <x:v>0</x:v>
      </x:c>
      <x:c r="J577" t="n">
        <x:v>1</x:v>
      </x:c>
      <x:c r="K577" t="n">
        <x:f>SUM(E577:J577)</x:f>
        <x:v>1</x:v>
      </x:c>
      <x:c r="L577" s="163" t="n">
        <x:f>IFERROR(K577/D577,0)</x:f>
        <x:v>0.031347962382445145</x:v>
      </x:c>
      <x:c r="M577" s="160" t="str">
        <x:v>Presence-floor proxy only — 200-city expansion</x:v>
      </x:c>
      <x:c r="N577" s="160" t="str">
        <x:v>Added in the 200-city screening expansion. One-store screening floor only; exact selected-chain count and 5-mile buffer require GIS verification.</x:v>
      </x:c>
      <x:c r="O577" s="160" t="str">
        <x:v>Hampden County</x:v>
      </x:c>
    </x:row>
    <x:row r="578">
      <x:c r="A578" t="n">
        <x:v>597</x:v>
      </x:c>
      <x:c r="B578" t="str">
        <x:v>Rostraver Township</x:v>
      </x:c>
      <x:c r="C578" t="str">
        <x:v>PA</x:v>
      </x:c>
      <x:c r="D578" s="161" t="n">
        <x:v>32.117</x:v>
      </x:c>
      <x:c r="E578" t="n">
        <x:v>0</x:v>
      </x:c>
      <x:c r="F578" t="n">
        <x:v>0</x:v>
      </x:c>
      <x:c r="G578" t="n">
        <x:v>0</x:v>
      </x:c>
      <x:c r="H578" t="n">
        <x:v>0</x:v>
      </x:c>
      <x:c r="I578" t="n">
        <x:v>0</x:v>
      </x:c>
      <x:c r="J578" t="n">
        <x:v>1</x:v>
      </x:c>
      <x:c r="K578" t="n">
        <x:f>SUM(E578:J578)</x:f>
        <x:v>1</x:v>
      </x:c>
      <x:c r="L578" s="163" t="n">
        <x:f>IFERROR(K578/D578,0)</x:f>
        <x:v>0.031136158420774048</x:v>
      </x:c>
      <x:c r="M578" s="160" t="str">
        <x:v>Presence-floor proxy only — 10k+ municipality completion</x:v>
      </x:c>
      <x:c r="N578"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578" s="160" t="str">
        <x:v>Westmoreland County</x:v>
      </x:c>
    </x:row>
    <x:row r="579">
      <x:c r="A579" t="n">
        <x:v>598</x:v>
      </x:c>
      <x:c r="B579" t="str">
        <x:v>Patterson town</x:v>
      </x:c>
      <x:c r="C579" t="str">
        <x:v>NY</x:v>
      </x:c>
      <x:c r="D579" s="161" t="n">
        <x:v>32.208</x:v>
      </x:c>
      <x:c r="E579" t="n">
        <x:v>0</x:v>
      </x:c>
      <x:c r="F579" t="n">
        <x:v>0</x:v>
      </x:c>
      <x:c r="G579" t="n">
        <x:v>0</x:v>
      </x:c>
      <x:c r="H579" t="n">
        <x:v>0</x:v>
      </x:c>
      <x:c r="I579" t="n">
        <x:v>0</x:v>
      </x:c>
      <x:c r="J579" t="n">
        <x:v>1</x:v>
      </x:c>
      <x:c r="K579" t="n">
        <x:f>SUM(E579:J579)</x:f>
        <x:v>1</x:v>
      </x:c>
      <x:c r="L579" s="163" t="n">
        <x:f>IFERROR(K579/D579,0)</x:f>
        <x:v>0.031048186785891704</x:v>
      </x:c>
      <x:c r="M579" s="160" t="str">
        <x:v>Presence-floor proxy only — 10k+ municipality completion</x:v>
      </x:c>
      <x:c r="N579" s="160" t="str">
        <x:v>Added under the 2026-09-15 &gt;=50k-county expansion rule: Census Vintage 2025 municipality population &gt;=10,000; general-purpose city-equivalent municipality; direct Census adjacency. Presence-floor proxy only — exact tracked-chain count requires municipal-boundary/GIS verification. Philipstown is excluded because its latest available estimate remains below 10,000.</x:v>
      </x:c>
      <x:c r="O579" s="160" t="str">
        <x:v>Putnam County</x:v>
      </x:c>
    </x:row>
    <x:row r="580">
      <x:c r="A580" t="n">
        <x:v>599</x:v>
      </x:c>
      <x:c r="B580" t="str">
        <x:v>Hamburg Township</x:v>
      </x:c>
      <x:c r="C580" t="str">
        <x:v>MI</x:v>
      </x:c>
      <x:c r="D580" s="161" t="n">
        <x:v>32.243</x:v>
      </x:c>
      <x:c r="E580" t="n">
        <x:v>0</x:v>
      </x:c>
      <x:c r="F580" t="n">
        <x:v>0</x:v>
      </x:c>
      <x:c r="G580" t="n">
        <x:v>0</x:v>
      </x:c>
      <x:c r="H580" t="n">
        <x:v>0</x:v>
      </x:c>
      <x:c r="I580" t="n">
        <x:v>0</x:v>
      </x:c>
      <x:c r="J580" t="n">
        <x:v>1</x:v>
      </x:c>
      <x:c r="K580" t="n">
        <x:f>SUM(E580:J580)</x:f>
        <x:v>1</x:v>
      </x:c>
      <x:c r="L580" s="163" t="n">
        <x:f>IFERROR(K580/D580,0)</x:f>
        <x:v>0.031014483763917747</x:v>
      </x:c>
      <x:c r="M580" s="160" t="str">
        <x:v>Presence-floor proxy only — 10k+ municipality completion</x:v>
      </x:c>
      <x:c r="N580"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580" s="160" t="str">
        <x:v>Livingston County</x:v>
      </x:c>
    </x:row>
    <x:row r="581">
      <x:c r="A581" t="n">
        <x:v>600</x:v>
      </x:c>
      <x:c r="B581" t="str">
        <x:v>West Jordan</x:v>
      </x:c>
      <x:c r="C581" t="str">
        <x:v>UT</x:v>
      </x:c>
      <x:c r="D581" s="161" t="n">
        <x:v>32.3</x:v>
      </x:c>
      <x:c r="E581" t="n">
        <x:v>0</x:v>
      </x:c>
      <x:c r="F581" t="n">
        <x:v>0</x:v>
      </x:c>
      <x:c r="G581" t="n">
        <x:v>0</x:v>
      </x:c>
      <x:c r="H581" t="n">
        <x:v>0</x:v>
      </x:c>
      <x:c r="I581" t="n">
        <x:v>0</x:v>
      </x:c>
      <x:c r="J581" t="n">
        <x:v>1</x:v>
      </x:c>
      <x:c r="K581" t="n">
        <x:f>SUM(E581:J581)</x:f>
        <x:v>1</x:v>
      </x:c>
      <x:c r="L581" s="163" t="n">
        <x:f>IFERROR(K581/D581,0)</x:f>
        <x:v>0.030959752321981428</x:v>
      </x:c>
      <x:c r="M581" s="160" t="str">
        <x:v>Presence-floor proxy only — 300-city expansion</x:v>
      </x:c>
      <x:c r="N581" s="160" t="str">
        <x:v>Added in the 300-city screening expansion. One-store screening floor only; exact selected-chain count and 5-mile buffer require GIS verification.</x:v>
      </x:c>
      <x:c r="O581" s="160" t="str">
        <x:v>Salt Lake County</x:v>
      </x:c>
    </x:row>
    <x:row r="582">
      <x:c r="A582" t="n">
        <x:v>601</x:v>
      </x:c>
      <x:c r="B582" t="str">
        <x:v>Montgomery Township</x:v>
      </x:c>
      <x:c r="C582" t="str">
        <x:v>NJ</x:v>
      </x:c>
      <x:c r="D582" s="161" t="n">
        <x:v>32.301</x:v>
      </x:c>
      <x:c r="E582" t="n">
        <x:v>0</x:v>
      </x:c>
      <x:c r="F582" t="n">
        <x:v>0</x:v>
      </x:c>
      <x:c r="G582" t="n">
        <x:v>0</x:v>
      </x:c>
      <x:c r="H582" t="n">
        <x:v>0</x:v>
      </x:c>
      <x:c r="I582" t="n">
        <x:v>0</x:v>
      </x:c>
      <x:c r="J582" t="n">
        <x:v>1</x:v>
      </x:c>
      <x:c r="K582" t="n">
        <x:f>SUM(E582:J582)</x:f>
        <x:v>1</x:v>
      </x:c>
      <x:c r="L582" s="163" t="n">
        <x:f>IFERROR(K582/D582,0)</x:f>
        <x:v>0.030958793845391783</x:v>
      </x:c>
      <x:c r="M582" s="160" t="str">
        <x:v>Presence-floor proxy only — 10k+ municipality completion</x:v>
      </x:c>
      <x:c r="N58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582" s="160" t="str">
        <x:v>Somerset County</x:v>
      </x:c>
    </x:row>
    <x:row r="583">
      <x:c r="A583" t="n">
        <x:v>602</x:v>
      </x:c>
      <x:c r="B583" t="str">
        <x:v>Silver Spring Township</x:v>
      </x:c>
      <x:c r="C583" t="str">
        <x:v>PA</x:v>
      </x:c>
      <x:c r="D583" s="161" t="n">
        <x:v>32.314</x:v>
      </x:c>
      <x:c r="E583" t="n">
        <x:v>0</x:v>
      </x:c>
      <x:c r="F583" t="n">
        <x:v>0</x:v>
      </x:c>
      <x:c r="G583" t="n">
        <x:v>0</x:v>
      </x:c>
      <x:c r="H583" t="n">
        <x:v>0</x:v>
      </x:c>
      <x:c r="I583" t="n">
        <x:v>0</x:v>
      </x:c>
      <x:c r="J583" t="n">
        <x:v>1</x:v>
      </x:c>
      <x:c r="K583" t="n">
        <x:f>SUM(E583:J583)</x:f>
        <x:v>1</x:v>
      </x:c>
      <x:c r="L583" s="163" t="n">
        <x:f>IFERROR(K583/D583,0)</x:f>
        <x:v>0.03094633904809061</x:v>
      </x:c>
      <x:c r="M583" s="160" t="str">
        <x:v>Presence-floor proxy only — 10k+ municipality completion</x:v>
      </x:c>
      <x:c r="N583"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583" s="160" t="str">
        <x:v>Cumberland County</x:v>
      </x:c>
    </x:row>
    <x:row r="584">
      <x:c r="A584" t="n">
        <x:v>604</x:v>
      </x:c>
      <x:c r="B584" t="str">
        <x:v>Kyle</x:v>
      </x:c>
      <x:c r="C584" t="str">
        <x:v>TX</x:v>
      </x:c>
      <x:c r="D584" s="161" t="n">
        <x:v>32.426</x:v>
      </x:c>
      <x:c r="E584" t="n">
        <x:v>0</x:v>
      </x:c>
      <x:c r="F584" t="n">
        <x:v>1</x:v>
      </x:c>
      <x:c r="G584" t="n">
        <x:v>0</x:v>
      </x:c>
      <x:c r="H584" t="n">
        <x:v>0</x:v>
      </x:c>
      <x:c r="I584" t="n">
        <x:v>0</x:v>
      </x:c>
      <x:c r="J584" t="n">
        <x:v>0</x:v>
      </x:c>
      <x:c r="K584" t="n">
        <x:f>SUM(E584:J584)</x:f>
        <x:v>1</x:v>
      </x:c>
      <x:c r="L584" s="163" t="n">
        <x:f>IFERROR(K584/D584,0)</x:f>
        <x:v>0.030839449824215135</x:v>
      </x:c>
      <x:c r="M584" s="160" t="str">
        <x:v>Confirmed lower bound — adjacent county expansion</x:v>
      </x:c>
      <x:c r="N584" s="160" t="str">
        <x:v>Added in adjacent-county expansion; Census Vintage 2025 population ≥50,000. Sprouts store presence verified from official locator; exact all-chain 5-mile count requires GIS verification.</x:v>
      </x:c>
      <x:c r="O584" s="160" t="str">
        <x:v>Hays County</x:v>
      </x:c>
    </x:row>
    <x:row r="585">
      <x:c r="A585" t="n">
        <x:v>606</x:v>
      </x:c>
      <x:c r="B585" t="str">
        <x:v>Halfmoon town</x:v>
      </x:c>
      <x:c r="C585" t="str">
        <x:v>NY</x:v>
      </x:c>
      <x:c r="D585" s="161" t="n">
        <x:v>32.582</x:v>
      </x:c>
      <x:c r="E585" t="n">
        <x:v>0</x:v>
      </x:c>
      <x:c r="F585" t="n">
        <x:v>0</x:v>
      </x:c>
      <x:c r="G585" t="n">
        <x:v>0</x:v>
      </x:c>
      <x:c r="H585" t="n">
        <x:v>0</x:v>
      </x:c>
      <x:c r="I585" t="n">
        <x:v>0</x:v>
      </x:c>
      <x:c r="J585" t="n">
        <x:v>1</x:v>
      </x:c>
      <x:c r="K585" t="n">
        <x:f>SUM(E585:J585)</x:f>
        <x:v>1</x:v>
      </x:c>
      <x:c r="L585" s="163" t="n">
        <x:f>IFERROR(K585/D585,0)</x:f>
        <x:v>0.03069179301454791</x:v>
      </x:c>
      <x:c r="M585" s="160" t="str">
        <x:v>Presence-floor proxy only — 10k+ municipality completion</x:v>
      </x:c>
      <x:c r="N585"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585" s="160" t="str">
        <x:v>Saratoga County</x:v>
      </x:c>
    </x:row>
    <x:row r="586">
      <x:c r="A586" t="n">
        <x:v>607</x:v>
      </x:c>
      <x:c r="B586" t="str">
        <x:v>Pembroke Pines</x:v>
      </x:c>
      <x:c r="C586" t="str">
        <x:v>FL</x:v>
      </x:c>
      <x:c r="D586" s="161" t="n">
        <x:v>32.7</x:v>
      </x:c>
      <x:c r="E586" t="n">
        <x:v>0</x:v>
      </x:c>
      <x:c r="F586" t="n">
        <x:v>0</x:v>
      </x:c>
      <x:c r="G586" t="n">
        <x:v>0</x:v>
      </x:c>
      <x:c r="H586" t="n">
        <x:v>0</x:v>
      </x:c>
      <x:c r="I586" t="n">
        <x:v>0</x:v>
      </x:c>
      <x:c r="J586" t="n">
        <x:v>1</x:v>
      </x:c>
      <x:c r="K586" t="n">
        <x:f>SUM(E586:J586)</x:f>
        <x:v>1</x:v>
      </x:c>
      <x:c r="L586" s="163" t="n">
        <x:f>IFERROR(K586/D586,0)</x:f>
        <x:v>0.030581039755351678</x:v>
      </x:c>
      <x:c r="M586" s="160" t="str">
        <x:v>Presence-floor proxy only — 200-city expansion</x:v>
      </x:c>
      <x:c r="N586" s="160" t="str">
        <x:v>Added in the 200-city screening expansion. One-store screening floor only; exact selected-chain count and 5-mile buffer require GIS verification.</x:v>
      </x:c>
      <x:c r="O586" s="160" t="str">
        <x:v>Broward County</x:v>
      </x:c>
    </x:row>
    <x:row r="587">
      <x:c r="A587" t="n">
        <x:v>608</x:v>
      </x:c>
      <x:c r="B587" t="str">
        <x:v>Miami Township</x:v>
      </x:c>
      <x:c r="C587" t="str">
        <x:v>OH</x:v>
      </x:c>
      <x:c r="D587" s="161" t="n">
        <x:v>32.779</x:v>
      </x:c>
      <x:c r="E587" t="n">
        <x:v>0</x:v>
      </x:c>
      <x:c r="F587" t="n">
        <x:v>0</x:v>
      </x:c>
      <x:c r="G587" t="n">
        <x:v>0</x:v>
      </x:c>
      <x:c r="H587" t="n">
        <x:v>0</x:v>
      </x:c>
      <x:c r="I587" t="n">
        <x:v>0</x:v>
      </x:c>
      <x:c r="J587" t="n">
        <x:v>1</x:v>
      </x:c>
      <x:c r="K587" t="n">
        <x:f>SUM(E587:J587)</x:f>
        <x:v>1</x:v>
      </x:c>
      <x:c r="L587" s="163" t="n">
        <x:f>IFERROR(K587/D587,0)</x:f>
        <x:v>0.030507337014551997</x:v>
      </x:c>
      <x:c r="M587" s="160" t="str">
        <x:v>Presence-floor proxy only — 10k+ municipality completion</x:v>
      </x:c>
      <x:c r="N587" s="160" t="str">
        <x:v>Added under the &gt;=50k-county expansion rule: Census Vintage 2025 municipality population &gt;=10,000; general-purpose city-equivalent municipality; direct Census adjacency. Presence-floor proxy only — exact tracked-chain count requires municipal-boundary/GIS verification. Jungle Jim's Eastgate provides strong county specialty-grocery evidence but is not one of the five tracked proxy chains.</x:v>
      </x:c>
      <x:c r="O587" s="160" t="str">
        <x:v>Clermont County</x:v>
      </x:c>
    </x:row>
    <x:row r="588">
      <x:c r="A588" t="n">
        <x:v>609</x:v>
      </x:c>
      <x:c r="B588" t="str">
        <x:v>Liberty Township</x:v>
      </x:c>
      <x:c r="C588" t="str">
        <x:v>OH</x:v>
      </x:c>
      <x:c r="D588" s="161" t="n">
        <x:v>32.782</x:v>
      </x:c>
      <x:c r="E588" t="n">
        <x:v>0</x:v>
      </x:c>
      <x:c r="F588" t="n">
        <x:v>0</x:v>
      </x:c>
      <x:c r="G588" t="n">
        <x:v>0</x:v>
      </x:c>
      <x:c r="H588" t="n">
        <x:v>0</x:v>
      </x:c>
      <x:c r="I588" t="n">
        <x:v>0</x:v>
      </x:c>
      <x:c r="J588" t="n">
        <x:v>1</x:v>
      </x:c>
      <x:c r="K588" t="n">
        <x:f>SUM(E588:J588)</x:f>
        <x:v>1</x:v>
      </x:c>
      <x:c r="L588" s="163" t="n">
        <x:f>IFERROR(K588/D588,0)</x:f>
        <x:v>0.03050454517723141</x:v>
      </x:c>
      <x:c r="M588" s="160" t="str">
        <x:v>Presence-floor proxy only — 10k+ municipality completion</x:v>
      </x:c>
      <x:c r="N588" s="160" t="str">
        <x:v>Added under the &gt;=50k-county expansion rule: Census Vintage 2025 municipality population &gt;=10,000; general-purpose city-equivalent municipality; direct Census adjacency. Presence-floor proxy only — exact tracked-chain count requires municipal-boundary/GIS verification.</x:v>
      </x:c>
      <x:c r="O588" s="160" t="str">
        <x:v>Delaware County</x:v>
      </x:c>
    </x:row>
    <x:row r="589">
      <x:c r="A589" t="n">
        <x:v>610</x:v>
      </x:c>
      <x:c r="B589" t="str">
        <x:v>Rochester Hills</x:v>
      </x:c>
      <x:c r="C589" t="str">
        <x:v>MI</x:v>
      </x:c>
      <x:c r="D589" s="161" t="n">
        <x:v>32.8</x:v>
      </x:c>
      <x:c r="E589" t="n">
        <x:v>1</x:v>
      </x:c>
      <x:c r="F589" t="n">
        <x:v>0</x:v>
      </x:c>
      <x:c r="G589" t="n">
        <x:v>0</x:v>
      </x:c>
      <x:c r="H589" t="n">
        <x:v>0</x:v>
      </x:c>
      <x:c r="I589" t="n">
        <x:v>0</x:v>
      </x:c>
      <x:c r="J589" t="n">
        <x:v>0</x:v>
      </x:c>
      <x:c r="K589" t="n">
        <x:f>SUM(E589:J589)</x:f>
        <x:v>1</x:v>
      </x:c>
      <x:c r="L589" s="163" t="n">
        <x:f>IFERROR(K589/D589,0)</x:f>
        <x:v>0.030487804878048783</x:v>
      </x:c>
      <x:c r="M589" s="160" t="str">
        <x:v>Confirmed lower bound — restricted-state adjacency expansion</x:v>
      </x:c>
      <x:c r="N589" s="160" t="str">
        <x:v>Census V2025 population 77,539. Whole Foods Market Rochester Hills directly verified; Census land area used.</x:v>
      </x:c>
      <x:c r="O589" s="160" t="str">
        <x:v>Oakland County</x:v>
      </x:c>
    </x:row>
    <x:row r="590">
      <x:c r="A590" t="n">
        <x:v>612</x:v>
      </x:c>
      <x:c r="B590" t="str">
        <x:v>Franklin Township</x:v>
      </x:c>
      <x:c r="C590" t="str">
        <x:v>OH</x:v>
      </x:c>
      <x:c r="D590" s="161" t="n">
        <x:v>32.875</x:v>
      </x:c>
      <x:c r="E590" t="n">
        <x:v>0</x:v>
      </x:c>
      <x:c r="F590" t="n">
        <x:v>0</x:v>
      </x:c>
      <x:c r="G590" t="n">
        <x:v>0</x:v>
      </x:c>
      <x:c r="H590" t="n">
        <x:v>0</x:v>
      </x:c>
      <x:c r="I590" t="n">
        <x:v>0</x:v>
      </x:c>
      <x:c r="J590" t="n">
        <x:v>1</x:v>
      </x:c>
      <x:c r="K590" t="n">
        <x:f>SUM(E590:J590)</x:f>
        <x:v>1</x:v>
      </x:c>
      <x:c r="L590" s="163" t="n">
        <x:f>IFERROR(K590/D590,0)</x:f>
        <x:v>0.030418250950570342</x:v>
      </x:c>
      <x:c r="M590" s="160" t="str">
        <x:v>Presence-floor proxy only — 10k+ municipality completion</x:v>
      </x:c>
      <x:c r="N590" s="160" t="str">
        <x:v>Added under the &gt;=50k-county expansion rule: Census Vintage 2025 municipality population &gt;=10,000; general-purpose city-equivalent municipality; direct Census adjacency. Presence-floor proxy only — exact tracked-chain count requires municipal-boundary/GIS verification.</x:v>
      </x:c>
      <x:c r="O590" s="160" t="str">
        <x:v>Warren County</x:v>
      </x:c>
    </x:row>
    <x:row r="591">
      <x:c r="A591" t="n">
        <x:v>613</x:v>
      </x:c>
      <x:c r="B591" t="str">
        <x:v>Buckingham Township</x:v>
      </x:c>
      <x:c r="C591" t="str">
        <x:v>PA</x:v>
      </x:c>
      <x:c r="D591" s="161" t="n">
        <x:v>32.882</x:v>
      </x:c>
      <x:c r="E591" t="n">
        <x:v>0</x:v>
      </x:c>
      <x:c r="F591" t="n">
        <x:v>0</x:v>
      </x:c>
      <x:c r="G591" t="n">
        <x:v>0</x:v>
      </x:c>
      <x:c r="H591" t="n">
        <x:v>0</x:v>
      </x:c>
      <x:c r="I591" t="n">
        <x:v>0</x:v>
      </x:c>
      <x:c r="J591" t="n">
        <x:v>1</x:v>
      </x:c>
      <x:c r="K591" t="n">
        <x:f>SUM(E591:J591)</x:f>
        <x:v>1</x:v>
      </x:c>
      <x:c r="L591" s="163" t="n">
        <x:f>IFERROR(K591/D591,0)</x:f>
        <x:v>0.030411775439450155</x:v>
      </x:c>
      <x:c r="M591" s="160" t="str">
        <x:v>Presence-floor proxy only — 10k+ municipality completion</x:v>
      </x:c>
      <x:c r="N59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591" s="160" t="str">
        <x:v>Bucks County</x:v>
      </x:c>
    </x:row>
    <x:row r="592">
      <x:c r="A592" t="n">
        <x:v>614</x:v>
      </x:c>
      <x:c r="B592" t="str">
        <x:v>Brighton Township</x:v>
      </x:c>
      <x:c r="C592" t="str">
        <x:v>MI</x:v>
      </x:c>
      <x:c r="D592" s="161" t="n">
        <x:v>32.974</x:v>
      </x:c>
      <x:c r="E592" t="n">
        <x:v>0</x:v>
      </x:c>
      <x:c r="F592" t="n">
        <x:v>0</x:v>
      </x:c>
      <x:c r="G592" t="n">
        <x:v>0</x:v>
      </x:c>
      <x:c r="H592" t="n">
        <x:v>0</x:v>
      </x:c>
      <x:c r="I592" t="n">
        <x:v>0</x:v>
      </x:c>
      <x:c r="J592" t="n">
        <x:v>1</x:v>
      </x:c>
      <x:c r="K592" t="n">
        <x:f>SUM(E592:J592)</x:f>
        <x:v>1</x:v>
      </x:c>
      <x:c r="L592" s="163" t="n">
        <x:f>IFERROR(K592/D592,0)</x:f>
        <x:v>0.030326924243343243</x:v>
      </x:c>
      <x:c r="M592" s="160" t="str">
        <x:v>Presence-floor proxy only — 10k+ municipality completion</x:v>
      </x:c>
      <x:c r="N592"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592" s="160" t="str">
        <x:v>Livingston County</x:v>
      </x:c>
    </x:row>
    <x:row r="593">
      <x:c r="A593" t="n">
        <x:v>615</x:v>
      </x:c>
      <x:c r="B593" t="str">
        <x:v>Haverhill</x:v>
      </x:c>
      <x:c r="C593" t="str">
        <x:v>MA</x:v>
      </x:c>
      <x:c r="D593" s="161" t="n">
        <x:v>33.04</x:v>
      </x:c>
      <x:c r="E593" t="n">
        <x:v>0</x:v>
      </x:c>
      <x:c r="F593" t="n">
        <x:v>0</x:v>
      </x:c>
      <x:c r="G593" t="n">
        <x:v>0</x:v>
      </x:c>
      <x:c r="H593" t="n">
        <x:v>0</x:v>
      </x:c>
      <x:c r="I593" t="n">
        <x:v>0</x:v>
      </x:c>
      <x:c r="J593" t="n">
        <x:v>1</x:v>
      </x:c>
      <x:c r="K593" t="n">
        <x:f>SUM(E593:J593)</x:f>
        <x:v>1</x:v>
      </x:c>
      <x:c r="L593" s="163" t="n">
        <x:f>IFERROR(K593/D593,0)</x:f>
        <x:v>0.03026634382566586</x:v>
      </x:c>
      <x:c r="M593" s="160" t="str">
        <x:v>Presence-floor proxy only — restricted-state adjacency expansion</x:v>
      </x:c>
      <x:c r="N593" s="160" t="str">
        <x:v>Census V2025 population 68,361. Added to complete ≥50,000 city coverage in Essex County; one-store screening floor.</x:v>
      </x:c>
      <x:c r="O593" s="160" t="str">
        <x:v>Essex County</x:v>
      </x:c>
    </x:row>
    <x:row r="594">
      <x:c r="A594" t="n">
        <x:v>616</x:v>
      </x:c>
      <x:c r="B594" t="str">
        <x:v>Manchester</x:v>
      </x:c>
      <x:c r="C594" t="str">
        <x:v>NH</x:v>
      </x:c>
      <x:c r="D594" s="161" t="n">
        <x:v>33.1</x:v>
      </x:c>
      <x:c r="E594" t="n">
        <x:v>0</x:v>
      </x:c>
      <x:c r="F594" t="n">
        <x:v>0</x:v>
      </x:c>
      <x:c r="G594" t="n">
        <x:v>0</x:v>
      </x:c>
      <x:c r="H594" t="n">
        <x:v>0</x:v>
      </x:c>
      <x:c r="I594" t="n">
        <x:v>0</x:v>
      </x:c>
      <x:c r="J594" t="n">
        <x:v>1</x:v>
      </x:c>
      <x:c r="K594" t="n">
        <x:f>SUM(E594:J594)</x:f>
        <x:v>1</x:v>
      </x:c>
      <x:c r="L594" s="163" t="n">
        <x:f>IFERROR(K594/D594,0)</x:f>
        <x:v>0.030211480362537763</x:v>
      </x:c>
      <x:c r="M594" s="160" t="str">
        <x:v>Presence-floor proxy only — 300-city expansion</x:v>
      </x:c>
      <x:c r="N594" s="160" t="str">
        <x:v>Added in the 300-city screening expansion. One-store screening floor only; exact selected-chain count and 5-mile buffer require GIS verification.</x:v>
      </x:c>
      <x:c r="O594" s="160" t="str">
        <x:v>Hillsborough County</x:v>
      </x:c>
    </x:row>
    <x:row r="595">
      <x:c r="A595" t="n">
        <x:v>617</x:v>
      </x:c>
      <x:c r="B595" t="str">
        <x:v>Fall River</x:v>
      </x:c>
      <x:c r="C595" t="str">
        <x:v>MA</x:v>
      </x:c>
      <x:c r="D595" s="161" t="n">
        <x:v>33.12</x:v>
      </x:c>
      <x:c r="E595" t="n">
        <x:v>0</x:v>
      </x:c>
      <x:c r="F595" t="n">
        <x:v>0</x:v>
      </x:c>
      <x:c r="G595" t="n">
        <x:v>0</x:v>
      </x:c>
      <x:c r="H595" t="n">
        <x:v>0</x:v>
      </x:c>
      <x:c r="I595" t="n">
        <x:v>0</x:v>
      </x:c>
      <x:c r="J595" t="n">
        <x:v>1</x:v>
      </x:c>
      <x:c r="K595" t="n">
        <x:f>SUM(E595:J595)</x:f>
        <x:v>1</x:v>
      </x:c>
      <x:c r="L595" s="163" t="n">
        <x:f>IFERROR(K595/D595,0)</x:f>
        <x:v>0.030193236714975848</x:v>
      </x:c>
      <x:c r="M595" s="160" t="str">
        <x:v>Presence-floor proxy only — restricted-state adjacency expansion</x:v>
      </x:c>
      <x:c r="N595" s="160" t="str">
        <x:v>Census V2025 population 95,298. Added for Bristol County completion; one-store screening floor pending production GIS verification.</x:v>
      </x:c>
      <x:c r="O595" s="160" t="str">
        <x:v>Bristol County</x:v>
      </x:c>
    </x:row>
    <x:row r="596">
      <x:c r="A596" t="n">
        <x:v>618</x:v>
      </x:c>
      <x:c r="B596" t="str">
        <x:v>Georgetown Charter Township</x:v>
      </x:c>
      <x:c r="C596" t="str">
        <x:v>MI</x:v>
      </x:c>
      <x:c r="D596" s="161" t="n">
        <x:v>33.163</x:v>
      </x:c>
      <x:c r="E596" t="n">
        <x:v>0</x:v>
      </x:c>
      <x:c r="F596" t="n">
        <x:v>0</x:v>
      </x:c>
      <x:c r="G596" t="n">
        <x:v>0</x:v>
      </x:c>
      <x:c r="H596" t="n">
        <x:v>0</x:v>
      </x:c>
      <x:c r="I596" t="n">
        <x:v>0</x:v>
      </x:c>
      <x:c r="J596" t="n">
        <x:v>1</x:v>
      </x:c>
      <x:c r="K596" t="n">
        <x:f>SUM(E596:J596)</x:f>
        <x:v>1</x:v>
      </x:c>
      <x:c r="L596" s="163" t="n">
        <x:f>IFERROR(K596/D596,0)</x:f>
        <x:v>0.03015408738654525</x:v>
      </x:c>
      <x:c r="M596" s="160" t="str">
        <x:v>Presence-floor proxy only — 10k+ municipality completion</x:v>
      </x:c>
      <x:c r="N596"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596" s="160" t="str">
        <x:v>Ottawa County</x:v>
      </x:c>
    </x:row>
    <x:row r="597">
      <x:c r="A597" t="n">
        <x:v>619</x:v>
      </x:c>
      <x:c r="B597" t="str">
        <x:v>Indio</x:v>
      </x:c>
      <x:c r="C597" t="str">
        <x:v>CA</x:v>
      </x:c>
      <x:c r="D597" s="161" t="n">
        <x:v>33.183</x:v>
      </x:c>
      <x:c r="E597" t="n">
        <x:v>0</x:v>
      </x:c>
      <x:c r="F597" t="n">
        <x:v>0</x:v>
      </x:c>
      <x:c r="G597" t="n">
        <x:v>0</x:v>
      </x:c>
      <x:c r="H597" t="n">
        <x:v>0</x:v>
      </x:c>
      <x:c r="I597" t="n">
        <x:v>0</x:v>
      </x:c>
      <x:c r="J597" t="n">
        <x:v>1</x:v>
      </x:c>
      <x:c r="K597" t="n">
        <x:f>SUM(E597:J597)</x:f>
        <x:v>1</x:v>
      </x:c>
      <x:c r="L597" s="163" t="n">
        <x:f>IFERROR(K597/D597,0)</x:f>
        <x:v>0.03013591296748335</x:v>
      </x:c>
      <x:c r="M597" s="160" t="str">
        <x:v>Presence-floor proxy only — 50k+ county completion</x:v>
      </x:c>
      <x:c r="N597"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597" s="160" t="str">
        <x:v>Riverside County</x:v>
      </x:c>
    </x:row>
    <x:row r="598">
      <x:c r="A598" t="n">
        <x:v>620</x:v>
      </x:c>
      <x:c r="B598" t="str">
        <x:v>Egelston Township</x:v>
      </x:c>
      <x:c r="C598" t="str">
        <x:v>MI</x:v>
      </x:c>
      <x:c r="D598" s="161" t="n">
        <x:v>33.193</x:v>
      </x:c>
      <x:c r="E598" t="n">
        <x:v>0</x:v>
      </x:c>
      <x:c r="F598" t="n">
        <x:v>0</x:v>
      </x:c>
      <x:c r="G598" t="n">
        <x:v>0</x:v>
      </x:c>
      <x:c r="H598" t="n">
        <x:v>0</x:v>
      </x:c>
      <x:c r="I598" t="n">
        <x:v>0</x:v>
      </x:c>
      <x:c r="J598" t="n">
        <x:v>1</x:v>
      </x:c>
      <x:c r="K598" t="n">
        <x:f>SUM(E598:J598)</x:f>
        <x:v>1</x:v>
      </x:c>
      <x:c r="L598" s="163" t="n">
        <x:f>IFERROR(K598/D598,0)</x:f>
        <x:v>0.030126833971017987</x:v>
      </x:c>
      <x:c r="M598" s="160" t="str">
        <x:v>Presence-floor proxy only — 10k+ municipality completion</x:v>
      </x:c>
      <x:c r="N598" s="160" t="str">
        <x:v>Added under the &gt;=50k-county expansion rule: Census Vintage 2025 municipality population &gt;=10,000; general-purpose city-equivalent municipality; direct Census adjacency. Presence-floor proxy only — exact tracked-chain count requires municipal-boundary/GIS verification. Sweetwater Local Foods Market provides county specialty-grocery evidence; Dalton Township is below 10,000 in V2025.</x:v>
      </x:c>
      <x:c r="O598" s="160" t="str">
        <x:v>Muskegon County</x:v>
      </x:c>
    </x:row>
    <x:row r="599">
      <x:c r="A599" t="n">
        <x:v>621</x:v>
      </x:c>
      <x:c r="B599" t="str">
        <x:v>Everett</x:v>
      </x:c>
      <x:c r="C599" t="str">
        <x:v>WA</x:v>
      </x:c>
      <x:c r="D599" s="161" t="n">
        <x:v>33.2</x:v>
      </x:c>
      <x:c r="E599" t="n">
        <x:v>0</x:v>
      </x:c>
      <x:c r="F599" t="n">
        <x:v>0</x:v>
      </x:c>
      <x:c r="G599" t="n">
        <x:v>0</x:v>
      </x:c>
      <x:c r="H599" t="n">
        <x:v>0</x:v>
      </x:c>
      <x:c r="I599" t="n">
        <x:v>0</x:v>
      </x:c>
      <x:c r="J599" t="n">
        <x:v>1</x:v>
      </x:c>
      <x:c r="K599" t="n">
        <x:f>SUM(E599:J599)</x:f>
        <x:v>1</x:v>
      </x:c>
      <x:c r="L599" s="163" t="n">
        <x:f>IFERROR(K599/D599,0)</x:f>
        <x:v>0.03012048192771084</x:v>
      </x:c>
      <x:c r="M599" s="160" t="str">
        <x:v>Presence-floor proxy only — 300-city expansion</x:v>
      </x:c>
      <x:c r="N599" s="160" t="str">
        <x:v>Added in the 300-city screening expansion. One-store screening floor only; exact selected-chain count and 5-mile buffer require GIS verification.</x:v>
      </x:c>
      <x:c r="O599" s="160" t="str">
        <x:v>Snohomish County</x:v>
      </x:c>
    </x:row>
    <x:row r="600">
      <x:c r="A600" t="n">
        <x:v>622</x:v>
      </x:c>
      <x:c r="B600" t="str">
        <x:v>Farmington Hills</x:v>
      </x:c>
      <x:c r="C600" t="str">
        <x:v>MI</x:v>
      </x:c>
      <x:c r="D600" s="161" t="n">
        <x:v>33.27</x:v>
      </x:c>
      <x:c r="E600" t="n">
        <x:v>0</x:v>
      </x:c>
      <x:c r="F600" t="n">
        <x:v>0</x:v>
      </x:c>
      <x:c r="G600" t="n">
        <x:v>0</x:v>
      </x:c>
      <x:c r="H600" t="n">
        <x:v>0</x:v>
      </x:c>
      <x:c r="I600" t="n">
        <x:v>0</x:v>
      </x:c>
      <x:c r="J600" t="n">
        <x:v>1</x:v>
      </x:c>
      <x:c r="K600" t="n">
        <x:f>SUM(E600:J600)</x:f>
        <x:v>1</x:v>
      </x:c>
      <x:c r="L600" s="163" t="n">
        <x:f>IFERROR(K600/D600,0)</x:f>
        <x:v>0.030057108506161705</x:v>
      </x:c>
      <x:c r="M600" s="160" t="str">
        <x:v>Presence-floor proxy only — restricted-state adjacency expansion</x:v>
      </x:c>
      <x:c r="N600" s="160" t="str">
        <x:v>Census V2025 population 83,291. Added for Oakland County completion; one-store screening floor pending production GIS verification.</x:v>
      </x:c>
      <x:c r="O600" s="160" t="str">
        <x:v>Oakland County</x:v>
      </x:c>
    </x:row>
    <x:row r="601">
      <x:c r="A601" t="n">
        <x:v>623</x:v>
      </x:c>
      <x:c r="B601" t="str">
        <x:v>Atlanta</x:v>
      </x:c>
      <x:c r="C601" t="str">
        <x:v>GA</x:v>
      </x:c>
      <x:c r="D601" s="161" t="n">
        <x:v>133.152</x:v>
      </x:c>
      <x:c r="E601" t="n">
        <x:v>4</x:v>
      </x:c>
      <x:c r="F601" t="n">
        <x:v>0</x:v>
      </x:c>
      <x:c r="G601" t="n">
        <x:v>0</x:v>
      </x:c>
      <x:c r="H601" t="n">
        <x:v>0</x:v>
      </x:c>
      <x:c r="I601" t="n">
        <x:v>0</x:v>
      </x:c>
      <x:c r="J601" t="n">
        <x:v>0</x:v>
      </x:c>
      <x:c r="K601" t="n">
        <x:f>SUM(E601:J601)</x:f>
        <x:v>4</x:v>
      </x:c>
      <x:c r="L601" s="163" t="n">
        <x:f>IFERROR(K601/D601,0)</x:f>
        <x:v>0.030040855563566452</x:v>
      </x:c>
      <x:c r="M601" s="160" t="str">
        <x:v>Confirmed lower bound</x:v>
      </x:c>
      <x:c r="N601" s="160" t="str">
        <x:v>Verified public-directory count for ≥1 major chain; other selected chains and 5-mile spillover omitted.</x:v>
      </x:c>
      <x:c r="O601" s="160" t="str">
        <x:v>Fulton County</x:v>
      </x:c>
    </x:row>
    <x:row r="602">
      <x:c r="A602" t="n">
        <x:v>624</x:v>
      </x:c>
      <x:c r="B602" t="str">
        <x:v>Flint</x:v>
      </x:c>
      <x:c r="C602" t="str">
        <x:v>MI</x:v>
      </x:c>
      <x:c r="D602" s="161" t="n">
        <x:v>33.44</x:v>
      </x:c>
      <x:c r="E602" t="n">
        <x:v>0</x:v>
      </x:c>
      <x:c r="F602" t="n">
        <x:v>0</x:v>
      </x:c>
      <x:c r="G602" t="n">
        <x:v>0</x:v>
      </x:c>
      <x:c r="H602" t="n">
        <x:v>0</x:v>
      </x:c>
      <x:c r="I602" t="n">
        <x:v>0</x:v>
      </x:c>
      <x:c r="J602" t="n">
        <x:v>1</x:v>
      </x:c>
      <x:c r="K602" t="n">
        <x:f>SUM(E602:J602)</x:f>
        <x:v>1</x:v>
      </x:c>
      <x:c r="L602" s="163" t="n">
        <x:f>IFERROR(K602/D602,0)</x:f>
        <x:v>0.029904306220095697</x:v>
      </x:c>
      <x:c r="M602" s="160" t="str">
        <x:v>Presence-floor proxy only — restricted-state adjacency expansion</x:v>
      </x:c>
      <x:c r="N602" s="160" t="str">
        <x:v>Census V2025 population 79,306. Added for Genesee County completion; one-store screening floor pending production GIS verification.</x:v>
      </x:c>
      <x:c r="O602" s="160" t="str">
        <x:v>Genesee County</x:v>
      </x:c>
    </x:row>
    <x:row r="603">
      <x:c r="A603" t="n">
        <x:v>625</x:v>
      </x:c>
      <x:c r="B603" t="str">
        <x:v>Troy</x:v>
      </x:c>
      <x:c r="C603" t="str">
        <x:v>MI</x:v>
      </x:c>
      <x:c r="D603" s="161" t="n">
        <x:v>33.45</x:v>
      </x:c>
      <x:c r="E603" t="n">
        <x:v>0</x:v>
      </x:c>
      <x:c r="F603" t="n">
        <x:v>0</x:v>
      </x:c>
      <x:c r="G603" t="n">
        <x:v>0</x:v>
      </x:c>
      <x:c r="H603" t="n">
        <x:v>0</x:v>
      </x:c>
      <x:c r="I603" t="n">
        <x:v>0</x:v>
      </x:c>
      <x:c r="J603" t="n">
        <x:v>1</x:v>
      </x:c>
      <x:c r="K603" t="n">
        <x:f>SUM(E603:J603)</x:f>
        <x:v>1</x:v>
      </x:c>
      <x:c r="L603" s="163" t="n">
        <x:f>IFERROR(K603/D603,0)</x:f>
        <x:v>0.029895366218236172</x:v>
      </x:c>
      <x:c r="M603" s="160" t="str">
        <x:v>Presence-floor proxy only — restricted-state adjacency expansion</x:v>
      </x:c>
      <x:c r="N603" s="160" t="str">
        <x:v>Census V2025 population 88,733. Added for Oakland County completion; one-store screening floor pending production GIS verification.</x:v>
      </x:c>
      <x:c r="O603" s="160" t="str">
        <x:v>Oakland County</x:v>
      </x:c>
    </x:row>
    <x:row r="604">
      <x:c r="A604" t="n">
        <x:v>626</x:v>
      </x:c>
      <x:c r="B604" t="str">
        <x:v>Nampa</x:v>
      </x:c>
      <x:c r="C604" t="str">
        <x:v>ID</x:v>
      </x:c>
      <x:c r="D604" s="161" t="n">
        <x:v>33.5</x:v>
      </x:c>
      <x:c r="E604" t="n">
        <x:v>0</x:v>
      </x:c>
      <x:c r="F604" t="n">
        <x:v>0</x:v>
      </x:c>
      <x:c r="G604" t="n">
        <x:v>0</x:v>
      </x:c>
      <x:c r="H604" t="n">
        <x:v>0</x:v>
      </x:c>
      <x:c r="I604" t="n">
        <x:v>0</x:v>
      </x:c>
      <x:c r="J604" t="n">
        <x:v>1</x:v>
      </x:c>
      <x:c r="K604" t="n">
        <x:f>SUM(E604:J604)</x:f>
        <x:v>1</x:v>
      </x:c>
      <x:c r="L604" s="163" t="n">
        <x:f>IFERROR(K604/D604,0)</x:f>
        <x:v>0.029850746268656716</x:v>
      </x:c>
      <x:c r="M604" s="160" t="str">
        <x:v>Presence-floor proxy only — 300-city expansion</x:v>
      </x:c>
      <x:c r="N604" s="160" t="str">
        <x:v>Added in the 300-city screening expansion. One-store screening floor only; exact selected-chain count and 5-mile buffer require GIS verification.</x:v>
      </x:c>
      <x:c r="O604" s="160" t="str">
        <x:v>Canyon County</x:v>
      </x:c>
    </x:row>
    <x:row r="605">
      <x:c r="A605" t="n">
        <x:v>627</x:v>
      </x:c>
      <x:c r="B605" t="str">
        <x:v>Bellevue</x:v>
      </x:c>
      <x:c r="C605" t="str">
        <x:v>WA</x:v>
      </x:c>
      <x:c r="D605" s="161" t="n">
        <x:v>33.5</x:v>
      </x:c>
      <x:c r="E605" t="n">
        <x:v>0</x:v>
      </x:c>
      <x:c r="F605" t="n">
        <x:v>0</x:v>
      </x:c>
      <x:c r="G605" t="n">
        <x:v>0</x:v>
      </x:c>
      <x:c r="H605" t="n">
        <x:v>0</x:v>
      </x:c>
      <x:c r="I605" t="n">
        <x:v>0</x:v>
      </x:c>
      <x:c r="J605" t="n">
        <x:v>1</x:v>
      </x:c>
      <x:c r="K605" t="n">
        <x:f>SUM(E605:J605)</x:f>
        <x:v>1</x:v>
      </x:c>
      <x:c r="L605" s="163" t="n">
        <x:f>IFERROR(K605/D605,0)</x:f>
        <x:v>0.029850746268656716</x:v>
      </x:c>
      <x:c r="M605" s="160" t="str">
        <x:v>Presence-floor proxy only — 200-city expansion</x:v>
      </x:c>
      <x:c r="N605" s="160" t="str">
        <x:v>Added in the 200-city screening expansion. One-store screening floor only; exact selected-chain count and 5-mile buffer require GIS verification.</x:v>
      </x:c>
      <x:c r="O605" s="160" t="str">
        <x:v>King County</x:v>
      </x:c>
    </x:row>
    <x:row r="606">
      <x:c r="A606" t="n">
        <x:v>628</x:v>
      </x:c>
      <x:c r="B606" t="str">
        <x:v>Murrieta</x:v>
      </x:c>
      <x:c r="C606" t="str">
        <x:v>CA</x:v>
      </x:c>
      <x:c r="D606" s="161" t="n">
        <x:v>33.6</x:v>
      </x:c>
      <x:c r="E606" t="n">
        <x:v>0</x:v>
      </x:c>
      <x:c r="F606" t="n">
        <x:v>0</x:v>
      </x:c>
      <x:c r="G606" t="n">
        <x:v>0</x:v>
      </x:c>
      <x:c r="H606" t="n">
        <x:v>0</x:v>
      </x:c>
      <x:c r="I606" t="n">
        <x:v>0</x:v>
      </x:c>
      <x:c r="J606" t="n">
        <x:v>1</x:v>
      </x:c>
      <x:c r="K606" t="n">
        <x:f>SUM(E606:J606)</x:f>
        <x:v>1</x:v>
      </x:c>
      <x:c r="L606" s="163" t="n">
        <x:f>IFERROR(K606/D606,0)</x:f>
        <x:v>0.02976190476190476</x:v>
      </x:c>
      <x:c r="M606" s="160" t="str">
        <x:v>Presence-floor proxy only — 300-city expansion</x:v>
      </x:c>
      <x:c r="N606" s="160" t="str">
        <x:v>Added in the 300-city screening expansion. One-store screening floor only; exact selected-chain count and 5-mile buffer require GIS verification.</x:v>
      </x:c>
      <x:c r="O606" s="160" t="str">
        <x:v>Riverside County</x:v>
      </x:c>
    </x:row>
    <x:row r="607">
      <x:c r="A607" t="n">
        <x:v>629</x:v>
      </x:c>
      <x:c r="B607" t="str">
        <x:v>New York</x:v>
      </x:c>
      <x:c r="C607" t="str">
        <x:v>NY</x:v>
      </x:c>
      <x:c r="D607" s="161" t="n">
        <x:v>302.643</x:v>
      </x:c>
      <x:c r="E607" t="n">
        <x:v>9</x:v>
      </x:c>
      <x:c r="F607" t="n">
        <x:v>0</x:v>
      </x:c>
      <x:c r="G607" t="n">
        <x:v>0</x:v>
      </x:c>
      <x:c r="H607" t="n">
        <x:v>0</x:v>
      </x:c>
      <x:c r="I607" t="n">
        <x:v>0</x:v>
      </x:c>
      <x:c r="J607" t="n">
        <x:v>0</x:v>
      </x:c>
      <x:c r="K607" t="n">
        <x:f>SUM(E607:J607)</x:f>
        <x:v>9</x:v>
      </x:c>
      <x:c r="L607" s="163" t="n">
        <x:f>IFERROR(K607/D607,0)</x:f>
        <x:v>0.029738008148214236</x:v>
      </x:c>
      <x:c r="M607" s="160" t="str">
        <x:v>Confirmed lower bound</x:v>
      </x:c>
      <x:c r="N607" s="160" t="str">
        <x:v>Verified public-directory count for ≥1 major chain; other selected chains and 5-mile spillover omitted.</x:v>
      </x:c>
      <x:c r="O607" s="160" t="str">
        <x:v>Kings County</x:v>
      </x:c>
    </x:row>
    <x:row r="608">
      <x:c r="A608" t="n">
        <x:v>630</x:v>
      </x:c>
      <x:c r="B608" t="str">
        <x:v>Kent</x:v>
      </x:c>
      <x:c r="C608" t="str">
        <x:v>WA</x:v>
      </x:c>
      <x:c r="D608" s="161" t="n">
        <x:v>33.8</x:v>
      </x:c>
      <x:c r="E608" t="n">
        <x:v>0</x:v>
      </x:c>
      <x:c r="F608" t="n">
        <x:v>0</x:v>
      </x:c>
      <x:c r="G608" t="n">
        <x:v>0</x:v>
      </x:c>
      <x:c r="H608" t="n">
        <x:v>0</x:v>
      </x:c>
      <x:c r="I608" t="n">
        <x:v>0</x:v>
      </x:c>
      <x:c r="J608" t="n">
        <x:v>1</x:v>
      </x:c>
      <x:c r="K608" t="n">
        <x:f>SUM(E608:J608)</x:f>
        <x:v>1</x:v>
      </x:c>
      <x:c r="L608" s="163" t="n">
        <x:f>IFERROR(K608/D608,0)</x:f>
        <x:v>0.02958579881656805</x:v>
      </x:c>
      <x:c r="M608" s="160" t="str">
        <x:v>Presence-floor proxy only — 250-city expansion</x:v>
      </x:c>
      <x:c r="N608" s="160" t="str">
        <x:v>Added in the 250-city screening expansion. One-store screening floor only; exact selected-chain count and 5-mile buffer require GIS verification.</x:v>
      </x:c>
      <x:c r="O608" s="160" t="str">
        <x:v>King County</x:v>
      </x:c>
    </x:row>
    <x:row r="609">
      <x:c r="A609" t="n">
        <x:v>632</x:v>
      </x:c>
      <x:c r="B609" t="str">
        <x:v>Genoa Township</x:v>
      </x:c>
      <x:c r="C609" t="str">
        <x:v>MI</x:v>
      </x:c>
      <x:c r="D609" s="161" t="n">
        <x:v>33.843</x:v>
      </x:c>
      <x:c r="E609" t="n">
        <x:v>0</x:v>
      </x:c>
      <x:c r="F609" t="n">
        <x:v>0</x:v>
      </x:c>
      <x:c r="G609" t="n">
        <x:v>0</x:v>
      </x:c>
      <x:c r="H609" t="n">
        <x:v>0</x:v>
      </x:c>
      <x:c r="I609" t="n">
        <x:v>0</x:v>
      </x:c>
      <x:c r="J609" t="n">
        <x:v>1</x:v>
      </x:c>
      <x:c r="K609" t="n">
        <x:f>SUM(E609:J609)</x:f>
        <x:v>1</x:v>
      </x:c>
      <x:c r="L609" s="163" t="n">
        <x:f>IFERROR(K609/D609,0)</x:f>
        <x:v>0.02954820790119079</x:v>
      </x:c>
      <x:c r="M609" s="160" t="str">
        <x:v>Presence-floor proxy only — 10k+ municipality completion</x:v>
      </x:c>
      <x:c r="N609"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09" s="160" t="str">
        <x:v>Livingston County</x:v>
      </x:c>
    </x:row>
    <x:row r="610">
      <x:c r="A610" t="n">
        <x:v>633</x:v>
      </x:c>
      <x:c r="B610" t="str">
        <x:v>New Paltz town</x:v>
      </x:c>
      <x:c r="C610" t="str">
        <x:v>NY</x:v>
      </x:c>
      <x:c r="D610" s="161" t="n">
        <x:v>33.875</x:v>
      </x:c>
      <x:c r="E610" t="n">
        <x:v>0</x:v>
      </x:c>
      <x:c r="F610" t="n">
        <x:v>0</x:v>
      </x:c>
      <x:c r="G610" t="n">
        <x:v>0</x:v>
      </x:c>
      <x:c r="H610" t="n">
        <x:v>0</x:v>
      </x:c>
      <x:c r="I610" t="n">
        <x:v>0</x:v>
      </x:c>
      <x:c r="J610" t="n">
        <x:v>1</x:v>
      </x:c>
      <x:c r="K610" t="n">
        <x:f>SUM(E610:J610)</x:f>
        <x:v>1</x:v>
      </x:c>
      <x:c r="L610" s="163" t="n">
        <x:f>IFERROR(K610/D610,0)</x:f>
        <x:v>0.02952029520295203</x:v>
      </x:c>
      <x:c r="M610" s="160" t="str">
        <x:v>Presence-floor proxy only — 10k+ municipality completion</x:v>
      </x:c>
      <x:c r="N610"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610" s="160" t="str">
        <x:v>Ulster County</x:v>
      </x:c>
    </x:row>
    <x:row r="611">
      <x:c r="A611" t="n">
        <x:v>634</x:v>
      </x:c>
      <x:c r="B611" t="str">
        <x:v>Youngstown</x:v>
      </x:c>
      <x:c r="C611" t="str">
        <x:v>OH</x:v>
      </x:c>
      <x:c r="D611" s="161" t="n">
        <x:v>33.93</x:v>
      </x:c>
      <x:c r="E611" t="n">
        <x:v>0</x:v>
      </x:c>
      <x:c r="F611" t="n">
        <x:v>0</x:v>
      </x:c>
      <x:c r="G611" t="n">
        <x:v>0</x:v>
      </x:c>
      <x:c r="H611" t="n">
        <x:v>0</x:v>
      </x:c>
      <x:c r="I611" t="n">
        <x:v>0</x:v>
      </x:c>
      <x:c r="J611" t="n">
        <x:v>1</x:v>
      </x:c>
      <x:c r="K611" t="n">
        <x:f>SUM(E611:J611)</x:f>
        <x:v>1</x:v>
      </x:c>
      <x:c r="L611" s="163" t="n">
        <x:f>IFERROR(K611/D611,0)</x:f>
        <x:v>0.029472443265546714</x:v>
      </x:c>
      <x:c r="M611" s="160" t="str">
        <x:v>Presence-floor proxy only — restricted-state adjacency expansion</x:v>
      </x:c>
      <x:c r="N611" s="160" t="str">
        <x:v>Census V2025 population 58,832. Added for Mahoning County completion; one-store screening floor pending production GIS verification.</x:v>
      </x:c>
      <x:c r="O611" s="160" t="str">
        <x:v>Mahoning County</x:v>
      </x:c>
    </x:row>
    <x:row r="612">
      <x:c r="A612" t="n">
        <x:v>637</x:v>
      </x:c>
      <x:c r="B612" t="str">
        <x:v>Goshen Township</x:v>
      </x:c>
      <x:c r="C612" t="str">
        <x:v>OH</x:v>
      </x:c>
      <x:c r="D612" s="161" t="n">
        <x:v>34.056</x:v>
      </x:c>
      <x:c r="E612" t="n">
        <x:v>0</x:v>
      </x:c>
      <x:c r="F612" t="n">
        <x:v>0</x:v>
      </x:c>
      <x:c r="G612" t="n">
        <x:v>0</x:v>
      </x:c>
      <x:c r="H612" t="n">
        <x:v>0</x:v>
      </x:c>
      <x:c r="I612" t="n">
        <x:v>0</x:v>
      </x:c>
      <x:c r="J612" t="n">
        <x:v>1</x:v>
      </x:c>
      <x:c r="K612" t="n">
        <x:f>SUM(E612:J612)</x:f>
        <x:v>1</x:v>
      </x:c>
      <x:c r="L612" s="163" t="n">
        <x:f>IFERROR(K612/D612,0)</x:f>
        <x:v>0.029363401456424715</x:v>
      </x:c>
      <x:c r="M612" s="160" t="str">
        <x:v>Presence-floor proxy only — 10k+ municipality completion</x:v>
      </x:c>
      <x:c r="N612" s="160" t="str">
        <x:v>Added under the &gt;=50k-county expansion rule: Census Vintage 2025 municipality population &gt;=10,000; general-purpose city-equivalent municipality; direct Census adjacency. Presence-floor proxy only — exact tracked-chain count requires municipal-boundary/GIS verification. Jungle Jim's Eastgate provides strong county specialty-grocery evidence but is not one of the five tracked proxy chains.</x:v>
      </x:c>
      <x:c r="O612" s="160" t="str">
        <x:v>Clermont County</x:v>
      </x:c>
    </x:row>
    <x:row r="613">
      <x:c r="A613" t="n">
        <x:v>638</x:v>
      </x:c>
      <x:c r="B613" t="str">
        <x:v>New Windsor Town</x:v>
      </x:c>
      <x:c r="C613" t="str">
        <x:v>NY</x:v>
      </x:c>
      <x:c r="D613" s="161" t="n">
        <x:v>34.078</x:v>
      </x:c>
      <x:c r="E613" t="n">
        <x:v>0</x:v>
      </x:c>
      <x:c r="F613" t="n">
        <x:v>0</x:v>
      </x:c>
      <x:c r="G613" t="n">
        <x:v>0</x:v>
      </x:c>
      <x:c r="H613" t="n">
        <x:v>0</x:v>
      </x:c>
      <x:c r="I613" t="n">
        <x:v>0</x:v>
      </x:c>
      <x:c r="J613" t="n">
        <x:v>1</x:v>
      </x:c>
      <x:c r="K613" t="n">
        <x:f>SUM(E613:J613)</x:f>
        <x:v>1</x:v>
      </x:c>
      <x:c r="L613" s="163" t="n">
        <x:f>IFERROR(K613/D613,0)</x:f>
        <x:v>0.02934444509654322</x:v>
      </x:c>
      <x:c r="M613" s="160" t="str">
        <x:v>Presence-floor proxy only — 10k+ municipality completion</x:v>
      </x:c>
      <x:c r="N61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613" s="160" t="str">
        <x:v>Orange County</x:v>
      </x:c>
    </x:row>
    <x:row r="614">
      <x:c r="A614" t="n">
        <x:v>639</x:v>
      </x:c>
      <x:c r="B614" t="str">
        <x:v>Lewiston City</x:v>
      </x:c>
      <x:c r="C614" t="str">
        <x:v>ME</x:v>
      </x:c>
      <x:c r="D614" s="161" t="n">
        <x:v>34.146</x:v>
      </x:c>
      <x:c r="E614" t="n">
        <x:v>0</x:v>
      </x:c>
      <x:c r="F614" t="n">
        <x:v>0</x:v>
      </x:c>
      <x:c r="G614" t="n">
        <x:v>0</x:v>
      </x:c>
      <x:c r="H614" t="n">
        <x:v>0</x:v>
      </x:c>
      <x:c r="I614" t="n">
        <x:v>0</x:v>
      </x:c>
      <x:c r="J614" t="n">
        <x:v>1</x:v>
      </x:c>
      <x:c r="K614" t="n">
        <x:f>SUM(E614:J614)</x:f>
        <x:v>1</x:v>
      </x:c>
      <x:c r="L614" s="163" t="n">
        <x:f>IFERROR(K614/D614,0)</x:f>
        <x:v>0.029286007145785744</x:v>
      </x:c>
      <x:c r="M614" s="160" t="str">
        <x:v>Presence-floor proxy only — 10k+ municipality completion</x:v>
      </x:c>
      <x:c r="N614" s="160" t="str">
        <x:v>Added under the &gt;=50k-county expansion rule: Census Vintage 2025 municipality population &gt;=10,000; general-purpose city-equivalent municipality; direct Census adjacency. Presence-floor proxy only — exact tracked-chain count requires municipal-boundary/GIS verification. Auburn is V2025 25,441 and Lewiston 38,866.</x:v>
      </x:c>
      <x:c r="O614" s="160" t="str">
        <x:v>Androscoggin County</x:v>
      </x:c>
    </x:row>
    <x:row r="615">
      <x:c r="A615" t="n">
        <x:v>640</x:v>
      </x:c>
      <x:c r="B615" t="str">
        <x:v>Green Oak Township</x:v>
      </x:c>
      <x:c r="C615" t="str">
        <x:v>MI</x:v>
      </x:c>
      <x:c r="D615" s="161" t="n">
        <x:v>34.203</x:v>
      </x:c>
      <x:c r="E615" t="n">
        <x:v>0</x:v>
      </x:c>
      <x:c r="F615" t="n">
        <x:v>0</x:v>
      </x:c>
      <x:c r="G615" t="n">
        <x:v>0</x:v>
      </x:c>
      <x:c r="H615" t="n">
        <x:v>0</x:v>
      </x:c>
      <x:c r="I615" t="n">
        <x:v>0</x:v>
      </x:c>
      <x:c r="J615" t="n">
        <x:v>1</x:v>
      </x:c>
      <x:c r="K615" t="n">
        <x:f>SUM(E615:J615)</x:f>
        <x:v>1</x:v>
      </x:c>
      <x:c r="L615" s="163" t="n">
        <x:f>IFERROR(K615/D615,0)</x:f>
        <x:v>0.029237201415080547</x:v>
      </x:c>
      <x:c r="M615" s="160" t="str">
        <x:v>Presence-floor proxy only — 10k+ municipality completion</x:v>
      </x:c>
      <x:c r="N615"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15" s="160" t="str">
        <x:v>Livingston County</x:v>
      </x:c>
    </x:row>
    <x:row r="616">
      <x:c r="A616" t="n">
        <x:v>641</x:v>
      </x:c>
      <x:c r="B616" t="str">
        <x:v>Northampton City</x:v>
      </x:c>
      <x:c r="C616" t="str">
        <x:v>MA</x:v>
      </x:c>
      <x:c r="D616" s="161" t="n">
        <x:v>34.245</x:v>
      </x:c>
      <x:c r="E616" t="n">
        <x:v>0</x:v>
      </x:c>
      <x:c r="F616" t="n">
        <x:v>0</x:v>
      </x:c>
      <x:c r="G616" t="n">
        <x:v>0</x:v>
      </x:c>
      <x:c r="H616" t="n">
        <x:v>0</x:v>
      </x:c>
      <x:c r="I616" t="n">
        <x:v>0</x:v>
      </x:c>
      <x:c r="J616" t="n">
        <x:v>1</x:v>
      </x:c>
      <x:c r="K616" t="n">
        <x:f>SUM(E616:J616)</x:f>
        <x:v>1</x:v>
      </x:c>
      <x:c r="L616" s="163" t="n">
        <x:f>IFERROR(K616/D616,0)</x:f>
        <x:v>0.029201343261790046</x:v>
      </x:c>
      <x:c r="M616" s="160" t="str">
        <x:v>Presence-floor proxy only — 10k+ municipality completion</x:v>
      </x:c>
      <x:c r="N616"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616" s="160" t="str">
        <x:v>Hampshire County</x:v>
      </x:c>
    </x:row>
    <x:row r="617">
      <x:c r="A617" t="n">
        <x:v>643</x:v>
      </x:c>
      <x:c r="B617" t="str">
        <x:v>Ware Town</x:v>
      </x:c>
      <x:c r="C617" t="str">
        <x:v>MA</x:v>
      </x:c>
      <x:c r="D617" s="161" t="n">
        <x:v>34.375</x:v>
      </x:c>
      <x:c r="E617" t="n">
        <x:v>0</x:v>
      </x:c>
      <x:c r="F617" t="n">
        <x:v>0</x:v>
      </x:c>
      <x:c r="G617" t="n">
        <x:v>0</x:v>
      </x:c>
      <x:c r="H617" t="n">
        <x:v>0</x:v>
      </x:c>
      <x:c r="I617" t="n">
        <x:v>0</x:v>
      </x:c>
      <x:c r="J617" t="n">
        <x:v>1</x:v>
      </x:c>
      <x:c r="K617" t="n">
        <x:f>SUM(E617:J617)</x:f>
        <x:v>1</x:v>
      </x:c>
      <x:c r="L617" s="163" t="n">
        <x:f>IFERROR(K617/D617,0)</x:f>
        <x:v>0.02909090909090909</x:v>
      </x:c>
      <x:c r="M617" s="160" t="str">
        <x:v>Presence-floor proxy only — 10k+ municipality completion</x:v>
      </x:c>
      <x:c r="N617"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617" s="160" t="str">
        <x:v>Hampshire County</x:v>
      </x:c>
    </x:row>
    <x:row r="618">
      <x:c r="A618" t="n">
        <x:v>644</x:v>
      </x:c>
      <x:c r="B618" t="str">
        <x:v>Zeeland Charter Township</x:v>
      </x:c>
      <x:c r="C618" t="str">
        <x:v>MI</x:v>
      </x:c>
      <x:c r="D618" s="161" t="n">
        <x:v>34.381</x:v>
      </x:c>
      <x:c r="E618" t="n">
        <x:v>0</x:v>
      </x:c>
      <x:c r="F618" t="n">
        <x:v>0</x:v>
      </x:c>
      <x:c r="G618" t="n">
        <x:v>0</x:v>
      </x:c>
      <x:c r="H618" t="n">
        <x:v>0</x:v>
      </x:c>
      <x:c r="I618" t="n">
        <x:v>0</x:v>
      </x:c>
      <x:c r="J618" t="n">
        <x:v>1</x:v>
      </x:c>
      <x:c r="K618" t="n">
        <x:f>SUM(E618:J618)</x:f>
        <x:v>1</x:v>
      </x:c>
      <x:c r="L618" s="163" t="n">
        <x:f>IFERROR(K618/D618,0)</x:f>
        <x:v>0.029085832291091008</x:v>
      </x:c>
      <x:c r="M618" s="160" t="str">
        <x:v>Presence-floor proxy only — 10k+ municipality completion</x:v>
      </x:c>
      <x:c r="N618"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618" s="160" t="str">
        <x:v>Ottawa County</x:v>
      </x:c>
    </x:row>
    <x:row r="619">
      <x:c r="A619" t="n">
        <x:v>645</x:v>
      </x:c>
      <x:c r="B619" t="str">
        <x:v>Warren</x:v>
      </x:c>
      <x:c r="C619" t="str">
        <x:v>MI</x:v>
      </x:c>
      <x:c r="D619" s="161" t="n">
        <x:v>34.4</x:v>
      </x:c>
      <x:c r="E619" t="n">
        <x:v>0</x:v>
      </x:c>
      <x:c r="F619" t="n">
        <x:v>0</x:v>
      </x:c>
      <x:c r="G619" t="n">
        <x:v>0</x:v>
      </x:c>
      <x:c r="H619" t="n">
        <x:v>0</x:v>
      </x:c>
      <x:c r="I619" t="n">
        <x:v>0</x:v>
      </x:c>
      <x:c r="J619" t="n">
        <x:v>1</x:v>
      </x:c>
      <x:c r="K619" t="n">
        <x:f>SUM(E619:J619)</x:f>
        <x:v>1</x:v>
      </x:c>
      <x:c r="L619" s="163" t="n">
        <x:f>IFERROR(K619/D619,0)</x:f>
        <x:v>0.029069767441860465</x:v>
      </x:c>
      <x:c r="M619" s="160" t="str">
        <x:v>Presence-floor proxy only — 250-city expansion</x:v>
      </x:c>
      <x:c r="N619" s="160" t="str">
        <x:v>Added in the 250-city screening expansion. One-store screening floor only; exact selected-chain count and 5-mile buffer require GIS verification.</x:v>
      </x:c>
      <x:c r="O619" s="160" t="str">
        <x:v>Macomb County</x:v>
      </x:c>
    </x:row>
    <x:row r="620">
      <x:c r="A620" t="n">
        <x:v>646</x:v>
      </x:c>
      <x:c r="B620" t="str">
        <x:v>Fort Lauderdale</x:v>
      </x:c>
      <x:c r="C620" t="str">
        <x:v>FL</x:v>
      </x:c>
      <x:c r="D620" s="161" t="n">
        <x:v>34.6</x:v>
      </x:c>
      <x:c r="E620" t="n">
        <x:v>0</x:v>
      </x:c>
      <x:c r="F620" t="n">
        <x:v>0</x:v>
      </x:c>
      <x:c r="G620" t="n">
        <x:v>0</x:v>
      </x:c>
      <x:c r="H620" t="n">
        <x:v>0</x:v>
      </x:c>
      <x:c r="I620" t="n">
        <x:v>0</x:v>
      </x:c>
      <x:c r="J620" t="n">
        <x:v>1</x:v>
      </x:c>
      <x:c r="K620" t="n">
        <x:f>SUM(E620:J620)</x:f>
        <x:v>1</x:v>
      </x:c>
      <x:c r="L620" s="163" t="n">
        <x:f>IFERROR(K620/D620,0)</x:f>
        <x:v>0.028901734104046242</x:v>
      </x:c>
      <x:c r="M620" s="160" t="str">
        <x:v>Presence-floor proxy only — 200-city expansion</x:v>
      </x:c>
      <x:c r="N620" s="160" t="str">
        <x:v>Added in the 200-city screening expansion. One-store screening floor only; exact selected-chain count and 5-mile buffer require GIS verification.</x:v>
      </x:c>
      <x:c r="O620" s="160" t="str">
        <x:v>Broward County</x:v>
      </x:c>
    </x:row>
    <x:row r="621">
      <x:c r="A621" t="n">
        <x:v>647</x:v>
      </x:c>
      <x:c r="B621" t="str">
        <x:v>Lake Township</x:v>
      </x:c>
      <x:c r="C621" t="str">
        <x:v>OH</x:v>
      </x:c>
      <x:c r="D621" s="161" t="n">
        <x:v>34.615</x:v>
      </x:c>
      <x:c r="E621" t="n">
        <x:v>0</x:v>
      </x:c>
      <x:c r="F621" t="n">
        <x:v>0</x:v>
      </x:c>
      <x:c r="G621" t="n">
        <x:v>0</x:v>
      </x:c>
      <x:c r="H621" t="n">
        <x:v>0</x:v>
      </x:c>
      <x:c r="I621" t="n">
        <x:v>0</x:v>
      </x:c>
      <x:c r="J621" t="n">
        <x:v>1</x:v>
      </x:c>
      <x:c r="K621" t="n">
        <x:f>SUM(E621:J621)</x:f>
        <x:v>1</x:v>
      </x:c>
      <x:c r="L621" s="163" t="n">
        <x:f>IFERROR(K621/D621,0)</x:f>
        <x:v>0.028889209880109776</x:v>
      </x:c>
      <x:c r="M621" s="160" t="str">
        <x:v>Presence-floor proxy only — 10k+ municipality completion</x:v>
      </x:c>
      <x:c r="N621" s="160" t="str">
        <x:v>Added under the &gt;=50k-county expansion rule: Census Vintage 2025 municipality population &gt;=10,000; general-purpose city-equivalent municipality; direct Census adjacency. Presence-floor proxy only — exact tracked-chain count requires municipal-boundary/GIS verification. Perrysburg Township (2020 Census 13,571) and Lake Township (2020 Census 11,160) remain safely above the 10,000 screen; Bowling Green and Perrysburg city also qualify.</x:v>
      </x:c>
      <x:c r="O621" s="160" t="str">
        <x:v>Wood County</x:v>
      </x:c>
    </x:row>
    <x:row r="622">
      <x:c r="A622" t="n">
        <x:v>648</x:v>
      </x:c>
      <x:c r="B622" t="str">
        <x:v>Blooming Grove Town</x:v>
      </x:c>
      <x:c r="C622" t="str">
        <x:v>NY</x:v>
      </x:c>
      <x:c r="D622" s="161" t="n">
        <x:v>34.733</x:v>
      </x:c>
      <x:c r="E622" t="n">
        <x:v>0</x:v>
      </x:c>
      <x:c r="F622" t="n">
        <x:v>0</x:v>
      </x:c>
      <x:c r="G622" t="n">
        <x:v>0</x:v>
      </x:c>
      <x:c r="H622" t="n">
        <x:v>0</x:v>
      </x:c>
      <x:c r="I622" t="n">
        <x:v>0</x:v>
      </x:c>
      <x:c r="J622" t="n">
        <x:v>1</x:v>
      </x:c>
      <x:c r="K622" t="n">
        <x:f>SUM(E622:J622)</x:f>
        <x:v>1</x:v>
      </x:c>
      <x:c r="L622" s="163" t="n">
        <x:f>IFERROR(K622/D622,0)</x:f>
        <x:v>0.028791063253965972</x:v>
      </x:c>
      <x:c r="M622" s="160" t="str">
        <x:v>Presence-floor proxy only — 10k+ municipality completion</x:v>
      </x:c>
      <x:c r="N622"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622" s="160" t="str">
        <x:v>Orange County</x:v>
      </x:c>
    </x:row>
    <x:row r="623">
      <x:c r="A623" t="n">
        <x:v>649</x:v>
      </x:c>
      <x:c r="B623" t="str">
        <x:v>Marion Township</x:v>
      </x:c>
      <x:c r="C623" t="str">
        <x:v>MI</x:v>
      </x:c>
      <x:c r="D623" s="161" t="n">
        <x:v>34.894</x:v>
      </x:c>
      <x:c r="E623" t="n">
        <x:v>0</x:v>
      </x:c>
      <x:c r="F623" t="n">
        <x:v>0</x:v>
      </x:c>
      <x:c r="G623" t="n">
        <x:v>0</x:v>
      </x:c>
      <x:c r="H623" t="n">
        <x:v>0</x:v>
      </x:c>
      <x:c r="I623" t="n">
        <x:v>0</x:v>
      </x:c>
      <x:c r="J623" t="n">
        <x:v>1</x:v>
      </x:c>
      <x:c r="K623" t="n">
        <x:f>SUM(E623:J623)</x:f>
        <x:v>1</x:v>
      </x:c>
      <x:c r="L623" s="163" t="n">
        <x:f>IFERROR(K623/D623,0)</x:f>
        <x:v>0.028658222043904398</x:v>
      </x:c>
      <x:c r="M623" s="160" t="str">
        <x:v>Presence-floor proxy only — 10k+ municipality completion</x:v>
      </x:c>
      <x:c r="N623"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23" s="160" t="str">
        <x:v>Livingston County</x:v>
      </x:c>
    </x:row>
    <x:row r="624">
      <x:c r="A624" t="n">
        <x:v>650</x:v>
      </x:c>
      <x:c r="B624" t="str">
        <x:v>Davie</x:v>
      </x:c>
      <x:c r="C624" t="str">
        <x:v>FL</x:v>
      </x:c>
      <x:c r="D624" s="161" t="n">
        <x:v>34.9</x:v>
      </x:c>
      <x:c r="E624" t="n">
        <x:v>0</x:v>
      </x:c>
      <x:c r="F624" t="n">
        <x:v>0</x:v>
      </x:c>
      <x:c r="G624" t="n">
        <x:v>0</x:v>
      </x:c>
      <x:c r="H624" t="n">
        <x:v>0</x:v>
      </x:c>
      <x:c r="I624" t="n">
        <x:v>0</x:v>
      </x:c>
      <x:c r="J624" t="n">
        <x:v>1</x:v>
      </x:c>
      <x:c r="K624" t="n">
        <x:f>SUM(E624:J624)</x:f>
        <x:v>1</x:v>
      </x:c>
      <x:c r="L624" s="163" t="n">
        <x:f>IFERROR(K624/D624,0)</x:f>
        <x:v>0.02865329512893983</x:v>
      </x:c>
      <x:c r="M624" s="160" t="str">
        <x:v>Presence-floor proxy only — 300-city expansion</x:v>
      </x:c>
      <x:c r="N624" s="160" t="str">
        <x:v>Added in the 300-city screening expansion. One-store screening floor only; exact selected-chain count and 5-mile buffer require GIS verification.</x:v>
      </x:c>
      <x:c r="O624" s="160" t="str">
        <x:v>Broward County</x:v>
      </x:c>
    </x:row>
    <x:row r="625">
      <x:c r="A625" t="n">
        <x:v>651</x:v>
      </x:c>
      <x:c r="B625" t="str">
        <x:v>Warwick</x:v>
      </x:c>
      <x:c r="C625" t="str">
        <x:v>RI</x:v>
      </x:c>
      <x:c r="D625" s="161" t="n">
        <x:v>35</x:v>
      </x:c>
      <x:c r="E625" t="n">
        <x:v>0</x:v>
      </x:c>
      <x:c r="F625" t="n">
        <x:v>0</x:v>
      </x:c>
      <x:c r="G625" t="n">
        <x:v>0</x:v>
      </x:c>
      <x:c r="H625" t="n">
        <x:v>0</x:v>
      </x:c>
      <x:c r="I625" t="n">
        <x:v>0</x:v>
      </x:c>
      <x:c r="J625" t="n">
        <x:v>1</x:v>
      </x:c>
      <x:c r="K625" t="n">
        <x:f>SUM(E625:J625)</x:f>
        <x:v>1</x:v>
      </x:c>
      <x:c r="L625" s="163" t="n">
        <x:f>IFERROR(K625/D625,0)</x:f>
        <x:v>0.02857142857142857</x:v>
      </x:c>
      <x:c r="M625" s="160" t="str">
        <x:v>Presence-floor proxy only — restricted-state adjacency expansion</x:v>
      </x:c>
      <x:c r="N625" s="160" t="str">
        <x:v>Census V2025 population 84,187. Added for Kent County completion; one-store screening floor pending production GIS verification.</x:v>
      </x:c>
      <x:c r="O625" s="160" t="str">
        <x:v>Kent County</x:v>
      </x:c>
    </x:row>
    <x:row r="626">
      <x:c r="A626" t="n">
        <x:v>652</x:v>
      </x:c>
      <x:c r="B626" t="str">
        <x:v>Meridian</x:v>
      </x:c>
      <x:c r="C626" t="str">
        <x:v>ID</x:v>
      </x:c>
      <x:c r="D626" s="161" t="n">
        <x:v>35.1</x:v>
      </x:c>
      <x:c r="E626" t="n">
        <x:v>0</x:v>
      </x:c>
      <x:c r="F626" t="n">
        <x:v>0</x:v>
      </x:c>
      <x:c r="G626" t="n">
        <x:v>0</x:v>
      </x:c>
      <x:c r="H626" t="n">
        <x:v>0</x:v>
      </x:c>
      <x:c r="I626" t="n">
        <x:v>0</x:v>
      </x:c>
      <x:c r="J626" t="n">
        <x:v>1</x:v>
      </x:c>
      <x:c r="K626" t="n">
        <x:f>SUM(E626:J626)</x:f>
        <x:v>1</x:v>
      </x:c>
      <x:c r="L626" s="163" t="n">
        <x:f>IFERROR(K626/D626,0)</x:f>
        <x:v>0.02849002849002849</x:v>
      </x:c>
      <x:c r="M626" s="160" t="str">
        <x:v>Presence-floor proxy only — 200-city expansion</x:v>
      </x:c>
      <x:c r="N626" s="160" t="str">
        <x:v>Added in the 200-city screening expansion. One-store screening floor only; exact selected-chain count and 5-mile buffer require GIS verification.</x:v>
      </x:c>
      <x:c r="O626" s="160" t="str">
        <x:v>Ada County</x:v>
      </x:c>
    </x:row>
    <x:row r="627">
      <x:c r="A627" t="n">
        <x:v>653</x:v>
      </x:c>
      <x:c r="B627" t="str">
        <x:v>Plattekill town</x:v>
      </x:c>
      <x:c r="C627" t="str">
        <x:v>NY</x:v>
      </x:c>
      <x:c r="D627" s="161" t="n">
        <x:v>35.111</x:v>
      </x:c>
      <x:c r="E627" t="n">
        <x:v>0</x:v>
      </x:c>
      <x:c r="F627" t="n">
        <x:v>0</x:v>
      </x:c>
      <x:c r="G627" t="n">
        <x:v>0</x:v>
      </x:c>
      <x:c r="H627" t="n">
        <x:v>0</x:v>
      </x:c>
      <x:c r="I627" t="n">
        <x:v>0</x:v>
      </x:c>
      <x:c r="J627" t="n">
        <x:v>1</x:v>
      </x:c>
      <x:c r="K627" t="n">
        <x:f>SUM(E627:J627)</x:f>
        <x:v>1</x:v>
      </x:c>
      <x:c r="L627" s="163" t="n">
        <x:f>IFERROR(K627/D627,0)</x:f>
        <x:v>0.028481102788299965</x:v>
      </x:c>
      <x:c r="M627" s="160" t="str">
        <x:v>Presence-floor proxy only — 10k+ municipality completion</x:v>
      </x:c>
      <x:c r="N627"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627" s="160" t="str">
        <x:v>Ulster County</x:v>
      </x:c>
    </x:row>
    <x:row r="628">
      <x:c r="A628" t="n">
        <x:v>654</x:v>
      </x:c>
      <x:c r="B628" t="str">
        <x:v>Kennebunk town</x:v>
      </x:c>
      <x:c r="C628" t="str">
        <x:v>ME</x:v>
      </x:c>
      <x:c r="D628" s="161" t="n">
        <x:v>35.114</x:v>
      </x:c>
      <x:c r="E628" t="n">
        <x:v>0</x:v>
      </x:c>
      <x:c r="F628" t="n">
        <x:v>0</x:v>
      </x:c>
      <x:c r="G628" t="n">
        <x:v>0</x:v>
      </x:c>
      <x:c r="H628" t="n">
        <x:v>0</x:v>
      </x:c>
      <x:c r="I628" t="n">
        <x:v>0</x:v>
      </x:c>
      <x:c r="J628" t="n">
        <x:v>1</x:v>
      </x:c>
      <x:c r="K628" t="n">
        <x:f>SUM(E628:J628)</x:f>
        <x:v>1</x:v>
      </x:c>
      <x:c r="L628" s="163" t="n">
        <x:f>IFERROR(K628/D628,0)</x:f>
        <x:v>0.02847866947656206</x:v>
      </x:c>
      <x:c r="M628" s="160" t="str">
        <x:v>Presence-floor proxy only — 10k+ municipality completion</x:v>
      </x:c>
      <x:c r="N628"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628" s="160" t="str">
        <x:v>York County</x:v>
      </x:c>
    </x:row>
    <x:row r="629">
      <x:c r="A629" t="n">
        <x:v>655</x:v>
      </x:c>
      <x:c r="B629" t="str">
        <x:v>Hamilton Township</x:v>
      </x:c>
      <x:c r="C629" t="str">
        <x:v>OH</x:v>
      </x:c>
      <x:c r="D629" s="161" t="n">
        <x:v>35.145</x:v>
      </x:c>
      <x:c r="E629" t="n">
        <x:v>0</x:v>
      </x:c>
      <x:c r="F629" t="n">
        <x:v>0</x:v>
      </x:c>
      <x:c r="G629" t="n">
        <x:v>0</x:v>
      </x:c>
      <x:c r="H629" t="n">
        <x:v>0</x:v>
      </x:c>
      <x:c r="I629" t="n">
        <x:v>0</x:v>
      </x:c>
      <x:c r="J629" t="n">
        <x:v>1</x:v>
      </x:c>
      <x:c r="K629" t="n">
        <x:f>SUM(E629:J629)</x:f>
        <x:v>1</x:v>
      </x:c>
      <x:c r="L629" s="163" t="n">
        <x:f>IFERROR(K629/D629,0)</x:f>
        <x:v>0.028453549580310142</x:v>
      </x:c>
      <x:c r="M629" s="160" t="str">
        <x:v>Presence-floor proxy only — 10k+ municipality completion</x:v>
      </x:c>
      <x:c r="N629" s="160" t="str">
        <x:v>Added under the &gt;=50k-county expansion rule: Census Vintage 2025 municipality population &gt;=10,000; general-purpose city-equivalent municipality; direct Census adjacency. Presence-floor proxy only — exact tracked-chain count requires municipal-boundary/GIS verification.</x:v>
      </x:c>
      <x:c r="O629" s="160" t="str">
        <x:v>Warren County</x:v>
      </x:c>
    </x:row>
    <x:row r="630">
      <x:c r="A630" t="n">
        <x:v>656</x:v>
      </x:c>
      <x:c r="B630" t="str">
        <x:v>Tittabawassee Township</x:v>
      </x:c>
      <x:c r="C630" t="str">
        <x:v>MI</x:v>
      </x:c>
      <x:c r="D630" s="161" t="n">
        <x:v>35.164</x:v>
      </x:c>
      <x:c r="E630" t="n">
        <x:v>0</x:v>
      </x:c>
      <x:c r="F630" t="n">
        <x:v>0</x:v>
      </x:c>
      <x:c r="G630" t="n">
        <x:v>0</x:v>
      </x:c>
      <x:c r="H630" t="n">
        <x:v>0</x:v>
      </x:c>
      <x:c r="I630" t="n">
        <x:v>0</x:v>
      </x:c>
      <x:c r="J630" t="n">
        <x:v>1</x:v>
      </x:c>
      <x:c r="K630" t="n">
        <x:f>SUM(E630:J630)</x:f>
        <x:v>1</x:v>
      </x:c>
      <x:c r="L630" s="163" t="n">
        <x:f>IFERROR(K630/D630,0)</x:f>
        <x:v>0.02843817540666591</x:v>
      </x:c>
      <x:c r="M630" s="160" t="str">
        <x:v>Presence-floor proxy only — 10k+ municipality completion</x:v>
      </x:c>
      <x:c r="N630" s="160" t="str">
        <x:v>Added under the &gt;=50k-county expansion rule: Census Vintage 2025 municipality population &gt;=10,000; general-purpose city-equivalent municipality; direct Census adjacency. Presence-floor proxy only — exact tracked-chain count requires municipal-boundary/GIS verification. Bridgeport Charter Township is below the threshold at V2025 population 9,874. Downtown Saginaw / county farmers-market evidence supports county selection.</x:v>
      </x:c>
      <x:c r="O630" s="160" t="str">
        <x:v>Saginaw County</x:v>
      </x:c>
    </x:row>
    <x:row r="631">
      <x:c r="A631" t="n">
        <x:v>657</x:v>
      </x:c>
      <x:c r="B631" t="str">
        <x:v>Jamestown Charter Township</x:v>
      </x:c>
      <x:c r="C631" t="str">
        <x:v>MI</x:v>
      </x:c>
      <x:c r="D631" s="161" t="n">
        <x:v>35.418</x:v>
      </x:c>
      <x:c r="E631" t="n">
        <x:v>0</x:v>
      </x:c>
      <x:c r="F631" t="n">
        <x:v>0</x:v>
      </x:c>
      <x:c r="G631" t="n">
        <x:v>0</x:v>
      </x:c>
      <x:c r="H631" t="n">
        <x:v>0</x:v>
      </x:c>
      <x:c r="I631" t="n">
        <x:v>0</x:v>
      </x:c>
      <x:c r="J631" t="n">
        <x:v>1</x:v>
      </x:c>
      <x:c r="K631" t="n">
        <x:f>SUM(E631:J631)</x:f>
        <x:v>1</x:v>
      </x:c>
      <x:c r="L631" s="163" t="n">
        <x:f>IFERROR(K631/D631,0)</x:f>
        <x:v>0.02823423118188492</x:v>
      </x:c>
      <x:c r="M631" s="160" t="str">
        <x:v>Presence-floor proxy only — 10k+ municipality completion</x:v>
      </x:c>
      <x:c r="N631"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631" s="160" t="str">
        <x:v>Ottawa County</x:v>
      </x:c>
    </x:row>
    <x:row r="632">
      <x:c r="A632" t="n">
        <x:v>659</x:v>
      </x:c>
      <x:c r="B632" t="str">
        <x:v>Tyrone Township</x:v>
      </x:c>
      <x:c r="C632" t="str">
        <x:v>MI</x:v>
      </x:c>
      <x:c r="D632" s="161" t="n">
        <x:v>35.462</x:v>
      </x:c>
      <x:c r="E632" t="n">
        <x:v>0</x:v>
      </x:c>
      <x:c r="F632" t="n">
        <x:v>0</x:v>
      </x:c>
      <x:c r="G632" t="n">
        <x:v>0</x:v>
      </x:c>
      <x:c r="H632" t="n">
        <x:v>0</x:v>
      </x:c>
      <x:c r="I632" t="n">
        <x:v>0</x:v>
      </x:c>
      <x:c r="J632" t="n">
        <x:v>1</x:v>
      </x:c>
      <x:c r="K632" t="n">
        <x:f>SUM(E632:J632)</x:f>
        <x:v>1</x:v>
      </x:c>
      <x:c r="L632" s="163" t="n">
        <x:f>IFERROR(K632/D632,0)</x:f>
        <x:v>0.028199199142744342</x:v>
      </x:c>
      <x:c r="M632" s="160" t="str">
        <x:v>Presence-floor proxy only — 10k+ municipality completion</x:v>
      </x:c>
      <x:c r="N632"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32" s="160" t="str">
        <x:v>Livingston County</x:v>
      </x:c>
    </x:row>
    <x:row r="633">
      <x:c r="A633" t="n">
        <x:v>660</x:v>
      </x:c>
      <x:c r="B633" t="str">
        <x:v>Derry Town</x:v>
      </x:c>
      <x:c r="C633" t="str">
        <x:v>NH</x:v>
      </x:c>
      <x:c r="D633" s="161" t="n">
        <x:v>35.474</x:v>
      </x:c>
      <x:c r="E633" t="n">
        <x:v>0</x:v>
      </x:c>
      <x:c r="F633" t="n">
        <x:v>0</x:v>
      </x:c>
      <x:c r="G633" t="n">
        <x:v>0</x:v>
      </x:c>
      <x:c r="H633" t="n">
        <x:v>0</x:v>
      </x:c>
      <x:c r="I633" t="n">
        <x:v>0</x:v>
      </x:c>
      <x:c r="J633" t="n">
        <x:v>1</x:v>
      </x:c>
      <x:c r="K633" t="n">
        <x:f>SUM(E633:J633)</x:f>
        <x:v>1</x:v>
      </x:c>
      <x:c r="L633" s="163" t="n">
        <x:f>IFERROR(K633/D633,0)</x:f>
        <x:v>0.028189660032700008</x:v>
      </x:c>
      <x:c r="M633" s="160" t="str">
        <x:v>Presence-floor proxy only — 10k+ municipality completion</x:v>
      </x:c>
      <x:c r="N633"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633" s="160" t="str">
        <x:v>Rockingham County</x:v>
      </x:c>
    </x:row>
    <x:row r="634">
      <x:c r="A634" t="n">
        <x:v>661</x:v>
      </x:c>
      <x:c r="B634" t="str">
        <x:v>Fairview Township</x:v>
      </x:c>
      <x:c r="C634" t="str">
        <x:v>PA</x:v>
      </x:c>
      <x:c r="D634" s="161" t="n">
        <x:v>35.579</x:v>
      </x:c>
      <x:c r="E634" t="n">
        <x:v>0</x:v>
      </x:c>
      <x:c r="F634" t="n">
        <x:v>0</x:v>
      </x:c>
      <x:c r="G634" t="n">
        <x:v>0</x:v>
      </x:c>
      <x:c r="H634" t="n">
        <x:v>0</x:v>
      </x:c>
      <x:c r="I634" t="n">
        <x:v>0</x:v>
      </x:c>
      <x:c r="J634" t="n">
        <x:v>1</x:v>
      </x:c>
      <x:c r="K634" t="n">
        <x:f>SUM(E634:J634)</x:f>
        <x:v>1</x:v>
      </x:c>
      <x:c r="L634" s="163" t="n">
        <x:f>IFERROR(K634/D634,0)</x:f>
        <x:v>0.0281064672981253</x:v>
      </x:c>
      <x:c r="M634" s="160" t="str">
        <x:v>Presence-floor proxy only — 10k+ municipality completion</x:v>
      </x:c>
      <x:c r="N634"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634" s="160" t="str">
        <x:v>York County</x:v>
      </x:c>
    </x:row>
    <x:row r="635">
      <x:c r="A635" t="n">
        <x:v>662</x:v>
      </x:c>
      <x:c r="B635" t="str">
        <x:v>Noblesville</x:v>
      </x:c>
      <x:c r="C635" t="str">
        <x:v>IN</x:v>
      </x:c>
      <x:c r="D635" s="161" t="n">
        <x:v>35.641</x:v>
      </x:c>
      <x:c r="E635" t="n">
        <x:v>0</x:v>
      </x:c>
      <x:c r="F635" t="n">
        <x:v>0</x:v>
      </x:c>
      <x:c r="G635" t="n">
        <x:v>0</x:v>
      </x:c>
      <x:c r="H635" t="n">
        <x:v>0</x:v>
      </x:c>
      <x:c r="I635" t="n">
        <x:v>0</x:v>
      </x:c>
      <x:c r="J635" t="n">
        <x:v>1</x:v>
      </x:c>
      <x:c r="K635" t="n">
        <x:f>SUM(E635:J635)</x:f>
        <x:v>1</x:v>
      </x:c>
      <x:c r="L635" s="163" t="n">
        <x:f>IFERROR(K635/D635,0)</x:f>
        <x:v>0.028057574142139673</x:v>
      </x:c>
      <x:c r="M635" s="160" t="str">
        <x:v>Presence-floor proxy only — adjacent-county completion</x:v>
      </x:c>
      <x:c r="N635" s="160" t="str">
        <x:v>Added to complete ≥50,000 incorporated-place coverage in selected adjacent county. One-store screening floor; exact tracked-chain count requires GIS verification.</x:v>
      </x:c>
      <x:c r="O635" s="160" t="str">
        <x:v>Hamilton County</x:v>
      </x:c>
    </x:row>
    <x:row r="636">
      <x:c r="A636" t="n">
        <x:v>664</x:v>
      </x:c>
      <x:c r="B636" t="str">
        <x:v>Milton town</x:v>
      </x:c>
      <x:c r="C636" t="str">
        <x:v>NY</x:v>
      </x:c>
      <x:c r="D636" s="161" t="n">
        <x:v>35.69</x:v>
      </x:c>
      <x:c r="E636" t="n">
        <x:v>0</x:v>
      </x:c>
      <x:c r="F636" t="n">
        <x:v>0</x:v>
      </x:c>
      <x:c r="G636" t="n">
        <x:v>0</x:v>
      </x:c>
      <x:c r="H636" t="n">
        <x:v>0</x:v>
      </x:c>
      <x:c r="I636" t="n">
        <x:v>0</x:v>
      </x:c>
      <x:c r="J636" t="n">
        <x:v>1</x:v>
      </x:c>
      <x:c r="K636" t="n">
        <x:f>SUM(E636:J636)</x:f>
        <x:v>1</x:v>
      </x:c>
      <x:c r="L636" s="163" t="n">
        <x:f>IFERROR(K636/D636,0)</x:f>
        <x:v>0.02801905295601009</x:v>
      </x:c>
      <x:c r="M636" s="160" t="str">
        <x:v>Presence-floor proxy only — 10k+ municipality completion</x:v>
      </x:c>
      <x:c r="N636"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636" s="160" t="str">
        <x:v>Saratoga County</x:v>
      </x:c>
    </x:row>
    <x:row r="637">
      <x:c r="A637" t="n">
        <x:v>665</x:v>
      </x:c>
      <x:c r="B637" t="str">
        <x:v>Perrysburg Township</x:v>
      </x:c>
      <x:c r="C637" t="str">
        <x:v>OH</x:v>
      </x:c>
      <x:c r="D637" s="161" t="n">
        <x:v>35.706</x:v>
      </x:c>
      <x:c r="E637" t="n">
        <x:v>0</x:v>
      </x:c>
      <x:c r="F637" t="n">
        <x:v>0</x:v>
      </x:c>
      <x:c r="G637" t="n">
        <x:v>0</x:v>
      </x:c>
      <x:c r="H637" t="n">
        <x:v>0</x:v>
      </x:c>
      <x:c r="I637" t="n">
        <x:v>0</x:v>
      </x:c>
      <x:c r="J637" t="n">
        <x:v>1</x:v>
      </x:c>
      <x:c r="K637" t="n">
        <x:f>SUM(E637:J637)</x:f>
        <x:v>1</x:v>
      </x:c>
      <x:c r="L637" s="163" t="n">
        <x:f>IFERROR(K637/D637,0)</x:f>
        <x:v>0.02800649750742172</x:v>
      </x:c>
      <x:c r="M637" s="160" t="str">
        <x:v>Presence-floor proxy only — 10k+ municipality completion</x:v>
      </x:c>
      <x:c r="N637" s="160" t="str">
        <x:v>Added under the &gt;=50k-county expansion rule: Census Vintage 2025 municipality population &gt;=10,000; general-purpose city-equivalent municipality; direct Census adjacency. Presence-floor proxy only — exact tracked-chain count requires municipal-boundary/GIS verification. Perrysburg Township (2020 Census 13,571) and Lake Township (2020 Census 11,160) remain safely above the 10,000 screen; Bowling Green and Perrysburg city also qualify.</x:v>
      </x:c>
      <x:c r="O637" s="160" t="str">
        <x:v>Wood County</x:v>
      </x:c>
    </x:row>
    <x:row r="638">
      <x:c r="A638" t="n">
        <x:v>666</x:v>
      </x:c>
      <x:c r="B638" t="str">
        <x:v>West Valley City</x:v>
      </x:c>
      <x:c r="C638" t="str">
        <x:v>UT</x:v>
      </x:c>
      <x:c r="D638" s="161" t="n">
        <x:v>35.8</x:v>
      </x:c>
      <x:c r="E638" t="n">
        <x:v>0</x:v>
      </x:c>
      <x:c r="F638" t="n">
        <x:v>0</x:v>
      </x:c>
      <x:c r="G638" t="n">
        <x:v>0</x:v>
      </x:c>
      <x:c r="H638" t="n">
        <x:v>0</x:v>
      </x:c>
      <x:c r="I638" t="n">
        <x:v>0</x:v>
      </x:c>
      <x:c r="J638" t="n">
        <x:v>1</x:v>
      </x:c>
      <x:c r="K638" t="n">
        <x:f>SUM(E638:J638)</x:f>
        <x:v>1</x:v>
      </x:c>
      <x:c r="L638" s="163" t="n">
        <x:f>IFERROR(K638/D638,0)</x:f>
        <x:v>0.02793296089385475</x:v>
      </x:c>
      <x:c r="M638" s="160" t="str">
        <x:v>Presence-floor proxy only — 250-city expansion</x:v>
      </x:c>
      <x:c r="N638" s="160" t="str">
        <x:v>Added in the 250-city screening expansion. One-store screening floor only; exact selected-chain count and 5-mile buffer require GIS verification.</x:v>
      </x:c>
      <x:c r="O638" s="160" t="str">
        <x:v>Salt Lake County</x:v>
      </x:c>
    </x:row>
    <x:row r="639">
      <x:c r="A639" t="n">
        <x:v>667</x:v>
      </x:c>
      <x:c r="B639" t="str">
        <x:v>Wilton town</x:v>
      </x:c>
      <x:c r="C639" t="str">
        <x:v>NY</x:v>
      </x:c>
      <x:c r="D639" s="161" t="n">
        <x:v>35.837</x:v>
      </x:c>
      <x:c r="E639" t="n">
        <x:v>0</x:v>
      </x:c>
      <x:c r="F639" t="n">
        <x:v>0</x:v>
      </x:c>
      <x:c r="G639" t="n">
        <x:v>0</x:v>
      </x:c>
      <x:c r="H639" t="n">
        <x:v>0</x:v>
      </x:c>
      <x:c r="I639" t="n">
        <x:v>0</x:v>
      </x:c>
      <x:c r="J639" t="n">
        <x:v>1</x:v>
      </x:c>
      <x:c r="K639" t="n">
        <x:f>SUM(E639:J639)</x:f>
        <x:v>1</x:v>
      </x:c>
      <x:c r="L639" s="163" t="n">
        <x:f>IFERROR(K639/D639,0)</x:f>
        <x:v>0.0279041214387365</x:v>
      </x:c>
      <x:c r="M639" s="160" t="str">
        <x:v>Presence-floor proxy only — 10k+ municipality completion</x:v>
      </x:c>
      <x:c r="N639"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639" s="160" t="str">
        <x:v>Saratoga County</x:v>
      </x:c>
    </x:row>
    <x:row r="640">
      <x:c r="A640" t="n">
        <x:v>668</x:v>
      </x:c>
      <x:c r="B640" t="str">
        <x:v>Hartland Township</x:v>
      </x:c>
      <x:c r="C640" t="str">
        <x:v>MI</x:v>
      </x:c>
      <x:c r="D640" s="161" t="n">
        <x:v>35.867</x:v>
      </x:c>
      <x:c r="E640" t="n">
        <x:v>0</x:v>
      </x:c>
      <x:c r="F640" t="n">
        <x:v>0</x:v>
      </x:c>
      <x:c r="G640" t="n">
        <x:v>0</x:v>
      </x:c>
      <x:c r="H640" t="n">
        <x:v>0</x:v>
      </x:c>
      <x:c r="I640" t="n">
        <x:v>0</x:v>
      </x:c>
      <x:c r="J640" t="n">
        <x:v>1</x:v>
      </x:c>
      <x:c r="K640" t="n">
        <x:f>SUM(E640:J640)</x:f>
        <x:v>1</x:v>
      </x:c>
      <x:c r="L640" s="163" t="n">
        <x:f>IFERROR(K640/D640,0)</x:f>
        <x:v>0.02788078177712103</x:v>
      </x:c>
      <x:c r="M640" s="160" t="str">
        <x:v>Presence-floor proxy only — 10k+ municipality completion</x:v>
      </x:c>
      <x:c r="N640"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40" s="160" t="str">
        <x:v>Livingston County</x:v>
      </x:c>
    </x:row>
    <x:row r="641">
      <x:c r="A641" t="n">
        <x:v>669</x:v>
      </x:c>
      <x:c r="B641" t="str">
        <x:v>Miami</x:v>
      </x:c>
      <x:c r="C641" t="str">
        <x:v>FL</x:v>
      </x:c>
      <x:c r="D641" s="161" t="n">
        <x:v>35.871</x:v>
      </x:c>
      <x:c r="E641" t="n">
        <x:v>1</x:v>
      </x:c>
      <x:c r="F641" t="n">
        <x:v>0</x:v>
      </x:c>
      <x:c r="G641" t="n">
        <x:v>0</x:v>
      </x:c>
      <x:c r="H641" t="n">
        <x:v>0</x:v>
      </x:c>
      <x:c r="I641" t="n">
        <x:v>0</x:v>
      </x:c>
      <x:c r="J641" t="n">
        <x:v>0</x:v>
      </x:c>
      <x:c r="K641" t="n">
        <x:f>SUM(E641:J641)</x:f>
        <x:v>1</x:v>
      </x:c>
      <x:c r="L641" s="163" t="n">
        <x:f>IFERROR(K641/D641,0)</x:f>
        <x:v>0.027877672771877002</x:v>
      </x:c>
      <x:c r="M641" s="160" t="str">
        <x:v>Confirmed lower bound</x:v>
      </x:c>
      <x:c r="N641" s="160" t="str">
        <x:v>Verified public-directory count for ≥1 major chain; other selected chains and 5-mile spillover omitted.</x:v>
      </x:c>
      <x:c r="O641" s="160" t="str">
        <x:v>Miami-Dade County</x:v>
      </x:c>
    </x:row>
    <x:row r="642">
      <x:c r="A642" t="n">
        <x:v>670</x:v>
      </x:c>
      <x:c r="B642" t="str">
        <x:v>Carmel town</x:v>
      </x:c>
      <x:c r="C642" t="str">
        <x:v>NY</x:v>
      </x:c>
      <x:c r="D642" s="161" t="n">
        <x:v>35.886</x:v>
      </x:c>
      <x:c r="E642" t="n">
        <x:v>0</x:v>
      </x:c>
      <x:c r="F642" t="n">
        <x:v>0</x:v>
      </x:c>
      <x:c r="G642" t="n">
        <x:v>0</x:v>
      </x:c>
      <x:c r="H642" t="n">
        <x:v>0</x:v>
      </x:c>
      <x:c r="I642" t="n">
        <x:v>0</x:v>
      </x:c>
      <x:c r="J642" t="n">
        <x:v>1</x:v>
      </x:c>
      <x:c r="K642" t="n">
        <x:f>SUM(E642:J642)</x:f>
        <x:v>1</x:v>
      </x:c>
      <x:c r="L642" s="163" t="n">
        <x:f>IFERROR(K642/D642,0)</x:f>
        <x:v>0.027866020174998604</x:v>
      </x:c>
      <x:c r="M642" s="160" t="str">
        <x:v>Presence-floor proxy only — 10k+ municipality completion</x:v>
      </x:c>
      <x:c r="N642" s="160" t="str">
        <x:v>Added under the 2026-09-15 &gt;=50k-county expansion rule: Census Vintage 2025 municipality population &gt;=10,000; general-purpose city-equivalent municipality; direct Census adjacency. Presence-floor proxy only — exact tracked-chain count requires municipal-boundary/GIS verification. Philipstown is excluded because its latest available estimate remains below 10,000.</x:v>
      </x:c>
      <x:c r="O642" s="160" t="str">
        <x:v>Putnam County</x:v>
      </x:c>
    </x:row>
    <x:row r="643">
      <x:c r="A643" t="n">
        <x:v>671</x:v>
      </x:c>
      <x:c r="B643" t="str">
        <x:v>Thornton</x:v>
      </x:c>
      <x:c r="C643" t="str">
        <x:v>CO</x:v>
      </x:c>
      <x:c r="D643" s="161" t="n">
        <x:v>35.9</x:v>
      </x:c>
      <x:c r="E643" t="n">
        <x:v>0</x:v>
      </x:c>
      <x:c r="F643" t="n">
        <x:v>0</x:v>
      </x:c>
      <x:c r="G643" t="n">
        <x:v>0</x:v>
      </x:c>
      <x:c r="H643" t="n">
        <x:v>0</x:v>
      </x:c>
      <x:c r="I643" t="n">
        <x:v>0</x:v>
      </x:c>
      <x:c r="J643" t="n">
        <x:v>1</x:v>
      </x:c>
      <x:c r="K643" t="n">
        <x:f>SUM(E643:J643)</x:f>
        <x:v>1</x:v>
      </x:c>
      <x:c r="L643" s="163" t="n">
        <x:f>IFERROR(K643/D643,0)</x:f>
        <x:v>0.02785515320334262</x:v>
      </x:c>
      <x:c r="M643" s="160" t="str">
        <x:v>Presence-floor proxy only — 200-city expansion</x:v>
      </x:c>
      <x:c r="N643" s="160" t="str">
        <x:v>Added in the 200-city screening expansion. One-store screening floor only; exact selected-chain count and 5-mile buffer require GIS verification.</x:v>
      </x:c>
      <x:c r="O643" s="160" t="str">
        <x:v>Adams County</x:v>
      </x:c>
    </x:row>
    <x:row r="644">
      <x:c r="A644" t="n">
        <x:v>672</x:v>
      </x:c>
      <x:c r="B644" t="str">
        <x:v>Victor town</x:v>
      </x:c>
      <x:c r="C644" t="str">
        <x:v>NY</x:v>
      </x:c>
      <x:c r="D644" s="161" t="n">
        <x:v>35.923</x:v>
      </x:c>
      <x:c r="E644" t="n">
        <x:v>0</x:v>
      </x:c>
      <x:c r="F644" t="n">
        <x:v>0</x:v>
      </x:c>
      <x:c r="G644" t="n">
        <x:v>0</x:v>
      </x:c>
      <x:c r="H644" t="n">
        <x:v>0</x:v>
      </x:c>
      <x:c r="I644" t="n">
        <x:v>0</x:v>
      </x:c>
      <x:c r="J644" t="n">
        <x:v>1</x:v>
      </x:c>
      <x:c r="K644" t="n">
        <x:f>SUM(E644:J644)</x:f>
        <x:v>1</x:v>
      </x:c>
      <x:c r="L644" s="163" t="n">
        <x:f>IFERROR(K644/D644,0)</x:f>
        <x:v>0.027837318709461902</x:v>
      </x:c>
      <x:c r="M644" s="160" t="str">
        <x:v>Presence-floor proxy only — 10k+ municipality completion</x:v>
      </x:c>
      <x:c r="N644" s="160" t="str">
        <x:v>Added under the 2026-09-15 &gt;=50k-county expansion rule: Census Vintage 2025 municipality population &gt;=10,000; general-purpose city-equivalent municipality; direct Census adjacency. Presence-floor proxy only — exact tracked-chain count requires municipal-boundary/GIS verification. Manchester town (9,225) and Phelps town (6,559) are below the 10,000 threshold.</x:v>
      </x:c>
      <x:c r="O644" s="160" t="str">
        <x:v>Ontario County</x:v>
      </x:c>
    </x:row>
    <x:row r="645">
      <x:c r="A645" t="n">
        <x:v>673</x:v>
      </x:c>
      <x:c r="B645" t="str">
        <x:v>Hooksett Town</x:v>
      </x:c>
      <x:c r="C645" t="str">
        <x:v>NH</x:v>
      </x:c>
      <x:c r="D645" s="161" t="n">
        <x:v>36.034</x:v>
      </x:c>
      <x:c r="E645" t="n">
        <x:v>0</x:v>
      </x:c>
      <x:c r="F645" t="n">
        <x:v>0</x:v>
      </x:c>
      <x:c r="G645" t="n">
        <x:v>0</x:v>
      </x:c>
      <x:c r="H645" t="n">
        <x:v>0</x:v>
      </x:c>
      <x:c r="I645" t="n">
        <x:v>0</x:v>
      </x:c>
      <x:c r="J645" t="n">
        <x:v>1</x:v>
      </x:c>
      <x:c r="K645" t="n">
        <x:f>SUM(E645:J645)</x:f>
        <x:v>1</x:v>
      </x:c>
      <x:c r="L645" s="163" t="n">
        <x:f>IFERROR(K645/D645,0)</x:f>
        <x:v>0.027751567963589945</x:v>
      </x:c>
      <x:c r="M645" s="160" t="str">
        <x:v>Presence-floor proxy only — 10k+ municipality completion</x:v>
      </x:c>
      <x:c r="N645" s="160" t="str">
        <x:v>Added under the &gt;=50k-county expansion rule: Census Vintage 2025 municipality population &gt;=10,000; general-purpose city-equivalent municipality; direct Census adjacency. Presence-floor proxy only — exact tracked-chain count requires municipal-boundary/GIS verification. Hooksett is V2025 15,346; Bow and other nearby towns remain below 10,000.</x:v>
      </x:c>
      <x:c r="O645" s="160" t="str">
        <x:v>Merrimack County</x:v>
      </x:c>
    </x:row>
    <x:row r="646" s="44" customFormat="1">
      <x:c r="A646" t="n">
        <x:v>674</x:v>
      </x:c>
      <x:c r="B646" t="str">
        <x:v>Woodbury Town</x:v>
      </x:c>
      <x:c r="C646" t="str">
        <x:v>NY</x:v>
      </x:c>
      <x:c r="D646" s="161" t="n">
        <x:v>36.083</x:v>
      </x:c>
      <x:c r="E646" t="n">
        <x:v>0</x:v>
      </x:c>
      <x:c r="F646" t="n">
        <x:v>0</x:v>
      </x:c>
      <x:c r="G646" t="n">
        <x:v>0</x:v>
      </x:c>
      <x:c r="H646" t="n">
        <x:v>0</x:v>
      </x:c>
      <x:c r="I646" t="n">
        <x:v>0</x:v>
      </x:c>
      <x:c r="J646" t="n">
        <x:v>1</x:v>
      </x:c>
      <x:c r="K646" t="n">
        <x:f>SUM(E646:J646)</x:f>
        <x:v>1</x:v>
      </x:c>
      <x:c r="L646" s="163" t="n">
        <x:f>IFERROR(K646/D646,0)</x:f>
        <x:v>0.027713881883435414</x:v>
      </x:c>
      <x:c r="M646" s="160" t="str">
        <x:v>Presence-floor proxy only — 10k+ municipality completion</x:v>
      </x:c>
      <x:c r="N64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646" s="160" t="str">
        <x:v>Orange County</x:v>
      </x:c>
    </x:row>
    <x:row r="647" s="44" customFormat="1">
      <x:c r="A647" s="1" t="n">
        <x:v>675</x:v>
      </x:c>
      <x:c r="B647" s="1" t="str">
        <x:v>Oceola Township</x:v>
      </x:c>
      <x:c r="C647" s="1" t="str">
        <x:v>MI</x:v>
      </x:c>
      <x:c r="D647" s="161" t="n">
        <x:v>36.126</x:v>
      </x:c>
      <x:c r="E647" s="1" t="n">
        <x:v>0</x:v>
      </x:c>
      <x:c r="F647" s="1" t="n">
        <x:v>0</x:v>
      </x:c>
      <x:c r="G647" s="1" t="n">
        <x:v>0</x:v>
      </x:c>
      <x:c r="H647" s="1" t="n">
        <x:v>0</x:v>
      </x:c>
      <x:c r="I647" s="1" t="n">
        <x:v>0</x:v>
      </x:c>
      <x:c r="J647" s="1" t="n">
        <x:v>1</x:v>
      </x:c>
      <x:c r="K647" s="1" t="n">
        <x:f>SUM(E647:J647)</x:f>
        <x:v>1</x:v>
      </x:c>
      <x:c r="L647" s="163" t="n">
        <x:f>IFERROR(K647/D647,0)</x:f>
        <x:v>0.027680894646514978</x:v>
      </x:c>
      <x:c r="M647" s="160" t="str">
        <x:v>Presence-floor proxy only — 10k+ municipality completion</x:v>
      </x:c>
      <x:c r="N647" s="160" t="str">
        <x:v>Added under the &gt;=50k-county expansion rule: Census Vintage 2025 municipality population &gt;=10,000; general-purpose city-equivalent municipality; direct Census adjacency. Presence-floor proxy only — exact tracked-chain count requires municipal-boundary/GIS verification. Livingston County community profiles and local specialty-grocery resources support county selection; Howell City remains below 10,000 in V2025 and is excluded.</x:v>
      </x:c>
      <x:c r="O647" s="160" t="str">
        <x:v>Livingston County</x:v>
      </x:c>
    </x:row>
    <x:row r="648" s="44" customFormat="1">
      <x:c r="A648" s="1" t="n">
        <x:v>676</x:v>
      </x:c>
      <x:c r="B648" s="1" t="str">
        <x:v>Red Hook Town</x:v>
      </x:c>
      <x:c r="C648" s="1" t="str">
        <x:v>NY</x:v>
      </x:c>
      <x:c r="D648" s="161" t="n">
        <x:v>36.127</x:v>
      </x:c>
      <x:c r="E648" s="1" t="n">
        <x:v>0</x:v>
      </x:c>
      <x:c r="F648" s="1" t="n">
        <x:v>0</x:v>
      </x:c>
      <x:c r="G648" s="1" t="n">
        <x:v>0</x:v>
      </x:c>
      <x:c r="H648" s="1" t="n">
        <x:v>0</x:v>
      </x:c>
      <x:c r="I648" s="1" t="n">
        <x:v>0</x:v>
      </x:c>
      <x:c r="J648" s="1" t="n">
        <x:v>1</x:v>
      </x:c>
      <x:c r="K648" s="1" t="n">
        <x:f>SUM(E648:J648)</x:f>
        <x:v>1</x:v>
      </x:c>
      <x:c r="L648" s="163" t="n">
        <x:f>IFERROR(K648/D648,0)</x:f>
        <x:v>0.02768012843579594</x:v>
      </x:c>
      <x:c r="M648" s="160" t="str">
        <x:v>Presence-floor proxy only — 10k+ municipality completion</x:v>
      </x:c>
      <x:c r="N648"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648" s="160" t="str">
        <x:v>Dutchess County</x:v>
      </x:c>
    </x:row>
    <x:row r="649" s="44" customFormat="1">
      <x:c r="A649" s="1" t="n">
        <x:v>677</x:v>
      </x:c>
      <x:c r="B649" s="1" t="str">
        <x:v>Bloom Township</x:v>
      </x:c>
      <x:c r="C649" s="1" t="str">
        <x:v>OH</x:v>
      </x:c>
      <x:c r="D649" s="161" t="n">
        <x:v>36.2</x:v>
      </x:c>
      <x:c r="E649" s="1" t="n">
        <x:v>0</x:v>
      </x:c>
      <x:c r="F649" s="1" t="n">
        <x:v>0</x:v>
      </x:c>
      <x:c r="G649" s="1" t="n">
        <x:v>0</x:v>
      </x:c>
      <x:c r="H649" s="1" t="n">
        <x:v>0</x:v>
      </x:c>
      <x:c r="I649" s="1" t="n">
        <x:v>0</x:v>
      </x:c>
      <x:c r="J649" s="1" t="n">
        <x:v>1</x:v>
      </x:c>
      <x:c r="K649" s="1" t="n">
        <x:f>SUM(E649:J649)</x:f>
        <x:v>1</x:v>
      </x:c>
      <x:c r="L649" s="163" t="n">
        <x:f>IFERROR(K649/D649,0)</x:f>
        <x:v>0.027624309392265192</x:v>
      </x:c>
      <x:c r="M649" s="160" t="str">
        <x:v>Presence-floor proxy only — 10k+ municipality completion</x:v>
      </x:c>
      <x:c r="N649" s="160" t="str">
        <x:v>Added under the &gt;=50k-county expansion rule: Census Vintage 2025 municipality population &gt;=10,000; general-purpose city-equivalent municipality; direct Census adjacency. Presence-floor proxy only — exact tracked-chain count requires municipal-boundary/GIS verification. Pickerington spans Fairfield and Franklin counties and is canonically assigned to Fairfield County for this expansion; full Census place land area is used.</x:v>
      </x:c>
      <x:c r="O649" s="160" t="str">
        <x:v>Fairfield County</x:v>
      </x:c>
    </x:row>
    <x:row r="650" s="44" customFormat="1">
      <x:c r="A650" s="1" t="n">
        <x:v>679</x:v>
      </x:c>
      <x:c r="B650" s="1" t="str">
        <x:v>Sterling Heights</x:v>
      </x:c>
      <x:c r="C650" s="1" t="str">
        <x:v>MI</x:v>
      </x:c>
      <x:c r="D650" s="161" t="n">
        <x:v>36.4</x:v>
      </x:c>
      <x:c r="E650" s="1" t="n">
        <x:v>0</x:v>
      </x:c>
      <x:c r="F650" s="1" t="n">
        <x:v>0</x:v>
      </x:c>
      <x:c r="G650" s="1" t="n">
        <x:v>0</x:v>
      </x:c>
      <x:c r="H650" s="1" t="n">
        <x:v>0</x:v>
      </x:c>
      <x:c r="I650" s="1" t="n">
        <x:v>0</x:v>
      </x:c>
      <x:c r="J650" s="1" t="n">
        <x:v>1</x:v>
      </x:c>
      <x:c r="K650" s="1" t="n">
        <x:f>SUM(E650:J650)</x:f>
        <x:v>1</x:v>
      </x:c>
      <x:c r="L650" s="163" t="n">
        <x:f>IFERROR(K650/D650,0)</x:f>
        <x:v>0.027472527472527472</x:v>
      </x:c>
      <x:c r="M650" s="160" t="str">
        <x:v>Presence-floor proxy only — 250-city expansion</x:v>
      </x:c>
      <x:c r="N650" s="160" t="str">
        <x:v>Added in the 250-city screening expansion. One-store screening floor only; exact selected-chain count and 5-mile buffer require GIS verification.</x:v>
      </x:c>
      <x:c r="O650" s="160" t="str">
        <x:v>Macomb County</x:v>
      </x:c>
    </x:row>
    <x:row r="651" s="44" customFormat="1">
      <x:c r="A651" s="1" t="n">
        <x:v>680</x:v>
      </x:c>
      <x:c r="B651" s="1" t="str">
        <x:v>Sparks</x:v>
      </x:c>
      <x:c r="C651" s="1" t="str">
        <x:v>NV</x:v>
      </x:c>
      <x:c r="D651" s="161" t="n">
        <x:v>36.4</x:v>
      </x:c>
      <x:c r="E651" s="1" t="n">
        <x:v>0</x:v>
      </x:c>
      <x:c r="F651" s="1" t="n">
        <x:v>0</x:v>
      </x:c>
      <x:c r="G651" s="1" t="n">
        <x:v>0</x:v>
      </x:c>
      <x:c r="H651" s="1" t="n">
        <x:v>0</x:v>
      </x:c>
      <x:c r="I651" s="1" t="n">
        <x:v>0</x:v>
      </x:c>
      <x:c r="J651" s="1" t="n">
        <x:v>1</x:v>
      </x:c>
      <x:c r="K651" s="1" t="n">
        <x:f>SUM(E651:J651)</x:f>
        <x:v>1</x:v>
      </x:c>
      <x:c r="L651" s="163" t="n">
        <x:f>IFERROR(K651/D651,0)</x:f>
        <x:v>0.027472527472527472</x:v>
      </x:c>
      <x:c r="M651" s="160" t="str">
        <x:v>Presence-floor proxy only — 300-city expansion</x:v>
      </x:c>
      <x:c r="N651" s="160" t="str">
        <x:v>Added in the 300-city screening expansion. One-store screening floor only; exact selected-chain count and 5-mile buffer require GIS verification.</x:v>
      </x:c>
      <x:c r="O651" s="160" t="str">
        <x:v>Washoe County</x:v>
      </x:c>
    </x:row>
    <x:row r="652" s="44" customFormat="1">
      <x:c r="A652" s="1" t="n">
        <x:v>681</x:v>
      </x:c>
      <x:c r="B652" s="1" t="str">
        <x:v>Fishers</x:v>
      </x:c>
      <x:c r="C652" s="1" t="str">
        <x:v>IN</x:v>
      </x:c>
      <x:c r="D652" s="161" t="n">
        <x:v>36.565</x:v>
      </x:c>
      <x:c r="E652" s="1" t="n">
        <x:v>0</x:v>
      </x:c>
      <x:c r="F652" s="1" t="n">
        <x:v>0</x:v>
      </x:c>
      <x:c r="G652" s="1" t="n">
        <x:v>0</x:v>
      </x:c>
      <x:c r="H652" s="1" t="n">
        <x:v>1</x:v>
      </x:c>
      <x:c r="I652" s="1" t="n">
        <x:v>0</x:v>
      </x:c>
      <x:c r="J652" s="1" t="n">
        <x:v>0</x:v>
      </x:c>
      <x:c r="K652" s="1" t="n">
        <x:f>SUM(E652:J652)</x:f>
        <x:v>1</x:v>
      </x:c>
      <x:c r="L652" s="163" t="n">
        <x:f>IFERROR(K652/D652,0)</x:f>
        <x:v>0.027348557363599073</x:v>
      </x:c>
      <x:c r="M652" s="160" t="str">
        <x:v>Confirmed lower bound — adjacent-county expansion</x:v>
      </x:c>
      <x:c r="N652" s="160" t="str">
        <x:v>Added in second adjacent-county expansion; Fresh Thyme location verified. Census Vintage 2025 eligibility; Census 2025 Gazetteer land area.</x:v>
      </x:c>
      <x:c r="O652" s="160" t="str">
        <x:v>Hamilton County</x:v>
      </x:c>
    </x:row>
    <x:row r="653" s="44" customFormat="1">
      <x:c r="A653" s="1" t="n">
        <x:v>682</x:v>
      </x:c>
      <x:c r="B653" s="1" t="str">
        <x:v>Millstone Township</x:v>
      </x:c>
      <x:c r="C653" s="1" t="str">
        <x:v>NJ</x:v>
      </x:c>
      <x:c r="D653" s="161" t="n">
        <x:v>36.607</x:v>
      </x:c>
      <x:c r="E653" s="1" t="n">
        <x:v>0</x:v>
      </x:c>
      <x:c r="F653" s="1" t="n">
        <x:v>0</x:v>
      </x:c>
      <x:c r="G653" s="1" t="n">
        <x:v>0</x:v>
      </x:c>
      <x:c r="H653" s="1" t="n">
        <x:v>0</x:v>
      </x:c>
      <x:c r="I653" s="1" t="n">
        <x:v>0</x:v>
      </x:c>
      <x:c r="J653" s="1" t="n">
        <x:v>1</x:v>
      </x:c>
      <x:c r="K653" s="1" t="n">
        <x:f>SUM(E653:J653)</x:f>
        <x:v>1</x:v>
      </x:c>
      <x:c r="L653" s="163" t="n">
        <x:f>IFERROR(K653/D653,0)</x:f>
        <x:v>0.027317179774360094</x:v>
      </x:c>
      <x:c r="M653" s="160" t="str">
        <x:v>Presence-floor proxy only — 10k+ municipality completion</x:v>
      </x:c>
      <x:c r="N653"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653" s="160" t="str">
        <x:v>Monmouth County</x:v>
      </x:c>
    </x:row>
    <x:row r="654" s="44" customFormat="1">
      <x:c r="A654" s="1" t="n">
        <x:v>683</x:v>
      </x:c>
      <x:c r="B654" s="1" t="str">
        <x:v>Hyde Park Town</x:v>
      </x:c>
      <x:c r="C654" s="1" t="str">
        <x:v>NY</x:v>
      </x:c>
      <x:c r="D654" s="161" t="n">
        <x:v>36.63</x:v>
      </x:c>
      <x:c r="E654" s="1" t="n">
        <x:v>0</x:v>
      </x:c>
      <x:c r="F654" s="1" t="n">
        <x:v>0</x:v>
      </x:c>
      <x:c r="G654" s="1" t="n">
        <x:v>0</x:v>
      </x:c>
      <x:c r="H654" s="1" t="n">
        <x:v>0</x:v>
      </x:c>
      <x:c r="I654" s="1" t="n">
        <x:v>0</x:v>
      </x:c>
      <x:c r="J654" s="1" t="n">
        <x:v>1</x:v>
      </x:c>
      <x:c r="K654" s="1" t="n">
        <x:f>SUM(E654:J654)</x:f>
        <x:v>1</x:v>
      </x:c>
      <x:c r="L654" s="163" t="n">
        <x:f>IFERROR(K654/D654,0)</x:f>
        <x:v>0.0273000273000273</x:v>
      </x:c>
      <x:c r="M654" s="160" t="str">
        <x:v>Presence-floor proxy only — 10k+ municipality completion</x:v>
      </x:c>
      <x:c r="N654"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654" s="160" t="str">
        <x:v>Dutchess County</x:v>
      </x:c>
    </x:row>
    <x:row r="655" s="44" customFormat="1">
      <x:c r="A655" s="1" t="n">
        <x:v>684</x:v>
      </x:c>
      <x:c r="B655" s="1" t="str">
        <x:v>Carrollton</x:v>
      </x:c>
      <x:c r="C655" s="1" t="str">
        <x:v>TX</x:v>
      </x:c>
      <x:c r="D655" s="161" t="n">
        <x:v>36.7</x:v>
      </x:c>
      <x:c r="E655" s="1" t="n">
        <x:v>0</x:v>
      </x:c>
      <x:c r="F655" s="1" t="n">
        <x:v>0</x:v>
      </x:c>
      <x:c r="G655" s="1" t="n">
        <x:v>0</x:v>
      </x:c>
      <x:c r="H655" s="1" t="n">
        <x:v>0</x:v>
      </x:c>
      <x:c r="I655" s="1" t="n">
        <x:v>0</x:v>
      </x:c>
      <x:c r="J655" s="1" t="n">
        <x:v>1</x:v>
      </x:c>
      <x:c r="K655" s="1" t="n">
        <x:f>SUM(E655:J655)</x:f>
        <x:v>1</x:v>
      </x:c>
      <x:c r="L655" s="163" t="n">
        <x:f>IFERROR(K655/D655,0)</x:f>
        <x:v>0.02724795640326975</x:v>
      </x:c>
      <x:c r="M655" s="160" t="str">
        <x:v>Presence-floor proxy only — 250-city expansion</x:v>
      </x:c>
      <x:c r="N655" s="160" t="str">
        <x:v>Added in the 250-city screening expansion. One-store screening floor only; exact selected-chain count and 5-mile buffer require GIS verification.</x:v>
      </x:c>
      <x:c r="O655" s="160" t="str">
        <x:v>Dallas County</x:v>
      </x:c>
    </x:row>
    <x:row r="656" s="44" customFormat="1">
      <x:c r="A656" s="1" t="n">
        <x:v>685</x:v>
      </x:c>
      <x:c r="B656" s="1" t="str">
        <x:v>Sparta Township</x:v>
      </x:c>
      <x:c r="C656" s="1" t="str">
        <x:v>NJ</x:v>
      </x:c>
      <x:c r="D656" s="161" t="n">
        <x:v>36.746</x:v>
      </x:c>
      <x:c r="E656" s="1" t="n">
        <x:v>0</x:v>
      </x:c>
      <x:c r="F656" s="1" t="n">
        <x:v>0</x:v>
      </x:c>
      <x:c r="G656" s="1" t="n">
        <x:v>0</x:v>
      </x:c>
      <x:c r="H656" s="1" t="n">
        <x:v>0</x:v>
      </x:c>
      <x:c r="I656" s="1" t="n">
        <x:v>0</x:v>
      </x:c>
      <x:c r="J656" s="1" t="n">
        <x:v>1</x:v>
      </x:c>
      <x:c r="K656" s="1" t="n">
        <x:f>SUM(E656:J656)</x:f>
        <x:v>1</x:v>
      </x:c>
      <x:c r="L656" s="163" t="n">
        <x:f>IFERROR(K656/D656,0)</x:f>
        <x:v>0.02721384640505089</x:v>
      </x:c>
      <x:c r="M656" s="160" t="str">
        <x:v>Presence-floor proxy only — 10k+ municipality completion</x:v>
      </x:c>
      <x:c r="N656"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the latest Census estimates / threshold checks; local specialty-grocery evidence is county-selection support only.</x:v>
      </x:c>
      <x:c r="O656" s="160" t="str">
        <x:v>Sussex County</x:v>
      </x:c>
    </x:row>
    <x:row r="657" s="44" customFormat="1">
      <x:c r="A657" s="1" t="n">
        <x:v>686</x:v>
      </x:c>
      <x:c r="B657" s="1" t="str">
        <x:v>Monitor Charter Township</x:v>
      </x:c>
      <x:c r="C657" s="1" t="str">
        <x:v>MI</x:v>
      </x:c>
      <x:c r="D657" s="161" t="n">
        <x:v>36.782</x:v>
      </x:c>
      <x:c r="E657" s="1" t="n">
        <x:v>0</x:v>
      </x:c>
      <x:c r="F657" s="1" t="n">
        <x:v>0</x:v>
      </x:c>
      <x:c r="G657" s="1" t="n">
        <x:v>0</x:v>
      </x:c>
      <x:c r="H657" s="1" t="n">
        <x:v>0</x:v>
      </x:c>
      <x:c r="I657" s="1" t="n">
        <x:v>0</x:v>
      </x:c>
      <x:c r="J657" s="1" t="n">
        <x:v>1</x:v>
      </x:c>
      <x:c r="K657" s="1" t="n">
        <x:f>SUM(E657:J657)</x:f>
        <x:v>1</x:v>
      </x:c>
      <x:c r="L657" s="163" t="n">
        <x:f>IFERROR(K657/D657,0)</x:f>
        <x:v>0.027187211135881684</x:v>
      </x:c>
      <x:c r="M657" s="160" t="str">
        <x:v>Presence-floor proxy only — 10k+ municipality completion</x:v>
      </x:c>
      <x:c r="N657" s="160" t="str">
        <x:v>Added under the &gt;=50k-county expansion rule: Census Vintage 2025 municipality population &gt;=10,000; general-purpose city-equivalent municipality; direct Census adjacency. Presence-floor proxy only — exact tracked-chain count requires municipal-boundary/GIS verification. Monitor Charter Township is V2025 10,597; Hampton Charter Township is below 10,000 and excluded.</x:v>
      </x:c>
      <x:c r="O657" s="160" t="str">
        <x:v>Bay County</x:v>
      </x:c>
    </x:row>
    <x:row r="658" s="44" customFormat="1">
      <x:c r="A658" s="1" t="n">
        <x:v>687</x:v>
      </x:c>
      <x:c r="B658" s="1" t="str">
        <x:v>Murrysville Municipality</x:v>
      </x:c>
      <x:c r="C658" s="1" t="str">
        <x:v>PA</x:v>
      </x:c>
      <x:c r="D658" s="161" t="n">
        <x:v>36.83</x:v>
      </x:c>
      <x:c r="E658" s="1" t="n">
        <x:v>0</x:v>
      </x:c>
      <x:c r="F658" s="1" t="n">
        <x:v>0</x:v>
      </x:c>
      <x:c r="G658" s="1" t="n">
        <x:v>0</x:v>
      </x:c>
      <x:c r="H658" s="1" t="n">
        <x:v>0</x:v>
      </x:c>
      <x:c r="I658" s="1" t="n">
        <x:v>0</x:v>
      </x:c>
      <x:c r="J658" s="1" t="n">
        <x:v>1</x:v>
      </x:c>
      <x:c r="K658" s="1" t="n">
        <x:f>SUM(E658:J658)</x:f>
        <x:v>1</x:v>
      </x:c>
      <x:c r="L658" s="163" t="n">
        <x:f>IFERROR(K658/D658,0)</x:f>
        <x:v>0.027151778441487917</x:v>
      </x:c>
      <x:c r="M658" s="160" t="str">
        <x:v>Presence-floor proxy only — 10k+ municipality completion</x:v>
      </x:c>
      <x:c r="N658"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658" s="160" t="str">
        <x:v>Westmoreland County</x:v>
      </x:c>
    </x:row>
    <x:row r="659" s="44" customFormat="1">
      <x:c r="A659" s="1" t="n">
        <x:v>688</x:v>
      </x:c>
      <x:c r="B659" s="1" t="str">
        <x:v>Lewisville</x:v>
      </x:c>
      <x:c r="C659" s="1" t="str">
        <x:v>TX</x:v>
      </x:c>
      <x:c r="D659" s="161" t="n">
        <x:v>37</x:v>
      </x:c>
      <x:c r="E659" s="1" t="n">
        <x:v>0</x:v>
      </x:c>
      <x:c r="F659" s="1" t="n">
        <x:v>0</x:v>
      </x:c>
      <x:c r="G659" s="1" t="n">
        <x:v>0</x:v>
      </x:c>
      <x:c r="H659" s="1" t="n">
        <x:v>0</x:v>
      </x:c>
      <x:c r="I659" s="1" t="n">
        <x:v>0</x:v>
      </x:c>
      <x:c r="J659" s="1" t="n">
        <x:v>1</x:v>
      </x:c>
      <x:c r="K659" s="1" t="n">
        <x:f>SUM(E659:J659)</x:f>
        <x:v>1</x:v>
      </x:c>
      <x:c r="L659" s="163" t="n">
        <x:f>IFERROR(K659/D659,0)</x:f>
        <x:v>0.02702702702702703</x:v>
      </x:c>
      <x:c r="M659" s="160" t="str">
        <x:v>Presence-floor proxy only — 250-city expansion</x:v>
      </x:c>
      <x:c r="N659" s="160" t="str">
        <x:v>Added in the 250-city screening expansion. One-store screening floor only; exact selected-chain count and 5-mile buffer require GIS verification.</x:v>
      </x:c>
      <x:c r="O659" s="160" t="str">
        <x:v>Denton County</x:v>
      </x:c>
    </x:row>
    <x:row r="660" s="44" customFormat="1">
      <x:c r="A660" s="1" t="n">
        <x:v>689</x:v>
      </x:c>
      <x:c r="B660" s="1" t="str">
        <x:v>Lewiston town</x:v>
      </x:c>
      <x:c r="C660" s="1" t="str">
        <x:v>NY</x:v>
      </x:c>
      <x:c r="D660" s="161" t="n">
        <x:v>37.121</x:v>
      </x:c>
      <x:c r="E660" s="1" t="n">
        <x:v>0</x:v>
      </x:c>
      <x:c r="F660" s="1" t="n">
        <x:v>0</x:v>
      </x:c>
      <x:c r="G660" s="1" t="n">
        <x:v>0</x:v>
      </x:c>
      <x:c r="H660" s="1" t="n">
        <x:v>0</x:v>
      </x:c>
      <x:c r="I660" s="1" t="n">
        <x:v>0</x:v>
      </x:c>
      <x:c r="J660" s="1" t="n">
        <x:v>1</x:v>
      </x:c>
      <x:c r="K660" s="1" t="n">
        <x:f>SUM(E660:J660)</x:f>
        <x:v>1</x:v>
      </x:c>
      <x:c r="L660" s="163" t="n">
        <x:f>IFERROR(K660/D660,0)</x:f>
        <x:v>0.026938929446943777</x:v>
      </x:c>
      <x:c r="M660" s="160" t="str">
        <x:v>Presence-floor proxy only — 10k+ municipality completion</x:v>
      </x:c>
      <x:c r="N660"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660" s="160" t="str">
        <x:v>Niagara County</x:v>
      </x:c>
    </x:row>
    <x:row r="661" s="44" customFormat="1">
      <x:c r="A661" s="1" t="n">
        <x:v>690</x:v>
      </x:c>
      <x:c r="B661" s="1" t="str">
        <x:v>Austin</x:v>
      </x:c>
      <x:c r="C661" s="1" t="str">
        <x:v>TX</x:v>
      </x:c>
      <x:c r="D661" s="161" t="n">
        <x:v>297.896</x:v>
      </x:c>
      <x:c r="E661" s="1" t="n">
        <x:v>4</x:v>
      </x:c>
      <x:c r="F661" s="1" t="n">
        <x:v>4</x:v>
      </x:c>
      <x:c r="G661" s="1" t="n">
        <x:v>0</x:v>
      </x:c>
      <x:c r="H661" s="1" t="n">
        <x:v>0</x:v>
      </x:c>
      <x:c r="I661" s="1" t="n">
        <x:v>0</x:v>
      </x:c>
      <x:c r="J661" s="1" t="n">
        <x:v>0</x:v>
      </x:c>
      <x:c r="K661" s="1" t="n">
        <x:f>SUM(E661:J661)</x:f>
        <x:v>8</x:v>
      </x:c>
      <x:c r="L661" s="163" t="n">
        <x:f>IFERROR(K661/D661,0)</x:f>
        <x:v>0.026855009802078576</x:v>
      </x:c>
      <x:c r="M661" s="160" t="str">
        <x:v>Confirmed lower bound</x:v>
      </x:c>
      <x:c r="N661" s="160" t="str">
        <x:v>Verified public-directory count for ≥1 major chain; other selected chains and 5-mile spillover omitted.</x:v>
      </x:c>
      <x:c r="O661" s="160" t="str">
        <x:v>Travis County</x:v>
      </x:c>
    </x:row>
    <x:row r="662" s="44" customFormat="1">
      <x:c r="A662" s="1" t="n">
        <x:v>691</x:v>
      </x:c>
      <x:c r="B662" s="1" t="str">
        <x:v>Escondido</x:v>
      </x:c>
      <x:c r="C662" s="1" t="str">
        <x:v>CA</x:v>
      </x:c>
      <x:c r="D662" s="161" t="n">
        <x:v>37.3</x:v>
      </x:c>
      <x:c r="E662" s="1" t="n">
        <x:v>0</x:v>
      </x:c>
      <x:c r="F662" s="1" t="n">
        <x:v>0</x:v>
      </x:c>
      <x:c r="G662" s="1" t="n">
        <x:v>0</x:v>
      </x:c>
      <x:c r="H662" s="1" t="n">
        <x:v>0</x:v>
      </x:c>
      <x:c r="I662" s="1" t="n">
        <x:v>0</x:v>
      </x:c>
      <x:c r="J662" s="1" t="n">
        <x:v>1</x:v>
      </x:c>
      <x:c r="K662" s="1" t="n">
        <x:f>SUM(E662:J662)</x:f>
        <x:v>1</x:v>
      </x:c>
      <x:c r="L662" s="163" t="n">
        <x:f>IFERROR(K662/D662,0)</x:f>
        <x:v>0.02680965147453083</x:v>
      </x:c>
      <x:c r="M662" s="160" t="str">
        <x:v>Presence-floor proxy only — 200-city expansion</x:v>
      </x:c>
      <x:c r="N662" s="160" t="str">
        <x:v>Added in the 200-city screening expansion. One-store screening floor only; exact selected-chain count and 5-mile buffer require GIS verification.</x:v>
      </x:c>
      <x:c r="O662" s="160" t="str">
        <x:v>San Diego County</x:v>
      </x:c>
    </x:row>
    <x:row r="663" s="44" customFormat="1">
      <x:c r="A663" s="1" t="n">
        <x:v>692</x:v>
      </x:c>
      <x:c r="B663" s="1" t="str">
        <x:v>Temecula</x:v>
      </x:c>
      <x:c r="C663" s="1" t="str">
        <x:v>CA</x:v>
      </x:c>
      <x:c r="D663" s="161" t="n">
        <x:v>37.3</x:v>
      </x:c>
      <x:c r="E663" s="1" t="n">
        <x:v>0</x:v>
      </x:c>
      <x:c r="F663" s="1" t="n">
        <x:v>0</x:v>
      </x:c>
      <x:c r="G663" s="1" t="n">
        <x:v>0</x:v>
      </x:c>
      <x:c r="H663" s="1" t="n">
        <x:v>0</x:v>
      </x:c>
      <x:c r="I663" s="1" t="n">
        <x:v>0</x:v>
      </x:c>
      <x:c r="J663" s="1" t="n">
        <x:v>1</x:v>
      </x:c>
      <x:c r="K663" s="1" t="n">
        <x:f>SUM(E663:J663)</x:f>
        <x:v>1</x:v>
      </x:c>
      <x:c r="L663" s="163" t="n">
        <x:f>IFERROR(K663/D663,0)</x:f>
        <x:v>0.02680965147453083</x:v>
      </x:c>
      <x:c r="M663" s="160" t="str">
        <x:v>Presence-floor proxy only — 300-city expansion</x:v>
      </x:c>
      <x:c r="N663" s="160" t="str">
        <x:v>Added in the 300-city screening expansion. One-store screening floor only; exact selected-chain count and 5-mile buffer require GIS verification.</x:v>
      </x:c>
      <x:c r="O663" s="160" t="str">
        <x:v>Riverside County</x:v>
      </x:c>
    </x:row>
    <x:row r="664" s="44" customFormat="1">
      <x:c r="A664" s="1" t="n">
        <x:v>694</x:v>
      </x:c>
      <x:c r="B664" s="1" t="str">
        <x:v>Bath Township</x:v>
      </x:c>
      <x:c r="C664" s="1" t="str">
        <x:v>OH</x:v>
      </x:c>
      <x:c r="D664" s="161" t="n">
        <x:v>37.385</x:v>
      </x:c>
      <x:c r="E664" s="1" t="n">
        <x:v>0</x:v>
      </x:c>
      <x:c r="F664" s="1" t="n">
        <x:v>0</x:v>
      </x:c>
      <x:c r="G664" s="1" t="n">
        <x:v>0</x:v>
      </x:c>
      <x:c r="H664" s="1" t="n">
        <x:v>0</x:v>
      </x:c>
      <x:c r="I664" s="1" t="n">
        <x:v>0</x:v>
      </x:c>
      <x:c r="J664" s="1" t="n">
        <x:v>1</x:v>
      </x:c>
      <x:c r="K664" s="1" t="n">
        <x:f>SUM(E664:J664)</x:f>
        <x:v>1</x:v>
      </x:c>
      <x:c r="L664" s="163" t="n">
        <x:f>IFERROR(K664/D664,0)</x:f>
        <x:v>0.02674869600106995</x:v>
      </x:c>
      <x:c r="M664" s="160" t="str">
        <x:v>Presence-floor proxy only — 10k+ municipality completion</x:v>
      </x:c>
      <x:c r="N664" s="160" t="str">
        <x:v>Added under the &gt;=50k-county expansion rule: Census Vintage 2025 municipality population &gt;=10,000; general-purpose city-equivalent municipality; direct Census adjacency. Presence-floor proxy only — exact tracked-chain count requires municipal-boundary/GIS verification. County V2025 population 174,322; all five are above the 10,000 municipal threshold.</x:v>
      </x:c>
      <x:c r="O664" s="160" t="str">
        <x:v>Greene County</x:v>
      </x:c>
    </x:row>
    <x:row r="665" s="44" customFormat="1">
      <x:c r="A665" s="1" t="n">
        <x:v>695</x:v>
      </x:c>
      <x:c r="B665" s="1" t="str">
        <x:v>Worcester</x:v>
      </x:c>
      <x:c r="C665" s="1" t="str">
        <x:v>MA</x:v>
      </x:c>
      <x:c r="D665" s="161" t="n">
        <x:v>37.4</x:v>
      </x:c>
      <x:c r="E665" s="1" t="n">
        <x:v>0</x:v>
      </x:c>
      <x:c r="F665" s="1" t="n">
        <x:v>0</x:v>
      </x:c>
      <x:c r="G665" s="1" t="n">
        <x:v>0</x:v>
      </x:c>
      <x:c r="H665" s="1" t="n">
        <x:v>0</x:v>
      </x:c>
      <x:c r="I665" s="1" t="n">
        <x:v>0</x:v>
      </x:c>
      <x:c r="J665" s="1" t="n">
        <x:v>1</x:v>
      </x:c>
      <x:c r="K665" s="1" t="n">
        <x:f>SUM(E665:J665)</x:f>
        <x:v>1</x:v>
      </x:c>
      <x:c r="L665" s="163" t="n">
        <x:f>IFERROR(K665/D665,0)</x:f>
        <x:v>0.026737967914438502</x:v>
      </x:c>
      <x:c r="M665" s="160" t="str">
        <x:v>Presence-floor proxy only — 200-city expansion</x:v>
      </x:c>
      <x:c r="N665" s="160" t="str">
        <x:v>Added in the 200-city screening expansion. One-store screening floor only; exact selected-chain count and 5-mile buffer require GIS verification.</x:v>
      </x:c>
      <x:c r="O665" s="160" t="str">
        <x:v>Worcester County</x:v>
      </x:c>
    </x:row>
    <x:row r="666" s="44" customFormat="1">
      <x:c r="A666" s="1" t="n">
        <x:v>696</x:v>
      </x:c>
      <x:c r="B666" s="1" t="str">
        <x:v>Raritan Township</x:v>
      </x:c>
      <x:c r="C666" s="1" t="str">
        <x:v>NJ</x:v>
      </x:c>
      <x:c r="D666" s="161" t="n">
        <x:v>37.482</x:v>
      </x:c>
      <x:c r="E666" s="1" t="n">
        <x:v>0</x:v>
      </x:c>
      <x:c r="F666" s="1" t="n">
        <x:v>0</x:v>
      </x:c>
      <x:c r="G666" s="1" t="n">
        <x:v>0</x:v>
      </x:c>
      <x:c r="H666" s="1" t="n">
        <x:v>0</x:v>
      </x:c>
      <x:c r="I666" s="1" t="n">
        <x:v>0</x:v>
      </x:c>
      <x:c r="J666" s="1" t="n">
        <x:v>1</x:v>
      </x:c>
      <x:c r="K666" s="1" t="n">
        <x:f>SUM(E666:J666)</x:f>
        <x:v>1</x:v>
      </x:c>
      <x:c r="L666" s="163" t="n">
        <x:f>IFERROR(K666/D666,0)</x:f>
        <x:v>0.026679472813617204</x:v>
      </x:c>
      <x:c r="M666" s="160" t="str">
        <x:v>Presence-floor proxy only — 10k+ municipality completion</x:v>
      </x:c>
      <x:c r="N666" s="160" t="str">
        <x:v>Added under the &gt;=50k-county expansion rule: Census Vintage 2025 municipality population &gt;=10,000; general-purpose city-equivalent municipality; direct Census adjacency. Presence-floor proxy only — exact tracked-chain count requires municipal-boundary/GIS verification. V2025 populations include Raritan 25,281, Readington 16,406, and Clinton Township 13,412.</x:v>
      </x:c>
      <x:c r="O666" s="160" t="str">
        <x:v>Hunterdon County</x:v>
      </x:c>
    </x:row>
    <x:row r="667" s="44" customFormat="1">
      <x:c r="A667" s="1" t="n">
        <x:v>698</x:v>
      </x:c>
      <x:c r="B667" s="1" t="str">
        <x:v>Stamford</x:v>
      </x:c>
      <x:c r="C667" s="1" t="str">
        <x:v>CT</x:v>
      </x:c>
      <x:c r="D667" s="161" t="n">
        <x:v>37.6</x:v>
      </x:c>
      <x:c r="E667" s="1" t="n">
        <x:v>0</x:v>
      </x:c>
      <x:c r="F667" s="1" t="n">
        <x:v>0</x:v>
      </x:c>
      <x:c r="G667" s="1" t="n">
        <x:v>0</x:v>
      </x:c>
      <x:c r="H667" s="1" t="n">
        <x:v>0</x:v>
      </x:c>
      <x:c r="I667" s="1" t="n">
        <x:v>0</x:v>
      </x:c>
      <x:c r="J667" s="1" t="n">
        <x:v>1</x:v>
      </x:c>
      <x:c r="K667" s="1" t="n">
        <x:f>SUM(E667:J667)</x:f>
        <x:v>1</x:v>
      </x:c>
      <x:c r="L667" s="163" t="n">
        <x:f>IFERROR(K667/D667,0)</x:f>
        <x:v>0.026595744680851064</x:v>
      </x:c>
      <x:c r="M667" s="160" t="str">
        <x:v>Presence-floor proxy only — 250-city expansion</x:v>
      </x:c>
      <x:c r="N667" s="160" t="str">
        <x:v>Added in the 250-city screening expansion. One-store screening floor only; exact selected-chain count and 5-mile buffer require GIS verification.</x:v>
      </x:c>
      <x:c r="O667" s="160" t="str">
        <x:v>Fairfield County</x:v>
      </x:c>
    </x:row>
    <x:row r="668" s="44" customFormat="1">
      <x:c r="A668" s="1" t="n">
        <x:v>699</x:v>
      </x:c>
      <x:c r="B668" s="1" t="str">
        <x:v>Round Rock</x:v>
      </x:c>
      <x:c r="C668" s="1" t="str">
        <x:v>TX</x:v>
      </x:c>
      <x:c r="D668" s="161" t="n">
        <x:v>37.6</x:v>
      </x:c>
      <x:c r="E668" s="1" t="n">
        <x:v>0</x:v>
      </x:c>
      <x:c r="F668" s="1" t="n">
        <x:v>0</x:v>
      </x:c>
      <x:c r="G668" s="1" t="n">
        <x:v>0</x:v>
      </x:c>
      <x:c r="H668" s="1" t="n">
        <x:v>0</x:v>
      </x:c>
      <x:c r="I668" s="1" t="n">
        <x:v>0</x:v>
      </x:c>
      <x:c r="J668" s="1" t="n">
        <x:v>1</x:v>
      </x:c>
      <x:c r="K668" s="1" t="n">
        <x:f>SUM(E668:J668)</x:f>
        <x:v>1</x:v>
      </x:c>
      <x:c r="L668" s="163" t="n">
        <x:f>IFERROR(K668/D668,0)</x:f>
        <x:v>0.026595744680851064</x:v>
      </x:c>
      <x:c r="M668" s="160" t="str">
        <x:v>Presence-floor proxy only — 250-city expansion</x:v>
      </x:c>
      <x:c r="N668" s="160" t="str">
        <x:v>Added in the 250-city screening expansion. One-store screening floor only; exact selected-chain count and 5-mile buffer require GIS verification.</x:v>
      </x:c>
      <x:c r="O668" s="160" t="str">
        <x:v>Williamson County</x:v>
      </x:c>
    </x:row>
    <x:row r="669" s="44" customFormat="1">
      <x:c r="A669" s="1" t="n">
        <x:v>700</x:v>
      </x:c>
      <x:c r="B669" s="1" t="str">
        <x:v>Sandy Springs</x:v>
      </x:c>
      <x:c r="C669" s="1" t="str">
        <x:v>GA</x:v>
      </x:c>
      <x:c r="D669" s="161" t="n">
        <x:v>37.71</x:v>
      </x:c>
      <x:c r="E669" s="1" t="n">
        <x:v>0</x:v>
      </x:c>
      <x:c r="F669" s="1" t="n">
        <x:v>0</x:v>
      </x:c>
      <x:c r="G669" s="1" t="n">
        <x:v>0</x:v>
      </x:c>
      <x:c r="H669" s="1" t="n">
        <x:v>0</x:v>
      </x:c>
      <x:c r="I669" s="1" t="n">
        <x:v>0</x:v>
      </x:c>
      <x:c r="J669" s="1" t="n">
        <x:v>1</x:v>
      </x:c>
      <x:c r="K669" s="1" t="n">
        <x:f>SUM(E669:J669)</x:f>
        <x:v>1</x:v>
      </x:c>
      <x:c r="L669" s="163" t="n">
        <x:f>IFERROR(K669/D669,0)</x:f>
        <x:v>0.026518164942985943</x:v>
      </x:c>
      <x:c r="M669" s="160" t="str">
        <x:v>Presence-floor proxy only — 50k+ county completion</x:v>
      </x:c>
      <x:c r="N669"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669" s="160" t="str">
        <x:v>Fulton County</x:v>
      </x:c>
    </x:row>
    <x:row r="670" s="44" customFormat="1">
      <x:c r="A670" s="1" t="n">
        <x:v>701</x:v>
      </x:c>
      <x:c r="B670" s="1" t="str">
        <x:v>Carlsbad</x:v>
      </x:c>
      <x:c r="C670" s="1" t="str">
        <x:v>CA</x:v>
      </x:c>
      <x:c r="D670" s="161" t="n">
        <x:v>37.8</x:v>
      </x:c>
      <x:c r="E670" s="1" t="n">
        <x:v>0</x:v>
      </x:c>
      <x:c r="F670" s="1" t="n">
        <x:v>0</x:v>
      </x:c>
      <x:c r="G670" s="1" t="n">
        <x:v>0</x:v>
      </x:c>
      <x:c r="H670" s="1" t="n">
        <x:v>0</x:v>
      </x:c>
      <x:c r="I670" s="1" t="n">
        <x:v>0</x:v>
      </x:c>
      <x:c r="J670" s="1" t="n">
        <x:v>1</x:v>
      </x:c>
      <x:c r="K670" s="1" t="n">
        <x:f>SUM(E670:J670)</x:f>
        <x:v>1</x:v>
      </x:c>
      <x:c r="L670" s="163" t="n">
        <x:f>IFERROR(K670/D670,0)</x:f>
        <x:v>0.026455026455026457</x:v>
      </x:c>
      <x:c r="M670" s="160" t="str">
        <x:v>Presence-floor proxy only — 300-city expansion</x:v>
      </x:c>
      <x:c r="N670" s="160" t="str">
        <x:v>Added in the 300-city screening expansion. One-store screening floor only; exact selected-chain count and 5-mile buffer require GIS verification.</x:v>
      </x:c>
      <x:c r="O670" s="160" t="str">
        <x:v>San Diego County</x:v>
      </x:c>
    </x:row>
    <x:row r="671" s="44" customFormat="1">
      <x:c r="A671" s="1" t="n">
        <x:v>702</x:v>
      </x:c>
      <x:c r="B671" s="1" t="str">
        <x:v>Dallas</x:v>
      </x:c>
      <x:c r="C671" s="1" t="str">
        <x:v>TX</x:v>
      </x:c>
      <x:c r="D671" s="161" t="n">
        <x:v>340.519</x:v>
      </x:c>
      <x:c r="E671" s="1" t="n">
        <x:v>3</x:v>
      </x:c>
      <x:c r="F671" s="1" t="n">
        <x:v>6</x:v>
      </x:c>
      <x:c r="G671" s="1" t="n">
        <x:v>0</x:v>
      </x:c>
      <x:c r="H671" s="1" t="n">
        <x:v>0</x:v>
      </x:c>
      <x:c r="I671" s="1" t="n">
        <x:v>0</x:v>
      </x:c>
      <x:c r="J671" s="1" t="n">
        <x:v>0</x:v>
      </x:c>
      <x:c r="K671" s="1" t="n">
        <x:f>SUM(E671:J671)</x:f>
        <x:v>9</x:v>
      </x:c>
      <x:c r="L671" s="163" t="n">
        <x:f>IFERROR(K671/D671,0)</x:f>
        <x:v>0.026430243246338678</x:v>
      </x:c>
      <x:c r="M671" s="160" t="str">
        <x:v>Confirmed lower bound</x:v>
      </x:c>
      <x:c r="N671" s="160" t="str">
        <x:v>Verified public-directory count for ≥1 major chain; other selected chains and 5-mile spillover omitted.</x:v>
      </x:c>
      <x:c r="O671" s="160" t="str">
        <x:v>Dallas County</x:v>
      </x:c>
    </x:row>
    <x:row r="672" s="44" customFormat="1">
      <x:c r="A672" s="1" t="n">
        <x:v>703</x:v>
      </x:c>
      <x:c r="B672" s="1" t="str">
        <x:v>Visalia</x:v>
      </x:c>
      <x:c r="C672" s="1" t="str">
        <x:v>CA</x:v>
      </x:c>
      <x:c r="D672" s="161" t="n">
        <x:v>37.9</x:v>
      </x:c>
      <x:c r="E672" s="1" t="n">
        <x:v>0</x:v>
      </x:c>
      <x:c r="F672" s="1" t="n">
        <x:v>0</x:v>
      </x:c>
      <x:c r="G672" s="1" t="n">
        <x:v>0</x:v>
      </x:c>
      <x:c r="H672" s="1" t="n">
        <x:v>0</x:v>
      </x:c>
      <x:c r="I672" s="1" t="n">
        <x:v>0</x:v>
      </x:c>
      <x:c r="J672" s="1" t="n">
        <x:v>1</x:v>
      </x:c>
      <x:c r="K672" s="1" t="n">
        <x:f>SUM(E672:J672)</x:f>
        <x:v>1</x:v>
      </x:c>
      <x:c r="L672" s="163" t="n">
        <x:f>IFERROR(K672/D672,0)</x:f>
        <x:v>0.026385224274406333</x:v>
      </x:c>
      <x:c r="M672" s="160" t="str">
        <x:v>Presence-floor proxy only — 200-city expansion</x:v>
      </x:c>
      <x:c r="N672" s="160" t="str">
        <x:v>Added in the 200-city screening expansion. One-store screening floor only; exact selected-chain count and 5-mile buffer require GIS verification.</x:v>
      </x:c>
      <x:c r="O672" s="160" t="str">
        <x:v>Tulare County</x:v>
      </x:c>
    </x:row>
    <x:row r="673" s="44" customFormat="1">
      <x:c r="A673" s="1" t="n">
        <x:v>704</x:v>
      </x:c>
      <x:c r="B673" s="1" t="str">
        <x:v>Elgin</x:v>
      </x:c>
      <x:c r="C673" s="1" t="str">
        <x:v>IL</x:v>
      </x:c>
      <x:c r="D673" s="161" t="n">
        <x:v>38</x:v>
      </x:c>
      <x:c r="E673" s="1" t="n">
        <x:v>0</x:v>
      </x:c>
      <x:c r="F673" s="1" t="n">
        <x:v>0</x:v>
      </x:c>
      <x:c r="G673" s="1" t="n">
        <x:v>0</x:v>
      </x:c>
      <x:c r="H673" s="1" t="n">
        <x:v>0</x:v>
      </x:c>
      <x:c r="I673" s="1" t="n">
        <x:v>0</x:v>
      </x:c>
      <x:c r="J673" s="1" t="n">
        <x:v>1</x:v>
      </x:c>
      <x:c r="K673" s="1" t="n">
        <x:f>SUM(E673:J673)</x:f>
        <x:v>1</x:v>
      </x:c>
      <x:c r="L673" s="163" t="n">
        <x:f>IFERROR(K673/D673,0)</x:f>
        <x:v>0.02631578947368421</x:v>
      </x:c>
      <x:c r="M673" s="160" t="str">
        <x:v>Presence-floor proxy only — 300-city expansion</x:v>
      </x:c>
      <x:c r="N673" s="160" t="str">
        <x:v>Added in the 300-city screening expansion. One-store screening floor only; exact selected-chain count and 5-mile buffer require GIS verification.</x:v>
      </x:c>
      <x:c r="O673" s="160" t="str">
        <x:v>Kane County</x:v>
      </x:c>
    </x:row>
    <x:row r="674" s="44" customFormat="1">
      <x:c r="A674" s="1" t="n">
        <x:v>706</x:v>
      </x:c>
      <x:c r="B674" s="1" t="str">
        <x:v>Lake Elsinore</x:v>
      </x:c>
      <x:c r="C674" s="1" t="str">
        <x:v>CA</x:v>
      </x:c>
      <x:c r="D674" s="161" t="n">
        <x:v>38.269</x:v>
      </x:c>
      <x:c r="E674" s="1" t="n">
        <x:v>0</x:v>
      </x:c>
      <x:c r="F674" s="1" t="n">
        <x:v>0</x:v>
      </x:c>
      <x:c r="G674" s="1" t="n">
        <x:v>0</x:v>
      </x:c>
      <x:c r="H674" s="1" t="n">
        <x:v>0</x:v>
      </x:c>
      <x:c r="I674" s="1" t="n">
        <x:v>0</x:v>
      </x:c>
      <x:c r="J674" s="1" t="n">
        <x:v>1</x:v>
      </x:c>
      <x:c r="K674" s="1" t="n">
        <x:f>SUM(E674:J674)</x:f>
        <x:v>1</x:v>
      </x:c>
      <x:c r="L674" s="163" t="n">
        <x:f>IFERROR(K674/D674,0)</x:f>
        <x:v>0.026130810839060336</x:v>
      </x:c>
      <x:c r="M674" s="160" t="str">
        <x:v>Presence-floor proxy only — 50k+ county completion</x:v>
      </x:c>
      <x:c r="N674"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674" s="160" t="str">
        <x:v>Riverside County</x:v>
      </x:c>
    </x:row>
    <x:row r="675" s="44" customFormat="1">
      <x:c r="A675" s="1" t="n">
        <x:v>707</x:v>
      </x:c>
      <x:c r="B675" s="1" t="str">
        <x:v>Clarkstown Town</x:v>
      </x:c>
      <x:c r="C675" s="1" t="str">
        <x:v>NY</x:v>
      </x:c>
      <x:c r="D675" s="161" t="n">
        <x:v>38.465</x:v>
      </x:c>
      <x:c r="E675" s="1" t="n">
        <x:v>0</x:v>
      </x:c>
      <x:c r="F675" s="1" t="n">
        <x:v>0</x:v>
      </x:c>
      <x:c r="G675" s="1" t="n">
        <x:v>0</x:v>
      </x:c>
      <x:c r="H675" s="1" t="n">
        <x:v>0</x:v>
      </x:c>
      <x:c r="I675" s="1" t="n">
        <x:v>0</x:v>
      </x:c>
      <x:c r="J675" s="1" t="n">
        <x:v>1</x:v>
      </x:c>
      <x:c r="K675" s="1" t="n">
        <x:f>SUM(E675:J675)</x:f>
        <x:v>1</x:v>
      </x:c>
      <x:c r="L675" s="163" t="n">
        <x:f>IFERROR(K675/D675,0)</x:f>
        <x:v>0.025997660210581044</x:v>
      </x:c>
      <x:c r="M675" s="160" t="str">
        <x:v>Presence-floor proxy only — 10k+ municipality completion</x:v>
      </x:c>
      <x:c r="N675"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Nested New York villages are excluded under the established non-overlapping towns convention.</x:v>
      </x:c>
      <x:c r="O675" s="160" t="str">
        <x:v>Rockland County</x:v>
      </x:c>
    </x:row>
    <x:row r="676" s="44" customFormat="1">
      <x:c r="A676" s="1" t="n">
        <x:v>708</x:v>
      </x:c>
      <x:c r="B676" s="1" t="str">
        <x:v>Saco city</x:v>
      </x:c>
      <x:c r="C676" s="1" t="str">
        <x:v>ME</x:v>
      </x:c>
      <x:c r="D676" s="161" t="n">
        <x:v>38.585</x:v>
      </x:c>
      <x:c r="E676" s="1" t="n">
        <x:v>0</x:v>
      </x:c>
      <x:c r="F676" s="1" t="n">
        <x:v>0</x:v>
      </x:c>
      <x:c r="G676" s="1" t="n">
        <x:v>0</x:v>
      </x:c>
      <x:c r="H676" s="1" t="n">
        <x:v>0</x:v>
      </x:c>
      <x:c r="I676" s="1" t="n">
        <x:v>0</x:v>
      </x:c>
      <x:c r="J676" s="1" t="n">
        <x:v>1</x:v>
      </x:c>
      <x:c r="K676" s="1" t="n">
        <x:f>SUM(E676:J676)</x:f>
        <x:v>1</x:v>
      </x:c>
      <x:c r="L676" s="163" t="n">
        <x:f>IFERROR(K676/D676,0)</x:f>
        <x:v>0.025916807049371517</x:v>
      </x:c>
      <x:c r="M676" s="160" t="str">
        <x:v>Presence-floor proxy only — 10k+ municipality completion</x:v>
      </x:c>
      <x:c r="N676"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676" s="160" t="str">
        <x:v>York County</x:v>
      </x:c>
    </x:row>
    <x:row r="677" s="44" customFormat="1">
      <x:c r="A677" s="1" t="n">
        <x:v>710</x:v>
      </x:c>
      <x:c r="B677" s="1" t="str">
        <x:v>Freehold Township</x:v>
      </x:c>
      <x:c r="C677" s="1" t="str">
        <x:v>NJ</x:v>
      </x:c>
      <x:c r="D677" s="161" t="n">
        <x:v>38.653</x:v>
      </x:c>
      <x:c r="E677" s="1" t="n">
        <x:v>0</x:v>
      </x:c>
      <x:c r="F677" s="1" t="n">
        <x:v>0</x:v>
      </x:c>
      <x:c r="G677" s="1" t="n">
        <x:v>0</x:v>
      </x:c>
      <x:c r="H677" s="1" t="n">
        <x:v>0</x:v>
      </x:c>
      <x:c r="I677" s="1" t="n">
        <x:v>0</x:v>
      </x:c>
      <x:c r="J677" s="1" t="n">
        <x:v>1</x:v>
      </x:c>
      <x:c r="K677" s="1" t="n">
        <x:f>SUM(E677:J677)</x:f>
        <x:v>1</x:v>
      </x:c>
      <x:c r="L677" s="163" t="n">
        <x:f>IFERROR(K677/D677,0)</x:f>
        <x:v>0.025871213101182317</x:v>
      </x:c>
      <x:c r="M677" s="160" t="str">
        <x:v>Presence-floor proxy only — 10k+ municipality completion</x:v>
      </x:c>
      <x:c r="N677"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677" s="160" t="str">
        <x:v>Monmouth County</x:v>
      </x:c>
    </x:row>
    <x:row r="678" s="44" customFormat="1">
      <x:c r="A678" s="1" t="n">
        <x:v>711</x:v>
      </x:c>
      <x:c r="B678" s="1" t="str">
        <x:v>Medford Township</x:v>
      </x:c>
      <x:c r="C678" s="1" t="str">
        <x:v>NJ</x:v>
      </x:c>
      <x:c r="D678" s="161" t="n">
        <x:v>38.799</x:v>
      </x:c>
      <x:c r="E678" s="1" t="n">
        <x:v>0</x:v>
      </x:c>
      <x:c r="F678" s="1" t="n">
        <x:v>0</x:v>
      </x:c>
      <x:c r="G678" s="1" t="n">
        <x:v>0</x:v>
      </x:c>
      <x:c r="H678" s="1" t="n">
        <x:v>0</x:v>
      </x:c>
      <x:c r="I678" s="1" t="n">
        <x:v>0</x:v>
      </x:c>
      <x:c r="J678" s="1" t="n">
        <x:v>1</x:v>
      </x:c>
      <x:c r="K678" s="1" t="n">
        <x:f>SUM(E678:J678)</x:f>
        <x:v>1</x:v>
      </x:c>
      <x:c r="L678" s="163" t="n">
        <x:f>IFERROR(K678/D678,0)</x:f>
        <x:v>0.02577386015103482</x:v>
      </x:c>
      <x:c r="M678" s="160" t="str">
        <x:v>Presence-floor proxy only — 10k+ municipality completion</x:v>
      </x:c>
      <x:c r="N67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678" s="160" t="str">
        <x:v>Burlington County</x:v>
      </x:c>
    </x:row>
    <x:row r="679" s="44" customFormat="1">
      <x:c r="A679" s="1" t="n">
        <x:v>712</x:v>
      </x:c>
      <x:c r="B679" s="1" t="str">
        <x:v>Arvada</x:v>
      </x:c>
      <x:c r="C679" s="1" t="str">
        <x:v>CO</x:v>
      </x:c>
      <x:c r="D679" s="161" t="n">
        <x:v>38.9</x:v>
      </x:c>
      <x:c r="E679" s="1" t="n">
        <x:v>0</x:v>
      </x:c>
      <x:c r="F679" s="1" t="n">
        <x:v>0</x:v>
      </x:c>
      <x:c r="G679" s="1" t="n">
        <x:v>0</x:v>
      </x:c>
      <x:c r="H679" s="1" t="n">
        <x:v>0</x:v>
      </x:c>
      <x:c r="I679" s="1" t="n">
        <x:v>0</x:v>
      </x:c>
      <x:c r="J679" s="1" t="n">
        <x:v>1</x:v>
      </x:c>
      <x:c r="K679" s="1" t="n">
        <x:f>SUM(E679:J679)</x:f>
        <x:v>1</x:v>
      </x:c>
      <x:c r="L679" s="163" t="n">
        <x:f>IFERROR(K679/D679,0)</x:f>
        <x:v>0.02570694087403599</x:v>
      </x:c>
      <x:c r="M679" s="160" t="str">
        <x:v>Presence-floor proxy only — 250-city expansion</x:v>
      </x:c>
      <x:c r="N679" s="160" t="str">
        <x:v>Added in the 250-city screening expansion. One-store screening floor only; exact selected-chain count and 5-mile buffer require GIS verification.</x:v>
      </x:c>
      <x:c r="O679" s="160" t="str">
        <x:v>Jefferson County</x:v>
      </x:c>
    </x:row>
    <x:row r="680" s="44" customFormat="1">
      <x:c r="A680" s="1" t="n">
        <x:v>713</x:v>
      </x:c>
      <x:c r="B680" s="1" t="str">
        <x:v>Jefferson Township</x:v>
      </x:c>
      <x:c r="C680" s="1" t="str">
        <x:v>NJ</x:v>
      </x:c>
      <x:c r="D680" s="161" t="n">
        <x:v>38.968</x:v>
      </x:c>
      <x:c r="E680" s="1" t="n">
        <x:v>0</x:v>
      </x:c>
      <x:c r="F680" s="1" t="n">
        <x:v>0</x:v>
      </x:c>
      <x:c r="G680" s="1" t="n">
        <x:v>0</x:v>
      </x:c>
      <x:c r="H680" s="1" t="n">
        <x:v>0</x:v>
      </x:c>
      <x:c r="I680" s="1" t="n">
        <x:v>0</x:v>
      </x:c>
      <x:c r="J680" s="1" t="n">
        <x:v>1</x:v>
      </x:c>
      <x:c r="K680" s="1" t="n">
        <x:f>SUM(E680:J680)</x:f>
        <x:v>1</x:v>
      </x:c>
      <x:c r="L680" s="163" t="n">
        <x:f>IFERROR(K680/D680,0)</x:f>
        <x:v>0.025662081708068156</x:v>
      </x:c>
      <x:c r="M680" s="160" t="str">
        <x:v>Presence-floor proxy only — 10k+ municipality completion</x:v>
      </x:c>
      <x:c r="N68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680" s="160" t="str">
        <x:v>Morris County</x:v>
      </x:c>
    </x:row>
    <x:row r="681" s="44" customFormat="1">
      <x:c r="A681" s="1" t="n">
        <x:v>714</x:v>
      </x:c>
      <x:c r="B681" s="1" t="str">
        <x:v>Washington township</x:v>
      </x:c>
      <x:c r="C681" s="1" t="str">
        <x:v>PA</x:v>
      </x:c>
      <x:c r="D681" s="161" t="n">
        <x:v>39.09</x:v>
      </x:c>
      <x:c r="E681" s="1" t="n">
        <x:v>0</x:v>
      </x:c>
      <x:c r="F681" s="1" t="n">
        <x:v>0</x:v>
      </x:c>
      <x:c r="G681" s="1" t="n">
        <x:v>0</x:v>
      </x:c>
      <x:c r="H681" s="1" t="n">
        <x:v>0</x:v>
      </x:c>
      <x:c r="I681" s="1" t="n">
        <x:v>0</x:v>
      </x:c>
      <x:c r="J681" s="1" t="n">
        <x:v>1</x:v>
      </x:c>
      <x:c r="K681" s="1" t="n">
        <x:f>SUM(E681:J681)</x:f>
        <x:v>1</x:v>
      </x:c>
      <x:c r="L681" s="163" t="n">
        <x:f>IFERROR(K681/D681,0)</x:f>
        <x:v>0.02558199027884369</x:v>
      </x:c>
      <x:c r="M681" s="160" t="str">
        <x:v>Presence-floor proxy only — 10k+ municipality completion</x:v>
      </x:c>
      <x:c r="N681"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681" s="160" t="str">
        <x:v>Franklin County</x:v>
      </x:c>
    </x:row>
    <x:row r="682" s="44" customFormat="1">
      <x:c r="A682" s="1" t="n">
        <x:v>715</x:v>
      </x:c>
      <x:c r="B682" s="1" t="str">
        <x:v>Naperville</x:v>
      </x:c>
      <x:c r="C682" s="1" t="str">
        <x:v>IL</x:v>
      </x:c>
      <x:c r="D682" s="161" t="n">
        <x:v>39.1</x:v>
      </x:c>
      <x:c r="E682" s="1" t="n">
        <x:v>0</x:v>
      </x:c>
      <x:c r="F682" s="1" t="n">
        <x:v>0</x:v>
      </x:c>
      <x:c r="G682" s="1" t="n">
        <x:v>0</x:v>
      </x:c>
      <x:c r="H682" s="1" t="n">
        <x:v>0</x:v>
      </x:c>
      <x:c r="I682" s="1" t="n">
        <x:v>0</x:v>
      </x:c>
      <x:c r="J682" s="1" t="n">
        <x:v>1</x:v>
      </x:c>
      <x:c r="K682" s="1" t="n">
        <x:f>SUM(E682:J682)</x:f>
        <x:v>1</x:v>
      </x:c>
      <x:c r="L682" s="163" t="n">
        <x:f>IFERROR(K682/D682,0)</x:f>
        <x:v>0.02557544757033248</x:v>
      </x:c>
      <x:c r="M682" s="160" t="str">
        <x:v>Presence-floor proxy only — 200-city expansion</x:v>
      </x:c>
      <x:c r="N682" s="160" t="str">
        <x:v>Added in the 200-city screening expansion. One-store screening floor only; exact selected-chain count and 5-mile buffer require GIS verification.</x:v>
      </x:c>
      <x:c r="O682" s="160" t="str">
        <x:v>DuPage County</x:v>
      </x:c>
    </x:row>
    <x:row r="683" s="44" customFormat="1">
      <x:c r="A683" s="1" t="n">
        <x:v>716</x:v>
      </x:c>
      <x:c r="B683" s="1" t="str">
        <x:v>Lansing</x:v>
      </x:c>
      <x:c r="C683" s="1" t="str">
        <x:v>MI</x:v>
      </x:c>
      <x:c r="D683" s="161" t="n">
        <x:v>39.1</x:v>
      </x:c>
      <x:c r="E683" s="1" t="n">
        <x:v>0</x:v>
      </x:c>
      <x:c r="F683" s="1" t="n">
        <x:v>0</x:v>
      </x:c>
      <x:c r="G683" s="1" t="n">
        <x:v>0</x:v>
      </x:c>
      <x:c r="H683" s="1" t="n">
        <x:v>0</x:v>
      </x:c>
      <x:c r="I683" s="1" t="n">
        <x:v>0</x:v>
      </x:c>
      <x:c r="J683" s="1" t="n">
        <x:v>1</x:v>
      </x:c>
      <x:c r="K683" s="1" t="n">
        <x:f>SUM(E683:J683)</x:f>
        <x:v>1</x:v>
      </x:c>
      <x:c r="L683" s="163" t="n">
        <x:f>IFERROR(K683/D683,0)</x:f>
        <x:v>0.02557544757033248</x:v>
      </x:c>
      <x:c r="M683" s="160" t="str">
        <x:v>Presence-floor proxy only — 300-city expansion</x:v>
      </x:c>
      <x:c r="N683" s="160" t="str">
        <x:v>Added in the 300-city screening expansion. One-store screening floor only; exact selected-chain count and 5-mile buffer require GIS verification.</x:v>
      </x:c>
      <x:c r="O683" s="160" t="str">
        <x:v>Ingham County</x:v>
      </x:c>
    </x:row>
    <x:row r="684" s="44" customFormat="1">
      <x:c r="A684" s="1" t="n">
        <x:v>717</x:v>
      </x:c>
      <x:c r="B684" s="1" t="str">
        <x:v>Bedford Township</x:v>
      </x:c>
      <x:c r="C684" s="1" t="str">
        <x:v>MI</x:v>
      </x:c>
      <x:c r="D684" s="161" t="n">
        <x:v>39.206</x:v>
      </x:c>
      <x:c r="E684" s="1" t="n">
        <x:v>0</x:v>
      </x:c>
      <x:c r="F684" s="1" t="n">
        <x:v>0</x:v>
      </x:c>
      <x:c r="G684" s="1" t="n">
        <x:v>0</x:v>
      </x:c>
      <x:c r="H684" s="1" t="n">
        <x:v>0</x:v>
      </x:c>
      <x:c r="I684" s="1" t="n">
        <x:v>0</x:v>
      </x:c>
      <x:c r="J684" s="1" t="n">
        <x:v>1</x:v>
      </x:c>
      <x:c r="K684" s="1" t="n">
        <x:f>SUM(E684:J684)</x:f>
        <x:v>1</x:v>
      </x:c>
      <x:c r="L684" s="163" t="n">
        <x:f>IFERROR(K684/D684,0)</x:f>
        <x:v>0.02550630005611386</x:v>
      </x:c>
      <x:c r="M684" s="160" t="str">
        <x:v>Presence-floor proxy only — 10k+ municipality completion</x:v>
      </x:c>
      <x:c r="N684" s="160" t="str">
        <x:v>Added under the &gt;=50k-county expansion rule: Census Vintage 2025 municipality population &gt;=10,000; general-purpose city-equivalent municipality; direct Census adjacency. Presence-floor proxy only — exact tracked-chain count requires municipal-boundary/GIS verification. Alive Naturally and Monroe Farmers Market provide county specialty-food evidence; no tracked-chain municipal count is assigned.</x:v>
      </x:c>
      <x:c r="O684" s="160" t="str">
        <x:v>Monroe County</x:v>
      </x:c>
    </x:row>
    <x:row r="685" s="44" customFormat="1">
      <x:c r="A685" s="1" t="n">
        <x:v>718</x:v>
      </x:c>
      <x:c r="B685" s="1" t="str">
        <x:v>Farmington town</x:v>
      </x:c>
      <x:c r="C685" s="1" t="str">
        <x:v>NY</x:v>
      </x:c>
      <x:c r="D685" s="161" t="n">
        <x:v>39.44</x:v>
      </x:c>
      <x:c r="E685" s="1" t="n">
        <x:v>0</x:v>
      </x:c>
      <x:c r="F685" s="1" t="n">
        <x:v>0</x:v>
      </x:c>
      <x:c r="G685" s="1" t="n">
        <x:v>0</x:v>
      </x:c>
      <x:c r="H685" s="1" t="n">
        <x:v>0</x:v>
      </x:c>
      <x:c r="I685" s="1" t="n">
        <x:v>0</x:v>
      </x:c>
      <x:c r="J685" s="1" t="n">
        <x:v>1</x:v>
      </x:c>
      <x:c r="K685" s="1" t="n">
        <x:f>SUM(E685:J685)</x:f>
        <x:v>1</x:v>
      </x:c>
      <x:c r="L685" s="163" t="n">
        <x:f>IFERROR(K685/D685,0)</x:f>
        <x:v>0.025354969574036514</x:v>
      </x:c>
      <x:c r="M685" s="160" t="str">
        <x:v>Presence-floor proxy only — 10k+ municipality completion</x:v>
      </x:c>
      <x:c r="N685" s="160" t="str">
        <x:v>Added under the 2026-09-15 &gt;=50k-county expansion rule: Census Vintage 2025 municipality population &gt;=10,000; general-purpose city-equivalent municipality; direct Census adjacency. Presence-floor proxy only — exact tracked-chain count requires municipal-boundary/GIS verification. Manchester town (9,225) and Phelps town (6,559) are below the 10,000 threshold.</x:v>
      </x:c>
      <x:c r="O685" s="160" t="str">
        <x:v>Ontario County</x:v>
      </x:c>
    </x:row>
    <x:row r="686" s="44" customFormat="1">
      <x:c r="A686" s="1" t="n">
        <x:v>720</x:v>
      </x:c>
      <x:c r="B686" s="1" t="str">
        <x:v>Batavia Township</x:v>
      </x:c>
      <x:c r="C686" s="1" t="str">
        <x:v>OH</x:v>
      </x:c>
      <x:c r="D686" s="161" t="n">
        <x:v>39.706</x:v>
      </x:c>
      <x:c r="E686" s="1" t="n">
        <x:v>0</x:v>
      </x:c>
      <x:c r="F686" s="1" t="n">
        <x:v>0</x:v>
      </x:c>
      <x:c r="G686" s="1" t="n">
        <x:v>0</x:v>
      </x:c>
      <x:c r="H686" s="1" t="n">
        <x:v>0</x:v>
      </x:c>
      <x:c r="I686" s="1" t="n">
        <x:v>0</x:v>
      </x:c>
      <x:c r="J686" s="1" t="n">
        <x:v>1</x:v>
      </x:c>
      <x:c r="K686" s="1" t="n">
        <x:f>SUM(E686:J686)</x:f>
        <x:v>1</x:v>
      </x:c>
      <x:c r="L686" s="163" t="n">
        <x:f>IFERROR(K686/D686,0)</x:f>
        <x:v>0.02518511056263537</x:v>
      </x:c>
      <x:c r="M686" s="160" t="str">
        <x:v>Presence-floor proxy only — 10k+ municipality completion</x:v>
      </x:c>
      <x:c r="N686" s="160" t="str">
        <x:v>Added under the &gt;=50k-county expansion rule: Census Vintage 2025 municipality population &gt;=10,000; general-purpose city-equivalent municipality; direct Census adjacency. Presence-floor proxy only — exact tracked-chain count requires municipal-boundary/GIS verification. Jungle Jim's Eastgate provides strong county specialty-grocery evidence but is not one of the five tracked proxy chains.</x:v>
      </x:c>
      <x:c r="O686" s="160" t="str">
        <x:v>Clermont County</x:v>
      </x:c>
    </x:row>
    <x:row r="687" s="44" customFormat="1">
      <x:c r="A687" s="1" t="n">
        <x:v>721</x:v>
      </x:c>
      <x:c r="B687" s="1" t="str">
        <x:v>Phoenix</x:v>
      </x:c>
      <x:c r="C687" s="1" t="str">
        <x:v>AZ</x:v>
      </x:c>
      <x:c r="D687" s="161" t="n">
        <x:v>516.704</x:v>
      </x:c>
      <x:c r="E687" s="1" t="n">
        <x:v>2</x:v>
      </x:c>
      <x:c r="F687" s="1" t="n">
        <x:v>11</x:v>
      </x:c>
      <x:c r="G687" s="1" t="n">
        <x:v>0</x:v>
      </x:c>
      <x:c r="H687" s="1" t="n">
        <x:v>0</x:v>
      </x:c>
      <x:c r="I687" s="1" t="n">
        <x:v>0</x:v>
      </x:c>
      <x:c r="J687" s="1" t="n">
        <x:v>0</x:v>
      </x:c>
      <x:c r="K687" s="1" t="n">
        <x:f>SUM(E687:J687)</x:f>
        <x:v>13</x:v>
      </x:c>
      <x:c r="L687" s="163" t="n">
        <x:f>IFERROR(K687/D687,0)</x:f>
        <x:v>0.025159472347804548</x:v>
      </x:c>
      <x:c r="M687" s="160" t="str">
        <x:v>Confirmed lower bound</x:v>
      </x:c>
      <x:c r="N687" s="160" t="str">
        <x:v>Verified public-directory count for ≥1 major chain; other selected chains and 5-mile spillover omitted.</x:v>
      </x:c>
      <x:c r="O687" s="160" t="str">
        <x:v>Maricopa County</x:v>
      </x:c>
    </x:row>
    <x:row r="688" s="44" customFormat="1">
      <x:c r="A688" s="1" t="n">
        <x:v>723</x:v>
      </x:c>
      <x:c r="B688" s="1" t="str">
        <x:v>LaGrange Town</x:v>
      </x:c>
      <x:c r="C688" s="1" t="str">
        <x:v>NY</x:v>
      </x:c>
      <x:c r="D688" s="161" t="n">
        <x:v>39.877</x:v>
      </x:c>
      <x:c r="E688" s="1" t="n">
        <x:v>0</x:v>
      </x:c>
      <x:c r="F688" s="1" t="n">
        <x:v>0</x:v>
      </x:c>
      <x:c r="G688" s="1" t="n">
        <x:v>0</x:v>
      </x:c>
      <x:c r="H688" s="1" t="n">
        <x:v>0</x:v>
      </x:c>
      <x:c r="I688" s="1" t="n">
        <x:v>0</x:v>
      </x:c>
      <x:c r="J688" s="1" t="n">
        <x:v>1</x:v>
      </x:c>
      <x:c r="K688" s="1" t="n">
        <x:f>SUM(E688:J688)</x:f>
        <x:v>1</x:v>
      </x:c>
      <x:c r="L688" s="163" t="n">
        <x:f>IFERROR(K688/D688,0)</x:f>
        <x:v>0.025077112119768288</x:v>
      </x:c>
      <x:c r="M688" s="160" t="str">
        <x:v>Presence-floor proxy only — 10k+ municipality completion</x:v>
      </x:c>
      <x:c r="N688"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688" s="160" t="str">
        <x:v>Dutchess County</x:v>
      </x:c>
    </x:row>
    <x:row r="689" s="44" customFormat="1">
      <x:c r="A689" s="1" t="n">
        <x:v>724</x:v>
      </x:c>
      <x:c r="B689" s="1" t="str">
        <x:v>Tempe</x:v>
      </x:c>
      <x:c r="C689" s="1" t="str">
        <x:v>AZ</x:v>
      </x:c>
      <x:c r="D689" s="161" t="n">
        <x:v>39.9</x:v>
      </x:c>
      <x:c r="E689" s="1" t="n">
        <x:v>0</x:v>
      </x:c>
      <x:c r="F689" s="1" t="n">
        <x:v>0</x:v>
      </x:c>
      <x:c r="G689" s="1" t="n">
        <x:v>0</x:v>
      </x:c>
      <x:c r="H689" s="1" t="n">
        <x:v>0</x:v>
      </x:c>
      <x:c r="I689" s="1" t="n">
        <x:v>0</x:v>
      </x:c>
      <x:c r="J689" s="1" t="n">
        <x:v>1</x:v>
      </x:c>
      <x:c r="K689" s="1" t="n">
        <x:f>SUM(E689:J689)</x:f>
        <x:v>1</x:v>
      </x:c>
      <x:c r="L689" s="163" t="n">
        <x:f>IFERROR(K689/D689,0)</x:f>
        <x:v>0.025062656641604012</x:v>
      </x:c>
      <x:c r="M689" s="160" t="str">
        <x:v>Presence-floor proxy only — 200-city expansion</x:v>
      </x:c>
      <x:c r="N689" s="160" t="str">
        <x:v>Added in the 200-city screening expansion. One-store screening floor only; exact selected-chain count and 5-mile buffer require GIS verification.</x:v>
      </x:c>
      <x:c r="O689" s="160" t="str">
        <x:v>Maricopa County</x:v>
      </x:c>
    </x:row>
    <x:row r="690" s="44" customFormat="1">
      <x:c r="A690" s="1" t="n">
        <x:v>725</x:v>
      </x:c>
      <x:c r="B690" s="1" t="str">
        <x:v>Corona</x:v>
      </x:c>
      <x:c r="C690" s="1" t="str">
        <x:v>CA</x:v>
      </x:c>
      <x:c r="D690" s="161" t="n">
        <x:v>39.9</x:v>
      </x:c>
      <x:c r="E690" s="1" t="n">
        <x:v>0</x:v>
      </x:c>
      <x:c r="F690" s="1" t="n">
        <x:v>0</x:v>
      </x:c>
      <x:c r="G690" s="1" t="n">
        <x:v>0</x:v>
      </x:c>
      <x:c r="H690" s="1" t="n">
        <x:v>0</x:v>
      </x:c>
      <x:c r="I690" s="1" t="n">
        <x:v>0</x:v>
      </x:c>
      <x:c r="J690" s="1" t="n">
        <x:v>1</x:v>
      </x:c>
      <x:c r="K690" s="1" t="n">
        <x:f>SUM(E690:J690)</x:f>
        <x:v>1</x:v>
      </x:c>
      <x:c r="L690" s="163" t="n">
        <x:f>IFERROR(K690/D690,0)</x:f>
        <x:v>0.025062656641604012</x:v>
      </x:c>
      <x:c r="M690" s="160" t="str">
        <x:v>Presence-floor proxy only — 200-city expansion</x:v>
      </x:c>
      <x:c r="N690" s="160" t="str">
        <x:v>Added in the 200-city screening expansion. One-store screening floor only; exact selected-chain count and 5-mile buffer require GIS verification.</x:v>
      </x:c>
      <x:c r="O690" s="160" t="str">
        <x:v>Riverside County</x:v>
      </x:c>
    </x:row>
    <x:row r="691" s="44" customFormat="1">
      <x:c r="A691" s="1" t="n">
        <x:v>727</x:v>
      </x:c>
      <x:c r="B691" s="1" t="str">
        <x:v>Baytown</x:v>
      </x:c>
      <x:c r="C691" s="1" t="str">
        <x:v>TX</x:v>
      </x:c>
      <x:c r="D691" s="161" t="n">
        <x:v>39.992</x:v>
      </x:c>
      <x:c r="E691" s="1" t="n">
        <x:v>0</x:v>
      </x:c>
      <x:c r="F691" s="1" t="n">
        <x:v>0</x:v>
      </x:c>
      <x:c r="G691" s="1" t="n">
        <x:v>0</x:v>
      </x:c>
      <x:c r="H691" s="1" t="n">
        <x:v>0</x:v>
      </x:c>
      <x:c r="I691" s="1" t="n">
        <x:v>0</x:v>
      </x:c>
      <x:c r="J691" s="1" t="n">
        <x:v>1</x:v>
      </x:c>
      <x:c r="K691" s="1" t="n">
        <x:f>SUM(E691:J691)</x:f>
        <x:v>1</x:v>
      </x:c>
      <x:c r="L691" s="163" t="n">
        <x:f>IFERROR(K691/D691,0)</x:f>
        <x:v>0.02500500100020004</x:v>
      </x:c>
      <x:c r="M691" s="160" t="str">
        <x:v>Presence-floor proxy only — 50k+ county completion</x:v>
      </x:c>
      <x:c r="N691"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691" s="160" t="str">
        <x:v>Harris County</x:v>
      </x:c>
    </x:row>
    <x:row r="692" s="44" customFormat="1">
      <x:c r="A692" s="1" t="n">
        <x:v>728</x:v>
      </x:c>
      <x:c r="B692" s="1" t="str">
        <x:v>Rancho Cucamonga</x:v>
      </x:c>
      <x:c r="C692" s="1" t="str">
        <x:v>CA</x:v>
      </x:c>
      <x:c r="D692" s="161" t="n">
        <x:v>40.1</x:v>
      </x:c>
      <x:c r="E692" s="1" t="n">
        <x:v>0</x:v>
      </x:c>
      <x:c r="F692" s="1" t="n">
        <x:v>0</x:v>
      </x:c>
      <x:c r="G692" s="1" t="n">
        <x:v>0</x:v>
      </x:c>
      <x:c r="H692" s="1" t="n">
        <x:v>0</x:v>
      </x:c>
      <x:c r="I692" s="1" t="n">
        <x:v>0</x:v>
      </x:c>
      <x:c r="J692" s="1" t="n">
        <x:v>1</x:v>
      </x:c>
      <x:c r="K692" s="1" t="n">
        <x:f>SUM(E692:J692)</x:f>
        <x:v>1</x:v>
      </x:c>
      <x:c r="L692" s="163" t="n">
        <x:f>IFERROR(K692/D692,0)</x:f>
        <x:v>0.024937655860349125</x:v>
      </x:c>
      <x:c r="M692" s="160" t="str">
        <x:v>Presence-floor proxy only — 200-city expansion</x:v>
      </x:c>
      <x:c r="N692" s="160" t="str">
        <x:v>Added in the 200-city screening expansion. One-store screening floor only; exact selected-chain count and 5-mile buffer require GIS verification.</x:v>
      </x:c>
      <x:c r="O692" s="160" t="str">
        <x:v>San Bernardino County</x:v>
      </x:c>
    </x:row>
    <x:row r="693" s="44" customFormat="1">
      <x:c r="A693" s="1" t="n">
        <x:v>729</x:v>
      </x:c>
      <x:c r="B693" s="1" t="str">
        <x:v>Buffalo</x:v>
      </x:c>
      <x:c r="C693" s="1" t="str">
        <x:v>NY</x:v>
      </x:c>
      <x:c r="D693" s="161" t="n">
        <x:v>40.384</x:v>
      </x:c>
      <x:c r="E693" s="1" t="n">
        <x:v>0</x:v>
      </x:c>
      <x:c r="F693" s="1" t="n">
        <x:v>0</x:v>
      </x:c>
      <x:c r="G693" s="1" t="n">
        <x:v>0</x:v>
      </x:c>
      <x:c r="H693" s="1" t="n">
        <x:v>0</x:v>
      </x:c>
      <x:c r="I693" s="1" t="n">
        <x:v>0</x:v>
      </x:c>
      <x:c r="J693" s="1" t="n">
        <x:v>1</x:v>
      </x:c>
      <x:c r="K693" s="1" t="n">
        <x:f>SUM(E693:J693)</x:f>
        <x:v>1</x:v>
      </x:c>
      <x:c r="L693" s="163" t="n">
        <x:f>IFERROR(K693/D693,0)</x:f>
        <x:v>0.02476228209191759</x:v>
      </x:c>
      <x:c r="M693" s="160" t="str">
        <x:v>Presence-floor proxy only</x:v>
      </x:c>
      <x:c r="N693" s="160" t="str">
        <x:v>One-store screening floor only; exact selected-chain count and 5-mile buffer require GIS verification.</x:v>
      </x:c>
      <x:c r="O693" s="160" t="str">
        <x:v>Erie County</x:v>
      </x:c>
    </x:row>
    <x:row r="694" s="44" customFormat="1">
      <x:c r="A694" s="1" t="n">
        <x:v>730</x:v>
      </x:c>
      <x:c r="B694" s="1" t="str">
        <x:v>San Marcos</x:v>
      </x:c>
      <x:c r="C694" s="1" t="str">
        <x:v>TX</x:v>
      </x:c>
      <x:c r="D694" s="161" t="n">
        <x:v>40.424</x:v>
      </x:c>
      <x:c r="E694" s="1" t="n">
        <x:v>0</x:v>
      </x:c>
      <x:c r="F694" s="1" t="n">
        <x:v>0</x:v>
      </x:c>
      <x:c r="G694" s="1" t="n">
        <x:v>0</x:v>
      </x:c>
      <x:c r="H694" s="1" t="n">
        <x:v>0</x:v>
      </x:c>
      <x:c r="I694" s="1" t="n">
        <x:v>0</x:v>
      </x:c>
      <x:c r="J694" s="1" t="n">
        <x:v>1</x:v>
      </x:c>
      <x:c r="K694" s="1" t="n">
        <x:f>SUM(E694:J694)</x:f>
        <x:v>1</x:v>
      </x:c>
      <x:c r="L694" s="163" t="n">
        <x:f>IFERROR(K694/D694,0)</x:f>
        <x:v>0.02473777953690877</x:v>
      </x:c>
      <x:c r="M694" s="160" t="str">
        <x:v>Presence-floor proxy only — adjacent county expansion</x:v>
      </x:c>
      <x:c r="N694" s="160" t="str">
        <x:v>Added in adjacent-county expansion; Census Vintage 2025 population ≥50,000. No tracked-chain city count was verified in this screening pass, so the workbook's one-store screening floor is used; exact all-chain 5-mile count requires GIS verification.</x:v>
      </x:c>
      <x:c r="O694" s="160" t="str">
        <x:v>Hays County</x:v>
      </x:c>
    </x:row>
    <x:row r="695" s="44" customFormat="1">
      <x:c r="A695" s="1" t="n">
        <x:v>731</x:v>
      </x:c>
      <x:c r="B695" s="1" t="str">
        <x:v>Sugar Land</x:v>
      </x:c>
      <x:c r="C695" s="1" t="str">
        <x:v>TX</x:v>
      </x:c>
      <x:c r="D695" s="161" t="n">
        <x:v>40.48</x:v>
      </x:c>
      <x:c r="E695" s="1" t="n">
        <x:v>1</x:v>
      </x:c>
      <x:c r="F695" s="1" t="n">
        <x:v>0</x:v>
      </x:c>
      <x:c r="G695" s="1" t="n">
        <x:v>0</x:v>
      </x:c>
      <x:c r="H695" s="1" t="n">
        <x:v>0</x:v>
      </x:c>
      <x:c r="I695" s="1" t="n">
        <x:v>0</x:v>
      </x:c>
      <x:c r="J695" s="1" t="n">
        <x:v>0</x:v>
      </x:c>
      <x:c r="K695" s="1" t="n">
        <x:f>SUM(E695:J695)</x:f>
        <x:v>1</x:v>
      </x:c>
      <x:c r="L695" s="163" t="n">
        <x:f>IFERROR(K695/D695,0)</x:f>
        <x:v>0.024703557312252968</x:v>
      </x:c>
      <x:c r="M695" s="160" t="str">
        <x:v>Confirmed lower bound — adjacent county expansion</x:v>
      </x:c>
      <x:c r="N695" s="160" t="str">
        <x:v>Added in adjacent-county expansion; Census Vintage 2025 population ≥50,000. Whole Foods store presence verified from official locator; exact all-chain 5-mile count requires GIS verification.</x:v>
      </x:c>
      <x:c r="O695" s="160" t="str">
        <x:v>Fort Bend County</x:v>
      </x:c>
    </x:row>
    <x:row r="696" s="44" customFormat="1">
      <x:c r="A696" s="1" t="n">
        <x:v>732</x:v>
      </x:c>
      <x:c r="B696" s="1" t="str">
        <x:v>Kent town</x:v>
      </x:c>
      <x:c r="C696" s="1" t="str">
        <x:v>NY</x:v>
      </x:c>
      <x:c r="D696" s="161" t="n">
        <x:v>40.532</x:v>
      </x:c>
      <x:c r="E696" s="1" t="n">
        <x:v>0</x:v>
      </x:c>
      <x:c r="F696" s="1" t="n">
        <x:v>0</x:v>
      </x:c>
      <x:c r="G696" s="1" t="n">
        <x:v>0</x:v>
      </x:c>
      <x:c r="H696" s="1" t="n">
        <x:v>0</x:v>
      </x:c>
      <x:c r="I696" s="1" t="n">
        <x:v>0</x:v>
      </x:c>
      <x:c r="J696" s="1" t="n">
        <x:v>1</x:v>
      </x:c>
      <x:c r="K696" s="1" t="n">
        <x:f>SUM(E696:J696)</x:f>
        <x:v>1</x:v>
      </x:c>
      <x:c r="L696" s="163" t="n">
        <x:f>IFERROR(K696/D696,0)</x:f>
        <x:v>0.02467186420605941</x:v>
      </x:c>
      <x:c r="M696" s="160" t="str">
        <x:v>Presence-floor proxy only — 10k+ municipality completion</x:v>
      </x:c>
      <x:c r="N696" s="160" t="str">
        <x:v>Added under the 2026-09-15 &gt;=50k-county expansion rule: Census Vintage 2025 municipality population &gt;=10,000; general-purpose city-equivalent municipality; direct Census adjacency. Presence-floor proxy only — exact tracked-chain count requires municipal-boundary/GIS verification. Philipstown is excluded because its latest available estimate remains below 10,000.</x:v>
      </x:c>
      <x:c r="O696" s="160" t="str">
        <x:v>Putnam County</x:v>
      </x:c>
    </x:row>
    <x:row r="697" s="44" customFormat="1">
      <x:c r="A697" s="1" t="n">
        <x:v>733</x:v>
      </x:c>
      <x:c r="B697" s="1" t="str">
        <x:v>Bourne Town</x:v>
      </x:c>
      <x:c r="C697" s="1" t="str">
        <x:v>MA</x:v>
      </x:c>
      <x:c r="D697" s="161" t="n">
        <x:v>40.656</x:v>
      </x:c>
      <x:c r="E697" s="1" t="n">
        <x:v>0</x:v>
      </x:c>
      <x:c r="F697" s="1" t="n">
        <x:v>0</x:v>
      </x:c>
      <x:c r="G697" s="1" t="n">
        <x:v>0</x:v>
      </x:c>
      <x:c r="H697" s="1" t="n">
        <x:v>0</x:v>
      </x:c>
      <x:c r="I697" s="1" t="n">
        <x:v>0</x:v>
      </x:c>
      <x:c r="J697" s="1" t="n">
        <x:v>1</x:v>
      </x:c>
      <x:c r="K697" s="1" t="n">
        <x:f>SUM(E697:J697)</x:f>
        <x:v>1</x:v>
      </x:c>
      <x:c r="L697" s="163" t="n">
        <x:f>IFERROR(K697/D697,0)</x:f>
        <x:v>0.024596615505706416</x:v>
      </x:c>
      <x:c r="M697" s="160" t="str">
        <x:v>Presence-floor proxy only — 10k+ municipality completion</x:v>
      </x:c>
      <x:c r="N697"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697" s="160" t="str">
        <x:v>Barnstable County</x:v>
      </x:c>
    </x:row>
    <x:row r="698" s="44" customFormat="1">
      <x:c r="A698" s="1" t="n">
        <x:v>734</x:v>
      </x:c>
      <x:c r="B698" s="1" t="str">
        <x:v>Roswell</x:v>
      </x:c>
      <x:c r="C698" s="1" t="str">
        <x:v>GA</x:v>
      </x:c>
      <x:c r="D698" s="161" t="n">
        <x:v>40.745</x:v>
      </x:c>
      <x:c r="E698" s="1" t="n">
        <x:v>0</x:v>
      </x:c>
      <x:c r="F698" s="1" t="n">
        <x:v>0</x:v>
      </x:c>
      <x:c r="G698" s="1" t="n">
        <x:v>0</x:v>
      </x:c>
      <x:c r="H698" s="1" t="n">
        <x:v>0</x:v>
      </x:c>
      <x:c r="I698" s="1" t="n">
        <x:v>0</x:v>
      </x:c>
      <x:c r="J698" s="1" t="n">
        <x:v>1</x:v>
      </x:c>
      <x:c r="K698" s="1" t="n">
        <x:f>SUM(E698:J698)</x:f>
        <x:v>1</x:v>
      </x:c>
      <x:c r="L698" s="163" t="n">
        <x:f>IFERROR(K698/D698,0)</x:f>
        <x:v>0.024542888697999758</x:v>
      </x:c>
      <x:c r="M698" s="160" t="str">
        <x:v>Presence-floor proxy only — 50k+ county completion</x:v>
      </x:c>
      <x:c r="N698"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698" s="160" t="str">
        <x:v>Fulton County</x:v>
      </x:c>
    </x:row>
    <x:row r="699" s="44" customFormat="1">
      <x:c r="A699" s="1" t="n">
        <x:v>735</x:v>
      </x:c>
      <x:c r="B699" s="1" t="str">
        <x:v>Hammonton Town</x:v>
      </x:c>
      <x:c r="C699" s="1" t="str">
        <x:v>NJ</x:v>
      </x:c>
      <x:c r="D699" s="161" t="n">
        <x:v>40.749</x:v>
      </x:c>
      <x:c r="E699" s="1" t="n">
        <x:v>0</x:v>
      </x:c>
      <x:c r="F699" s="1" t="n">
        <x:v>0</x:v>
      </x:c>
      <x:c r="G699" s="1" t="n">
        <x:v>0</x:v>
      </x:c>
      <x:c r="H699" s="1" t="n">
        <x:v>0</x:v>
      </x:c>
      <x:c r="I699" s="1" t="n">
        <x:v>0</x:v>
      </x:c>
      <x:c r="J699" s="1" t="n">
        <x:v>1</x:v>
      </x:c>
      <x:c r="K699" s="1" t="n">
        <x:f>SUM(E699:J699)</x:f>
        <x:v>1</x:v>
      </x:c>
      <x:c r="L699" s="163" t="n">
        <x:f>IFERROR(K699/D699,0)</x:f>
        <x:v>0.024540479520969837</x:v>
      </x:c>
      <x:c r="M699" s="160" t="str">
        <x:v>Presence-floor proxy only — 10k+ municipality completion</x:v>
      </x:c>
      <x:c r="N699"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699" s="160" t="str">
        <x:v>Atlantic County</x:v>
      </x:c>
    </x:row>
    <x:row r="700" s="44" customFormat="1">
      <x:c r="A700" s="1" t="n">
        <x:v>736</x:v>
      </x:c>
      <x:c r="B700" s="1" t="str">
        <x:v>Middletown Township</x:v>
      </x:c>
      <x:c r="C700" s="1" t="str">
        <x:v>NJ</x:v>
      </x:c>
      <x:c r="D700" s="161" t="n">
        <x:v>40.95</x:v>
      </x:c>
      <x:c r="E700" s="1" t="n">
        <x:v>0</x:v>
      </x:c>
      <x:c r="F700" s="1" t="n">
        <x:v>0</x:v>
      </x:c>
      <x:c r="G700" s="1" t="n">
        <x:v>0</x:v>
      </x:c>
      <x:c r="H700" s="1" t="n">
        <x:v>0</x:v>
      </x:c>
      <x:c r="I700" s="1" t="n">
        <x:v>0</x:v>
      </x:c>
      <x:c r="J700" s="1" t="n">
        <x:v>1</x:v>
      </x:c>
      <x:c r="K700" s="1" t="n">
        <x:f>SUM(E700:J700)</x:f>
        <x:v>1</x:v>
      </x:c>
      <x:c r="L700" s="163" t="n">
        <x:f>IFERROR(K700/D700,0)</x:f>
        <x:v>0.02442002442002442</x:v>
      </x:c>
      <x:c r="M700" s="160" t="str">
        <x:v>Presence-floor proxy only — 10k+ municipality completion</x:v>
      </x:c>
      <x:c r="N700"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00" s="160" t="str">
        <x:v>Monmouth County</x:v>
      </x:c>
    </x:row>
    <x:row r="701" s="44" customFormat="1">
      <x:c r="A701" s="1" t="n">
        <x:v>738</x:v>
      </x:c>
      <x:c r="B701" s="1" t="str">
        <x:v>Putnam Valley town</x:v>
      </x:c>
      <x:c r="C701" s="1" t="str">
        <x:v>NY</x:v>
      </x:c>
      <x:c r="D701" s="161" t="n">
        <x:v>41.109</x:v>
      </x:c>
      <x:c r="E701" s="1" t="n">
        <x:v>0</x:v>
      </x:c>
      <x:c r="F701" s="1" t="n">
        <x:v>0</x:v>
      </x:c>
      <x:c r="G701" s="1" t="n">
        <x:v>0</x:v>
      </x:c>
      <x:c r="H701" s="1" t="n">
        <x:v>0</x:v>
      </x:c>
      <x:c r="I701" s="1" t="n">
        <x:v>0</x:v>
      </x:c>
      <x:c r="J701" s="1" t="n">
        <x:v>1</x:v>
      </x:c>
      <x:c r="K701" s="1" t="n">
        <x:f>SUM(E701:J701)</x:f>
        <x:v>1</x:v>
      </x:c>
      <x:c r="L701" s="163" t="n">
        <x:f>IFERROR(K701/D701,0)</x:f>
        <x:v>0.02432557347539468</x:v>
      </x:c>
      <x:c r="M701" s="160" t="str">
        <x:v>Presence-floor proxy only — 10k+ municipality completion</x:v>
      </x:c>
      <x:c r="N701" s="160" t="str">
        <x:v>Added under the 2026-09-15 &gt;=50k-county expansion rule: Census Vintage 2025 municipality population &gt;=10,000; general-purpose city-equivalent municipality; direct Census adjacency. Presence-floor proxy only — exact tracked-chain count requires municipal-boundary/GIS verification. Philipstown is excluded because its latest available estimate remains below 10,000.</x:v>
      </x:c>
      <x:c r="O701" s="160" t="str">
        <x:v>Putnam County</x:v>
      </x:c>
    </x:row>
    <x:row r="702" s="44" customFormat="1">
      <x:c r="A702" s="1" t="n">
        <x:v>739</x:v>
      </x:c>
      <x:c r="B702" s="1" t="str">
        <x:v>Oceanside</x:v>
      </x:c>
      <x:c r="C702" s="1" t="str">
        <x:v>CA</x:v>
      </x:c>
      <x:c r="D702" s="161" t="n">
        <x:v>41.3</x:v>
      </x:c>
      <x:c r="E702" s="1" t="n">
        <x:v>0</x:v>
      </x:c>
      <x:c r="F702" s="1" t="n">
        <x:v>0</x:v>
      </x:c>
      <x:c r="G702" s="1" t="n">
        <x:v>0</x:v>
      </x:c>
      <x:c r="H702" s="1" t="n">
        <x:v>0</x:v>
      </x:c>
      <x:c r="I702" s="1" t="n">
        <x:v>0</x:v>
      </x:c>
      <x:c r="J702" s="1" t="n">
        <x:v>1</x:v>
      </x:c>
      <x:c r="K702" s="1" t="n">
        <x:f>SUM(E702:J702)</x:f>
        <x:v>1</x:v>
      </x:c>
      <x:c r="L702" s="163" t="n">
        <x:f>IFERROR(K702/D702,0)</x:f>
        <x:v>0.02421307506053269</x:v>
      </x:c>
      <x:c r="M702" s="160" t="str">
        <x:v>Presence-floor proxy only — 200-city expansion</x:v>
      </x:c>
      <x:c r="N702" s="160" t="str">
        <x:v>Added in the 200-city screening expansion. One-store screening floor only; exact selected-chain count and 5-mile buffer require GIS verification.</x:v>
      </x:c>
      <x:c r="O702" s="160" t="str">
        <x:v>San Diego County</x:v>
      </x:c>
    </x:row>
    <x:row r="703" s="44" customFormat="1">
      <x:c r="A703" s="1" t="n">
        <x:v>740</x:v>
      </x:c>
      <x:c r="B703" s="1" t="str">
        <x:v>Huntersville</x:v>
      </x:c>
      <x:c r="C703" s="1" t="str">
        <x:v>NC</x:v>
      </x:c>
      <x:c r="D703" s="161" t="n">
        <x:v>41.34</x:v>
      </x:c>
      <x:c r="E703" s="1" t="n">
        <x:v>0</x:v>
      </x:c>
      <x:c r="F703" s="1" t="n">
        <x:v>0</x:v>
      </x:c>
      <x:c r="G703" s="1" t="n">
        <x:v>0</x:v>
      </x:c>
      <x:c r="H703" s="1" t="n">
        <x:v>0</x:v>
      </x:c>
      <x:c r="I703" s="1" t="n">
        <x:v>0</x:v>
      </x:c>
      <x:c r="J703" s="1" t="n">
        <x:v>1</x:v>
      </x:c>
      <x:c r="K703" s="1" t="n">
        <x:f>SUM(E703:J703)</x:f>
        <x:v>1</x:v>
      </x:c>
      <x:c r="L703" s="163" t="n">
        <x:f>IFERROR(K703/D703,0)</x:f>
        <x:v>0.024189646831156264</x:v>
      </x:c>
      <x:c r="M703" s="160" t="str">
        <x:v>Presence-floor proxy only — 50k+ county completion</x:v>
      </x:c>
      <x:c r="N703" s="160" t="str">
        <x:v>Added to complete ≥50,000-population incorporated-place coverage in counties ranked 11–15 by original proxy/lower-bound store count, using Census Vintage 2025 eligibility. One-store screening floor only; exact selected-chain count and 5-mile buffer require GIS verification.</x:v>
      </x:c>
      <x:c r="O703" s="160" t="str">
        <x:v>Mecklenburg County</x:v>
      </x:c>
    </x:row>
    <x:row r="704" s="44" customFormat="1">
      <x:c r="A704" s="1" t="n">
        <x:v>741</x:v>
      </x:c>
      <x:c r="B704" s="1" t="str">
        <x:v>Simi Valley</x:v>
      </x:c>
      <x:c r="C704" s="1" t="str">
        <x:v>CA</x:v>
      </x:c>
      <x:c r="D704" s="161" t="n">
        <x:v>41.5</x:v>
      </x:c>
      <x:c r="E704" s="1" t="n">
        <x:v>0</x:v>
      </x:c>
      <x:c r="F704" s="1" t="n">
        <x:v>0</x:v>
      </x:c>
      <x:c r="G704" s="1" t="n">
        <x:v>0</x:v>
      </x:c>
      <x:c r="H704" s="1" t="n">
        <x:v>0</x:v>
      </x:c>
      <x:c r="I704" s="1" t="n">
        <x:v>0</x:v>
      </x:c>
      <x:c r="J704" s="1" t="n">
        <x:v>1</x:v>
      </x:c>
      <x:c r="K704" s="1" t="n">
        <x:f>SUM(E704:J704)</x:f>
        <x:v>1</x:v>
      </x:c>
      <x:c r="L704" s="163" t="n">
        <x:f>IFERROR(K704/D704,0)</x:f>
        <x:v>0.024096385542168676</x:v>
      </x:c>
      <x:c r="M704" s="160" t="str">
        <x:v>Presence-floor proxy only — 250-city expansion</x:v>
      </x:c>
      <x:c r="N704" s="160" t="str">
        <x:v>Added in the 250-city screening expansion. One-store screening floor only; exact selected-chain count and 5-mile buffer require GIS verification.</x:v>
      </x:c>
      <x:c r="O704" s="160" t="str">
        <x:v>Ventura County</x:v>
      </x:c>
    </x:row>
    <x:row r="705" s="44" customFormat="1">
      <x:c r="A705" s="1" t="n">
        <x:v>742</x:v>
      </x:c>
      <x:c r="B705" s="1" t="str">
        <x:v>Dover Township</x:v>
      </x:c>
      <x:c r="C705" s="1" t="str">
        <x:v>PA</x:v>
      </x:c>
      <x:c r="D705" s="161" t="n">
        <x:v>41.547</x:v>
      </x:c>
      <x:c r="E705" s="1" t="n">
        <x:v>0</x:v>
      </x:c>
      <x:c r="F705" s="1" t="n">
        <x:v>0</x:v>
      </x:c>
      <x:c r="G705" s="1" t="n">
        <x:v>0</x:v>
      </x:c>
      <x:c r="H705" s="1" t="n">
        <x:v>0</x:v>
      </x:c>
      <x:c r="I705" s="1" t="n">
        <x:v>0</x:v>
      </x:c>
      <x:c r="J705" s="1" t="n">
        <x:v>1</x:v>
      </x:c>
      <x:c r="K705" s="1" t="n">
        <x:f>SUM(E705:J705)</x:f>
        <x:v>1</x:v>
      </x:c>
      <x:c r="L705" s="163" t="n">
        <x:f>IFERROR(K705/D705,0)</x:f>
        <x:v>0.02406912653139818</x:v>
      </x:c>
      <x:c r="M705" s="160" t="str">
        <x:v>Presence-floor proxy only — 10k+ municipality completion</x:v>
      </x:c>
      <x:c r="N705"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Sprouts York is county-selection evidence only because a York postal address is not treated as incorporated-city boundary proof.</x:v>
      </x:c>
      <x:c r="O705" s="160" t="str">
        <x:v>York County</x:v>
      </x:c>
    </x:row>
    <x:row r="706" s="44" customFormat="1">
      <x:c r="A706" s="1" t="n">
        <x:v>743</x:v>
      </x:c>
      <x:c r="B706" s="1" t="str">
        <x:v>Fairfield</x:v>
      </x:c>
      <x:c r="C706" s="1" t="str">
        <x:v>CA</x:v>
      </x:c>
      <x:c r="D706" s="161" t="n">
        <x:v>41.6</x:v>
      </x:c>
      <x:c r="E706" s="1" t="n">
        <x:v>0</x:v>
      </x:c>
      <x:c r="F706" s="1" t="n">
        <x:v>0</x:v>
      </x:c>
      <x:c r="G706" s="1" t="n">
        <x:v>0</x:v>
      </x:c>
      <x:c r="H706" s="1" t="n">
        <x:v>0</x:v>
      </x:c>
      <x:c r="I706" s="1" t="n">
        <x:v>0</x:v>
      </x:c>
      <x:c r="J706" s="1" t="n">
        <x:v>1</x:v>
      </x:c>
      <x:c r="K706" s="1" t="n">
        <x:f>SUM(E706:J706)</x:f>
        <x:v>1</x:v>
      </x:c>
      <x:c r="L706" s="163" t="n">
        <x:f>IFERROR(K706/D706,0)</x:f>
        <x:v>0.024038461538461536</x:v>
      </x:c>
      <x:c r="M706" s="160" t="str">
        <x:v>Presence-floor proxy only — 250-city expansion</x:v>
      </x:c>
      <x:c r="N706" s="160" t="str">
        <x:v>Added in the 250-city screening expansion. One-store screening floor only; exact selected-chain count and 5-mile buffer require GIS verification.</x:v>
      </x:c>
      <x:c r="O706" s="160" t="str">
        <x:v>Solano County</x:v>
      </x:c>
    </x:row>
    <x:row r="707" s="44" customFormat="1">
      <x:c r="A707" s="1" t="n">
        <x:v>744</x:v>
      </x:c>
      <x:c r="B707" s="1" t="str">
        <x:v>Violet Township</x:v>
      </x:c>
      <x:c r="C707" s="1" t="str">
        <x:v>OH</x:v>
      </x:c>
      <x:c r="D707" s="161" t="n">
        <x:v>41.605</x:v>
      </x:c>
      <x:c r="E707" s="1" t="n">
        <x:v>0</x:v>
      </x:c>
      <x:c r="F707" s="1" t="n">
        <x:v>0</x:v>
      </x:c>
      <x:c r="G707" s="1" t="n">
        <x:v>0</x:v>
      </x:c>
      <x:c r="H707" s="1" t="n">
        <x:v>0</x:v>
      </x:c>
      <x:c r="I707" s="1" t="n">
        <x:v>0</x:v>
      </x:c>
      <x:c r="J707" s="1" t="n">
        <x:v>1</x:v>
      </x:c>
      <x:c r="K707" s="1" t="n">
        <x:f>SUM(E707:J707)</x:f>
        <x:v>1</x:v>
      </x:c>
      <x:c r="L707" s="163" t="n">
        <x:f>IFERROR(K707/D707,0)</x:f>
        <x:v>0.02403557264751833</x:v>
      </x:c>
      <x:c r="M707" s="160" t="str">
        <x:v>Presence-floor proxy only — 10k+ municipality completion</x:v>
      </x:c>
      <x:c r="N707" s="160" t="str">
        <x:v>Added under the &gt;=50k-county expansion rule: Census Vintage 2025 municipality population &gt;=10,000; general-purpose city-equivalent municipality; direct Census adjacency. Presence-floor proxy only — exact tracked-chain count requires municipal-boundary/GIS verification. Pickerington spans Fairfield and Franklin counties and is canonically assigned to Fairfield County for this expansion; full Census place land area is used.</x:v>
      </x:c>
      <x:c r="O707" s="160" t="str">
        <x:v>Fairfield County</x:v>
      </x:c>
    </x:row>
    <x:row r="708" s="44" customFormat="1">
      <x:c r="A708" s="1" t="n">
        <x:v>745</x:v>
      </x:c>
      <x:c r="B708" s="1" t="str">
        <x:v>Provo</x:v>
      </x:c>
      <x:c r="C708" s="1" t="str">
        <x:v>UT</x:v>
      </x:c>
      <x:c r="D708" s="161" t="n">
        <x:v>41.7</x:v>
      </x:c>
      <x:c r="E708" s="1" t="n">
        <x:v>0</x:v>
      </x:c>
      <x:c r="F708" s="1" t="n">
        <x:v>0</x:v>
      </x:c>
      <x:c r="G708" s="1" t="n">
        <x:v>0</x:v>
      </x:c>
      <x:c r="H708" s="1" t="n">
        <x:v>0</x:v>
      </x:c>
      <x:c r="I708" s="1" t="n">
        <x:v>0</x:v>
      </x:c>
      <x:c r="J708" s="1" t="n">
        <x:v>1</x:v>
      </x:c>
      <x:c r="K708" s="1" t="n">
        <x:f>SUM(E708:J708)</x:f>
        <x:v>1</x:v>
      </x:c>
      <x:c r="L708" s="163" t="n">
        <x:f>IFERROR(K708/D708,0)</x:f>
        <x:v>0.023980815347721823</x:v>
      </x:c>
      <x:c r="M708" s="160" t="str">
        <x:v>Presence-floor proxy only — 300-city expansion</x:v>
      </x:c>
      <x:c r="N708" s="160" t="str">
        <x:v>Added in the 300-city screening expansion. One-store screening floor only; exact selected-chain count and 5-mile buffer require GIS verification.</x:v>
      </x:c>
      <x:c r="O708" s="160" t="str">
        <x:v>Utah County</x:v>
      </x:c>
    </x:row>
    <x:row r="709" s="44" customFormat="1">
      <x:c r="A709" s="1" t="n">
        <x:v>746</x:v>
      </x:c>
      <x:c r="B709" s="1" t="str">
        <x:v>Rockaway Township</x:v>
      </x:c>
      <x:c r="C709" s="1" t="str">
        <x:v>NJ</x:v>
      </x:c>
      <x:c r="D709" s="161" t="n">
        <x:v>41.727</x:v>
      </x:c>
      <x:c r="E709" s="1" t="n">
        <x:v>0</x:v>
      </x:c>
      <x:c r="F709" s="1" t="n">
        <x:v>0</x:v>
      </x:c>
      <x:c r="G709" s="1" t="n">
        <x:v>0</x:v>
      </x:c>
      <x:c r="H709" s="1" t="n">
        <x:v>0</x:v>
      </x:c>
      <x:c r="I709" s="1" t="n">
        <x:v>0</x:v>
      </x:c>
      <x:c r="J709" s="1" t="n">
        <x:v>1</x:v>
      </x:c>
      <x:c r="K709" s="1" t="n">
        <x:f>SUM(E709:J709)</x:f>
        <x:v>1</x:v>
      </x:c>
      <x:c r="L709" s="163" t="n">
        <x:f>IFERROR(K709/D709,0)</x:f>
        <x:v>0.0239652982481367</x:v>
      </x:c>
      <x:c r="M709" s="160" t="str">
        <x:v>Presence-floor proxy only — 10k+ municipality completion</x:v>
      </x:c>
      <x:c r="N709"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09" s="160" t="str">
        <x:v>Morris County</x:v>
      </x:c>
    </x:row>
    <x:row r="710">
      <x:c r="A710" t="n">
        <x:v>747</x:v>
      </x:c>
      <x:c r="B710" t="str">
        <x:v>Frenchtown Township</x:v>
      </x:c>
      <x:c r="C710" t="str">
        <x:v>MI</x:v>
      </x:c>
      <x:c r="D710" s="161" t="n">
        <x:v>41.745</x:v>
      </x:c>
      <x:c r="E710" t="n">
        <x:v>0</x:v>
      </x:c>
      <x:c r="F710" t="n">
        <x:v>0</x:v>
      </x:c>
      <x:c r="G710" t="n">
        <x:v>0</x:v>
      </x:c>
      <x:c r="H710" t="n">
        <x:v>0</x:v>
      </x:c>
      <x:c r="I710" t="n">
        <x:v>0</x:v>
      </x:c>
      <x:c r="J710" t="n">
        <x:v>1</x:v>
      </x:c>
      <x:c r="K710" t="n">
        <x:f>SUM(E710:J710)</x:f>
        <x:v>1</x:v>
      </x:c>
      <x:c r="L710" s="163" t="n">
        <x:f>IFERROR(K710/D710,0)</x:f>
        <x:v>0.023954964666427117</x:v>
      </x:c>
      <x:c r="M710" s="160" t="str">
        <x:v>Presence-floor proxy only — 10k+ municipality completion</x:v>
      </x:c>
      <x:c r="N710" s="160" t="str">
        <x:v>Added under the &gt;=50k-county expansion rule: Census Vintage 2025 municipality population &gt;=10,000; general-purpose city-equivalent municipality; direct Census adjacency. Presence-floor proxy only — exact tracked-chain count requires municipal-boundary/GIS verification. Alive Naturally and Monroe Farmers Market provide county specialty-food evidence; no tracked-chain municipal count is assigned.</x:v>
      </x:c>
      <x:c r="O710" s="160" t="str">
        <x:v>Monroe County</x:v>
      </x:c>
    </x:row>
    <x:row r="711">
      <x:c r="A711" t="n">
        <x:v>749</x:v>
      </x:c>
      <x:c r="B711" t="str">
        <x:v>Moreau town</x:v>
      </x:c>
      <x:c r="C711" t="str">
        <x:v>NY</x:v>
      </x:c>
      <x:c r="D711" s="161" t="n">
        <x:v>41.909</x:v>
      </x:c>
      <x:c r="E711" t="n">
        <x:v>0</x:v>
      </x:c>
      <x:c r="F711" t="n">
        <x:v>0</x:v>
      </x:c>
      <x:c r="G711" t="n">
        <x:v>0</x:v>
      </x:c>
      <x:c r="H711" t="n">
        <x:v>0</x:v>
      </x:c>
      <x:c r="I711" t="n">
        <x:v>0</x:v>
      </x:c>
      <x:c r="J711" t="n">
        <x:v>1</x:v>
      </x:c>
      <x:c r="K711" t="n">
        <x:f>SUM(E711:J711)</x:f>
        <x:v>1</x:v>
      </x:c>
      <x:c r="L711" s="163" t="n">
        <x:f>IFERROR(K711/D711,0)</x:f>
        <x:v>0.023861223126297456</x:v>
      </x:c>
      <x:c r="M711" s="160" t="str">
        <x:v>Presence-floor proxy only — 10k+ municipality completion</x:v>
      </x:c>
      <x:c r="N711"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711" s="160" t="str">
        <x:v>Saratoga County</x:v>
      </x:c>
    </x:row>
    <x:row r="712">
      <x:c r="A712" t="n">
        <x:v>750</x:v>
      </x:c>
      <x:c r="B712" t="str">
        <x:v>Londonderry Town</x:v>
      </x:c>
      <x:c r="C712" t="str">
        <x:v>NH</x:v>
      </x:c>
      <x:c r="D712" s="161" t="n">
        <x:v>41.997</x:v>
      </x:c>
      <x:c r="E712" t="n">
        <x:v>0</x:v>
      </x:c>
      <x:c r="F712" t="n">
        <x:v>0</x:v>
      </x:c>
      <x:c r="G712" t="n">
        <x:v>0</x:v>
      </x:c>
      <x:c r="H712" t="n">
        <x:v>0</x:v>
      </x:c>
      <x:c r="I712" t="n">
        <x:v>0</x:v>
      </x:c>
      <x:c r="J712" t="n">
        <x:v>1</x:v>
      </x:c>
      <x:c r="K712" t="n">
        <x:f>SUM(E712:J712)</x:f>
        <x:v>1</x:v>
      </x:c>
      <x:c r="L712" s="163" t="n">
        <x:f>IFERROR(K712/D712,0)</x:f>
        <x:v>0.023811224611281757</x:v>
      </x:c>
      <x:c r="M712" s="160" t="str">
        <x:v>Presence-floor proxy only — 10k+ municipality completion</x:v>
      </x:c>
      <x:c r="N712" s="160" t="str">
        <x:v>Added under the documented ≥300k county fallback: Census Vintage 2025 municipality population ≥10,000; general-purpose city-equivalent municipality; direct Census adjacency. Presence-floor proxy only — exact tracked-chain count requires municipal-boundary/GIS verification. Newmarket and Seabrook are below the Census Vintage 2025 10,000 threshold.</x:v>
      </x:c>
      <x:c r="O712" s="160" t="str">
        <x:v>Rockingham County</x:v>
      </x:c>
    </x:row>
    <x:row r="713">
      <x:c r="A713" t="n">
        <x:v>751</x:v>
      </x:c>
      <x:c r="B713" t="str">
        <x:v>Elk Grove</x:v>
      </x:c>
      <x:c r="C713" t="str">
        <x:v>CA</x:v>
      </x:c>
      <x:c r="D713" s="161" t="n">
        <x:v>42</x:v>
      </x:c>
      <x:c r="E713" t="n">
        <x:v>0</x:v>
      </x:c>
      <x:c r="F713" t="n">
        <x:v>0</x:v>
      </x:c>
      <x:c r="G713" t="n">
        <x:v>0</x:v>
      </x:c>
      <x:c r="H713" t="n">
        <x:v>0</x:v>
      </x:c>
      <x:c r="I713" t="n">
        <x:v>0</x:v>
      </x:c>
      <x:c r="J713" t="n">
        <x:v>1</x:v>
      </x:c>
      <x:c r="K713" t="n">
        <x:f>SUM(E713:J713)</x:f>
        <x:v>1</x:v>
      </x:c>
      <x:c r="L713" s="163" t="n">
        <x:f>IFERROR(K713/D713,0)</x:f>
        <x:v>0.023809523809523808</x:v>
      </x:c>
      <x:c r="M713" s="160" t="str">
        <x:v>Presence-floor proxy only — 200-city expansion</x:v>
      </x:c>
      <x:c r="N713" s="160" t="str">
        <x:v>Added in the 200-city screening expansion. One-store screening floor only; exact selected-chain count and 5-mile buffer require GIS verification.</x:v>
      </x:c>
      <x:c r="O713" s="160" t="str">
        <x:v>Sacramento County</x:v>
      </x:c>
    </x:row>
    <x:row r="714">
      <x:c r="A714" t="n">
        <x:v>752</x:v>
      </x:c>
      <x:c r="B714" t="str">
        <x:v>Queen Creek</x:v>
      </x:c>
      <x:c r="C714" t="str">
        <x:v>AZ</x:v>
      </x:c>
      <x:c r="D714" s="161" t="n">
        <x:v>42.039</x:v>
      </x:c>
      <x:c r="E714" t="n">
        <x:v>0</x:v>
      </x:c>
      <x:c r="F714" t="n">
        <x:v>0</x:v>
      </x:c>
      <x:c r="G714" t="n">
        <x:v>0</x:v>
      </x:c>
      <x:c r="H714" t="n">
        <x:v>0</x:v>
      </x:c>
      <x:c r="I714" t="n">
        <x:v>0</x:v>
      </x:c>
      <x:c r="J714" t="n">
        <x:v>1</x:v>
      </x:c>
      <x:c r="K714" t="n">
        <x:f>SUM(E714:J714)</x:f>
        <x:v>1</x:v>
      </x:c>
      <x:c r="L714" s="163" t="n">
        <x:f>IFERROR(K714/D714,0)</x:f>
        <x:v>0.02378743547658127</x:v>
      </x:c>
      <x:c r="M714" s="160" t="str">
        <x:v>Presence-floor proxy only — 50k+ county completion</x:v>
      </x:c>
      <x:c r="N714" s="160" t="str">
        <x:v>Added to complete ≥50,000-population incorporated-place coverage in a top-5 store-count county using Census Vintage 2025 eligibility. One-store screening floor only; exact selected-chain count and 5-mile buffer require GIS verification.</x:v>
      </x:c>
      <x:c r="O714" s="160" t="str">
        <x:v>Maricopa County</x:v>
      </x:c>
    </x:row>
    <x:row r="715">
      <x:c r="A715" t="n">
        <x:v>753</x:v>
      </x:c>
      <x:c r="B715" t="str">
        <x:v>Maricopa</x:v>
      </x:c>
      <x:c r="C715" t="str">
        <x:v>AZ</x:v>
      </x:c>
      <x:c r="D715" s="161" t="n">
        <x:v>42.495</x:v>
      </x:c>
      <x:c r="E715" t="n">
        <x:v>0</x:v>
      </x:c>
      <x:c r="F715" t="n">
        <x:v>1</x:v>
      </x:c>
      <x:c r="G715" t="n">
        <x:v>0</x:v>
      </x:c>
      <x:c r="H715" t="n">
        <x:v>0</x:v>
      </x:c>
      <x:c r="I715" t="n">
        <x:v>0</x:v>
      </x:c>
      <x:c r="J715" t="n">
        <x:v>0</x:v>
      </x:c>
      <x:c r="K715" t="n">
        <x:f>SUM(E715:J715)</x:f>
        <x:v>1</x:v>
      </x:c>
      <x:c r="L715" s="163" t="n">
        <x:f>IFERROR(K715/D715,0)</x:f>
        <x:v>0.023532180256500765</x:v>
      </x:c>
      <x:c r="M715" s="160" t="str">
        <x:v>Confirmed lower bound — adjacent-county expansion</x:v>
      </x:c>
      <x:c r="N715" s="160" t="str">
        <x:v>Added in second adjacent-county expansion; Sprouts location verified. Census Vintage 2025 eligibility; Census 2025 Gazetteer land area.</x:v>
      </x:c>
      <x:c r="O715" s="160" t="str">
        <x:v>Pinal County</x:v>
      </x:c>
    </x:row>
    <x:row r="716">
      <x:c r="A716" t="n">
        <x:v>754</x:v>
      </x:c>
      <x:c r="B716" t="str">
        <x:v>Santa Rosa</x:v>
      </x:c>
      <x:c r="C716" t="str">
        <x:v>CA</x:v>
      </x:c>
      <x:c r="D716" s="161" t="n">
        <x:v>42.5</x:v>
      </x:c>
      <x:c r="E716" t="n">
        <x:v>0</x:v>
      </x:c>
      <x:c r="F716" t="n">
        <x:v>0</x:v>
      </x:c>
      <x:c r="G716" t="n">
        <x:v>0</x:v>
      </x:c>
      <x:c r="H716" t="n">
        <x:v>0</x:v>
      </x:c>
      <x:c r="I716" t="n">
        <x:v>0</x:v>
      </x:c>
      <x:c r="J716" t="n">
        <x:v>1</x:v>
      </x:c>
      <x:c r="K716" t="n">
        <x:f>SUM(E716:J716)</x:f>
        <x:v>1</x:v>
      </x:c>
      <x:c r="L716" s="163" t="n">
        <x:f>IFERROR(K716/D716,0)</x:f>
        <x:v>0.023529411764705882</x:v>
      </x:c>
      <x:c r="M716" s="160" t="str">
        <x:v>Presence-floor proxy only — 200-city expansion</x:v>
      </x:c>
      <x:c r="N716" s="160" t="str">
        <x:v>Added in the 200-city screening expansion. One-store screening floor only; exact selected-chain count and 5-mile buffer require GIS verification.</x:v>
      </x:c>
      <x:c r="O716" s="160" t="str">
        <x:v>Sonoma County</x:v>
      </x:c>
    </x:row>
    <x:row r="717">
      <x:c r="A717" t="n">
        <x:v>755</x:v>
      </x:c>
      <x:c r="B717" t="str">
        <x:v>Charlotte</x:v>
      </x:c>
      <x:c r="C717" t="str">
        <x:v>NC</x:v>
      </x:c>
      <x:c r="D717" s="161" t="n">
        <x:v>297.678</x:v>
      </x:c>
      <x:c r="E717" t="n">
        <x:v>3</x:v>
      </x:c>
      <x:c r="F717" t="n">
        <x:v>0</x:v>
      </x:c>
      <x:c r="G717" t="n">
        <x:v>4</x:v>
      </x:c>
      <x:c r="H717" t="n">
        <x:v>0</x:v>
      </x:c>
      <x:c r="I717" t="n">
        <x:v>0</x:v>
      </x:c>
      <x:c r="J717" t="n">
        <x:v>0</x:v>
      </x:c>
      <x:c r="K717" t="n">
        <x:f>SUM(E717:J717)</x:f>
        <x:v>7</x:v>
      </x:c>
      <x:c r="L717" s="163" t="n">
        <x:f>IFERROR(K717/D717,0)</x:f>
        <x:v>0.02351534208104059</x:v>
      </x:c>
      <x:c r="M717" s="160" t="str">
        <x:v>Confirmed lower bound</x:v>
      </x:c>
      <x:c r="N717" s="160" t="str">
        <x:v>Verified public-directory count for ≥1 major chain; other selected chains and 5-mile spillover omitted.</x:v>
      </x:c>
      <x:c r="O717" s="160" t="str">
        <x:v>Mecklenburg County</x:v>
      </x:c>
    </x:row>
    <x:row r="718">
      <x:c r="A718" t="n">
        <x:v>756</x:v>
      </x:c>
      <x:c r="B718" t="str">
        <x:v>Battle Creek</x:v>
      </x:c>
      <x:c r="C718" t="str">
        <x:v>MI</x:v>
      </x:c>
      <x:c r="D718" s="161" t="n">
        <x:v>42.59</x:v>
      </x:c>
      <x:c r="E718" t="n">
        <x:v>0</x:v>
      </x:c>
      <x:c r="F718" t="n">
        <x:v>0</x:v>
      </x:c>
      <x:c r="G718" t="n">
        <x:v>0</x:v>
      </x:c>
      <x:c r="H718" t="n">
        <x:v>0</x:v>
      </x:c>
      <x:c r="I718" t="n">
        <x:v>0</x:v>
      </x:c>
      <x:c r="J718" t="n">
        <x:v>1</x:v>
      </x:c>
      <x:c r="K718" t="n">
        <x:f>SUM(E718:J718)</x:f>
        <x:v>1</x:v>
      </x:c>
      <x:c r="L718" s="163" t="n">
        <x:f>IFERROR(K718/D718,0)</x:f>
        <x:v>0.0234796900680911</x:v>
      </x:c>
      <x:c r="M718" s="160" t="str">
        <x:v>Presence-floor proxy only — restricted-state completion</x:v>
      </x:c>
      <x:c r="N718" s="160" t="str">
        <x:v>Added in the 467-city restricted-state adjacency expansion. Census Vintage 2025 population 52,021. No tracked-chain location was directly verified inside the incorporated city after official-locator checks; Presence Floor = 1 is a screening proxy only. County/city selection evidence includes Horrocks &amp; Co., a specialty grocery and produce market in Battle Creek.</x:v>
      </x:c>
      <x:c r="O718" s="160" t="str">
        <x:v>Calhoun County</x:v>
      </x:c>
    </x:row>
    <x:row r="719">
      <x:c r="A719" t="n">
        <x:v>757</x:v>
      </x:c>
      <x:c r="B719" t="str">
        <x:v>Los Angeles</x:v>
      </x:c>
      <x:c r="C719" t="str">
        <x:v>CA</x:v>
      </x:c>
      <x:c r="D719" s="161" t="n">
        <x:v>468.67</x:v>
      </x:c>
      <x:c r="E719" t="n">
        <x:v>5</x:v>
      </x:c>
      <x:c r="F719" t="n">
        <x:v>6</x:v>
      </x:c>
      <x:c r="G719" t="n">
        <x:v>0</x:v>
      </x:c>
      <x:c r="H719" t="n">
        <x:v>0</x:v>
      </x:c>
      <x:c r="I719" t="n">
        <x:v>0</x:v>
      </x:c>
      <x:c r="J719" t="n">
        <x:v>0</x:v>
      </x:c>
      <x:c r="K719" t="n">
        <x:f>SUM(E719:J719)</x:f>
        <x:v>11</x:v>
      </x:c>
      <x:c r="L719" s="163" t="n">
        <x:f>IFERROR(K719/D719,0)</x:f>
        <x:v>0.023470672328077324</x:v>
      </x:c>
      <x:c r="M719" s="160" t="str">
        <x:v>Confirmed lower bound</x:v>
      </x:c>
      <x:c r="N719" s="160" t="str">
        <x:v>Verified public-directory count for ≥1 major chain; other selected chains and 5-mile spillover omitted.</x:v>
      </x:c>
      <x:c r="O719" s="160" t="str">
        <x:v>Los Angeles County</x:v>
      </x:c>
    </x:row>
    <x:row r="720">
      <x:c r="A720" t="n">
        <x:v>758</x:v>
      </x:c>
      <x:c r="B720" t="str">
        <x:v>Sandwich Town</x:v>
      </x:c>
      <x:c r="C720" t="str">
        <x:v>MA</x:v>
      </x:c>
      <x:c r="D720" s="161" t="n">
        <x:v>42.868</x:v>
      </x:c>
      <x:c r="E720" t="n">
        <x:v>0</x:v>
      </x:c>
      <x:c r="F720" t="n">
        <x:v>0</x:v>
      </x:c>
      <x:c r="G720" t="n">
        <x:v>0</x:v>
      </x:c>
      <x:c r="H720" t="n">
        <x:v>0</x:v>
      </x:c>
      <x:c r="I720" t="n">
        <x:v>0</x:v>
      </x:c>
      <x:c r="J720" t="n">
        <x:v>1</x:v>
      </x:c>
      <x:c r="K720" t="n">
        <x:f>SUM(E720:J720)</x:f>
        <x:v>1</x:v>
      </x:c>
      <x:c r="L720" s="163" t="n">
        <x:f>IFERROR(K720/D720,0)</x:f>
        <x:v>0.023327423719324437</x:v>
      </x:c>
      <x:c r="M720" s="160" t="str">
        <x:v>Presence-floor proxy only — 10k+ municipality completion</x:v>
      </x:c>
      <x:c r="N720"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720" s="160" t="str">
        <x:v>Barnstable County</x:v>
      </x:c>
    </x:row>
    <x:row r="721">
      <x:c r="A721" t="n">
        <x:v>759</x:v>
      </x:c>
      <x:c r="B721" t="str">
        <x:v>Jurupa Valley</x:v>
      </x:c>
      <x:c r="C721" t="str">
        <x:v>CA</x:v>
      </x:c>
      <x:c r="D721" s="161" t="n">
        <x:v>42.94</x:v>
      </x:c>
      <x:c r="E721" t="n">
        <x:v>0</x:v>
      </x:c>
      <x:c r="F721" t="n">
        <x:v>0</x:v>
      </x:c>
      <x:c r="G721" t="n">
        <x:v>0</x:v>
      </x:c>
      <x:c r="H721" t="n">
        <x:v>0</x:v>
      </x:c>
      <x:c r="I721" t="n">
        <x:v>0</x:v>
      </x:c>
      <x:c r="J721" t="n">
        <x:v>1</x:v>
      </x:c>
      <x:c r="K721" t="n">
        <x:f>SUM(E721:J721)</x:f>
        <x:v>1</x:v>
      </x:c>
      <x:c r="L721" s="163" t="n">
        <x:f>IFERROR(K721/D721,0)</x:f>
        <x:v>0.02328830926874709</x:v>
      </x:c>
      <x:c r="M721" s="160" t="str">
        <x:v>Presence-floor proxy only — 50k+ county completion</x:v>
      </x:c>
      <x:c r="N721" s="160" t="str">
        <x:v>Added to complete ≥50,000-population incorporated-place coverage in counties ranked 16–20 by original proxy/lower-bound store count, using Census Vintage 2025 eligibility. One-store screening floor only; exact selected-chain count and 5-mile buffer require GIS verification.</x:v>
      </x:c>
      <x:c r="O721" s="160" t="str">
        <x:v>Riverside County</x:v>
      </x:c>
    </x:row>
    <x:row r="722">
      <x:c r="A722" t="n">
        <x:v>760</x:v>
      </x:c>
      <x:c r="B722" t="str">
        <x:v>Modesto</x:v>
      </x:c>
      <x:c r="C722" t="str">
        <x:v>CA</x:v>
      </x:c>
      <x:c r="D722" s="161" t="n">
        <x:v>43</x:v>
      </x:c>
      <x:c r="E722" t="n">
        <x:v>0</x:v>
      </x:c>
      <x:c r="F722" t="n">
        <x:v>0</x:v>
      </x:c>
      <x:c r="G722" t="n">
        <x:v>0</x:v>
      </x:c>
      <x:c r="H722" t="n">
        <x:v>0</x:v>
      </x:c>
      <x:c r="I722" t="n">
        <x:v>0</x:v>
      </x:c>
      <x:c r="J722" t="n">
        <x:v>1</x:v>
      </x:c>
      <x:c r="K722" t="n">
        <x:f>SUM(E722:J722)</x:f>
        <x:v>1</x:v>
      </x:c>
      <x:c r="L722" s="163" t="n">
        <x:f>IFERROR(K722/D722,0)</x:f>
        <x:v>0.023255813953488372</x:v>
      </x:c>
      <x:c r="M722" s="160" t="str">
        <x:v>Presence-floor proxy only — 200-city expansion</x:v>
      </x:c>
      <x:c r="N722" s="160" t="str">
        <x:v>Added in the 200-city screening expansion. One-store screening floor only; exact selected-chain count and 5-mile buffer require GIS verification.</x:v>
      </x:c>
      <x:c r="O722" s="160" t="str">
        <x:v>Stanislaus County</x:v>
      </x:c>
    </x:row>
    <x:row r="723">
      <x:c r="A723" t="n">
        <x:v>761</x:v>
      </x:c>
      <x:c r="B723" t="str">
        <x:v>Fontana</x:v>
      </x:c>
      <x:c r="C723" t="str">
        <x:v>CA</x:v>
      </x:c>
      <x:c r="D723" s="161" t="n">
        <x:v>43.1</x:v>
      </x:c>
      <x:c r="E723" t="n">
        <x:v>0</x:v>
      </x:c>
      <x:c r="F723" t="n">
        <x:v>0</x:v>
      </x:c>
      <x:c r="G723" t="n">
        <x:v>0</x:v>
      </x:c>
      <x:c r="H723" t="n">
        <x:v>0</x:v>
      </x:c>
      <x:c r="I723" t="n">
        <x:v>0</x:v>
      </x:c>
      <x:c r="J723" t="n">
        <x:v>1</x:v>
      </x:c>
      <x:c r="K723" t="n">
        <x:f>SUM(E723:J723)</x:f>
        <x:v>1</x:v>
      </x:c>
      <x:c r="L723" s="163" t="n">
        <x:f>IFERROR(K723/D723,0)</x:f>
        <x:v>0.02320185614849188</x:v>
      </x:c>
      <x:c r="M723" s="160" t="str">
        <x:v>Presence-floor proxy only — 200-city expansion</x:v>
      </x:c>
      <x:c r="N723" s="160" t="str">
        <x:v>Added in the 200-city screening expansion. One-store screening floor only; exact selected-chain count and 5-mile buffer require GIS verification.</x:v>
      </x:c>
      <x:c r="O723" s="160" t="str">
        <x:v>San Bernardino County</x:v>
      </x:c>
    </x:row>
    <x:row r="724">
      <x:c r="A724" t="n">
        <x:v>762</x:v>
      </x:c>
      <x:c r="B724" t="str">
        <x:v>North Kingstown Town</x:v>
      </x:c>
      <x:c r="C724" t="str">
        <x:v>RI</x:v>
      </x:c>
      <x:c r="D724" s="161" t="n">
        <x:v>43.17</x:v>
      </x:c>
      <x:c r="E724" t="n">
        <x:v>0</x:v>
      </x:c>
      <x:c r="F724" t="n">
        <x:v>0</x:v>
      </x:c>
      <x:c r="G724" t="n">
        <x:v>0</x:v>
      </x:c>
      <x:c r="H724" t="n">
        <x:v>0</x:v>
      </x:c>
      <x:c r="I724" t="n">
        <x:v>0</x:v>
      </x:c>
      <x:c r="J724" t="n">
        <x:v>1</x:v>
      </x:c>
      <x:c r="K724" t="n">
        <x:f>SUM(E724:J724)</x:f>
        <x:v>1</x:v>
      </x:c>
      <x:c r="L724" s="163" t="n">
        <x:f>IFERROR(K724/D724,0)</x:f>
        <x:v>0.02316423442205235</x:v>
      </x:c>
      <x:c r="M724" s="160" t="str">
        <x:v>Presence-floor proxy only — 10k+ municipality completion</x:v>
      </x:c>
      <x:c r="N724" s="160" t="str">
        <x:v>Added under the &gt;=50k-county expansion rule: Census Vintage 2025 municipality population &gt;=10,000; general-purpose city-equivalent municipality; direct Census adjacency. Presence-floor proxy only — exact tracked-chain count requires municipal-boundary/GIS verification. Rhode Island towns are general-purpose municipalities; smaller Washington County towns remain below the 10,000 threshold.</x:v>
      </x:c>
      <x:c r="O724" s="160" t="str">
        <x:v>Washington County</x:v>
      </x:c>
    </x:row>
    <x:row r="725">
      <x:c r="A725" t="n">
        <x:v>763</x:v>
      </x:c>
      <x:c r="B725" t="str">
        <x:v>Madison Township</x:v>
      </x:c>
      <x:c r="C725" t="str">
        <x:v>OH</x:v>
      </x:c>
      <x:c r="D725" s="161" t="n">
        <x:v>43.36</x:v>
      </x:c>
      <x:c r="E725" t="n">
        <x:v>0</x:v>
      </x:c>
      <x:c r="F725" t="n">
        <x:v>0</x:v>
      </x:c>
      <x:c r="G725" t="n">
        <x:v>0</x:v>
      </x:c>
      <x:c r="H725" t="n">
        <x:v>0</x:v>
      </x:c>
      <x:c r="I725" t="n">
        <x:v>0</x:v>
      </x:c>
      <x:c r="J725" t="n">
        <x:v>1</x:v>
      </x:c>
      <x:c r="K725" t="n">
        <x:f>SUM(E725:J725)</x:f>
        <x:v>1</x:v>
      </x:c>
      <x:c r="L725" s="163" t="n">
        <x:f>IFERROR(K725/D725,0)</x:f>
        <x:v>0.023062730627306273</x:v>
      </x:c>
      <x:c r="M725" s="160" t="str">
        <x:v>Presence-floor proxy only — 10k+ municipality completion</x:v>
      </x:c>
      <x:c r="N725" s="160" t="str">
        <x:v>Added under the &gt;=50k-county expansion rule: Census Vintage 2025 municipality population &gt;=10,000; general-purpose city-equivalent municipality; direct Census adjacency. Presence-floor proxy only — exact tracked-chain count requires municipal-boundary/GIS verification. Heinen's Mentor and Willoughby provide strong county specialty-grocery evidence but Heinen's is not one of the five tracked proxy chains.</x:v>
      </x:c>
      <x:c r="O725" s="160" t="str">
        <x:v>Lake County</x:v>
      </x:c>
    </x:row>
    <x:row r="726">
      <x:c r="A726" t="n">
        <x:v>764</x:v>
      </x:c>
      <x:c r="B726" t="str">
        <x:v>Newburgh Town</x:v>
      </x:c>
      <x:c r="C726" t="str">
        <x:v>NY</x:v>
      </x:c>
      <x:c r="D726" s="161" t="n">
        <x:v>43.364</x:v>
      </x:c>
      <x:c r="E726" t="n">
        <x:v>0</x:v>
      </x:c>
      <x:c r="F726" t="n">
        <x:v>0</x:v>
      </x:c>
      <x:c r="G726" t="n">
        <x:v>0</x:v>
      </x:c>
      <x:c r="H726" t="n">
        <x:v>0</x:v>
      </x:c>
      <x:c r="I726" t="n">
        <x:v>0</x:v>
      </x:c>
      <x:c r="J726" t="n">
        <x:v>1</x:v>
      </x:c>
      <x:c r="K726" t="n">
        <x:f>SUM(E726:J726)</x:f>
        <x:v>1</x:v>
      </x:c>
      <x:c r="L726" s="163" t="n">
        <x:f>IFERROR(K726/D726,0)</x:f>
        <x:v>0.023060603265381424</x:v>
      </x:c>
      <x:c r="M726" s="160" t="str">
        <x:v>Presence-floor proxy only — 10k+ municipality completion</x:v>
      </x:c>
      <x:c r="N72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726" s="160" t="str">
        <x:v>Orange County</x:v>
      </x:c>
    </x:row>
    <x:row r="727">
      <x:c r="A727" t="n">
        <x:v>765</x:v>
      </x:c>
      <x:c r="B727" t="str">
        <x:v>Lakewood</x:v>
      </x:c>
      <x:c r="C727" t="str">
        <x:v>CO</x:v>
      </x:c>
      <x:c r="D727" s="161" t="n">
        <x:v>43.5</x:v>
      </x:c>
      <x:c r="E727" t="n">
        <x:v>0</x:v>
      </x:c>
      <x:c r="F727" t="n">
        <x:v>0</x:v>
      </x:c>
      <x:c r="G727" t="n">
        <x:v>0</x:v>
      </x:c>
      <x:c r="H727" t="n">
        <x:v>0</x:v>
      </x:c>
      <x:c r="I727" t="n">
        <x:v>0</x:v>
      </x:c>
      <x:c r="J727" t="n">
        <x:v>1</x:v>
      </x:c>
      <x:c r="K727" t="n">
        <x:f>SUM(E727:J727)</x:f>
        <x:v>1</x:v>
      </x:c>
      <x:c r="L727" s="163" t="n">
        <x:f>IFERROR(K727/D727,0)</x:f>
        <x:v>0.022988505747126436</x:v>
      </x:c>
      <x:c r="M727" s="160" t="str">
        <x:v>Presence-floor proxy only — 200-city expansion</x:v>
      </x:c>
      <x:c r="N727" s="160" t="str">
        <x:v>Added in the 200-city screening expansion. One-store screening floor only; exact selected-chain count and 5-mile buffer require GIS verification.</x:v>
      </x:c>
      <x:c r="O727" s="160" t="str">
        <x:v>Jefferson County</x:v>
      </x:c>
    </x:row>
    <x:row r="728">
      <x:c r="A728" t="n">
        <x:v>766</x:v>
      </x:c>
      <x:c r="B728" t="str">
        <x:v>Goshen Town</x:v>
      </x:c>
      <x:c r="C728" t="str">
        <x:v>NY</x:v>
      </x:c>
      <x:c r="D728" s="161" t="n">
        <x:v>43.642</x:v>
      </x:c>
      <x:c r="E728" t="n">
        <x:v>0</x:v>
      </x:c>
      <x:c r="F728" t="n">
        <x:v>0</x:v>
      </x:c>
      <x:c r="G728" t="n">
        <x:v>0</x:v>
      </x:c>
      <x:c r="H728" t="n">
        <x:v>0</x:v>
      </x:c>
      <x:c r="I728" t="n">
        <x:v>0</x:v>
      </x:c>
      <x:c r="J728" t="n">
        <x:v>1</x:v>
      </x:c>
      <x:c r="K728" t="n">
        <x:f>SUM(E728:J728)</x:f>
        <x:v>1</x:v>
      </x:c>
      <x:c r="L728" s="163" t="n">
        <x:f>IFERROR(K728/D728,0)</x:f>
        <x:v>0.022913706979515145</x:v>
      </x:c>
      <x:c r="M728" s="160" t="str">
        <x:v>Presence-floor proxy only — 10k+ municipality completion</x:v>
      </x:c>
      <x:c r="N72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728" s="160" t="str">
        <x:v>Orange County</x:v>
      </x:c>
    </x:row>
    <x:row r="729">
      <x:c r="A729" t="n">
        <x:v>767</x:v>
      </x:c>
      <x:c r="B729" t="str">
        <x:v>Pasadena</x:v>
      </x:c>
      <x:c r="C729" t="str">
        <x:v>TX</x:v>
      </x:c>
      <x:c r="D729" s="161" t="n">
        <x:v>43.7</x:v>
      </x:c>
      <x:c r="E729" t="n">
        <x:v>0</x:v>
      </x:c>
      <x:c r="F729" t="n">
        <x:v>0</x:v>
      </x:c>
      <x:c r="G729" t="n">
        <x:v>0</x:v>
      </x:c>
      <x:c r="H729" t="n">
        <x:v>0</x:v>
      </x:c>
      <x:c r="I729" t="n">
        <x:v>0</x:v>
      </x:c>
      <x:c r="J729" t="n">
        <x:v>1</x:v>
      </x:c>
      <x:c r="K729" t="n">
        <x:f>SUM(E729:J729)</x:f>
        <x:v>1</x:v>
      </x:c>
      <x:c r="L729" s="163" t="n">
        <x:f>IFERROR(K729/D729,0)</x:f>
        <x:v>0.02288329519450801</x:v>
      </x:c>
      <x:c r="M729" s="160" t="str">
        <x:v>Presence-floor proxy only — 200-city expansion</x:v>
      </x:c>
      <x:c r="N729" s="160" t="str">
        <x:v>Added in the 200-city screening expansion. One-store screening floor only; exact selected-chain count and 5-mile buffer require GIS verification.</x:v>
      </x:c>
      <x:c r="O729" s="160" t="str">
        <x:v>Harris County</x:v>
      </x:c>
    </x:row>
    <x:row r="730">
      <x:c r="A730" t="n">
        <x:v>768</x:v>
      </x:c>
      <x:c r="B730" t="str">
        <x:v>Southampton Township</x:v>
      </x:c>
      <x:c r="C730" t="str">
        <x:v>NJ</x:v>
      </x:c>
      <x:c r="D730" s="161" t="n">
        <x:v>43.957</x:v>
      </x:c>
      <x:c r="E730" t="n">
        <x:v>0</x:v>
      </x:c>
      <x:c r="F730" t="n">
        <x:v>0</x:v>
      </x:c>
      <x:c r="G730" t="n">
        <x:v>0</x:v>
      </x:c>
      <x:c r="H730" t="n">
        <x:v>0</x:v>
      </x:c>
      <x:c r="I730" t="n">
        <x:v>0</x:v>
      </x:c>
      <x:c r="J730" t="n">
        <x:v>1</x:v>
      </x:c>
      <x:c r="K730" t="n">
        <x:f>SUM(E730:J730)</x:f>
        <x:v>1</x:v>
      </x:c>
      <x:c r="L730" s="163" t="n">
        <x:f>IFERROR(K730/D730,0)</x:f>
        <x:v>0.022749505198261938</x:v>
      </x:c>
      <x:c r="M730" s="160" t="str">
        <x:v>Presence-floor proxy only — 10k+ municipality completion</x:v>
      </x:c>
      <x:c r="N730"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730" s="160" t="str">
        <x:v>Burlington County</x:v>
      </x:c>
    </x:row>
    <x:row r="731">
      <x:c r="A731" t="n">
        <x:v>769</x:v>
      </x:c>
      <x:c r="B731" t="str">
        <x:v>Falmouth Town</x:v>
      </x:c>
      <x:c r="C731" t="str">
        <x:v>MA</x:v>
      </x:c>
      <x:c r="D731" s="161" t="n">
        <x:v>44.06</x:v>
      </x:c>
      <x:c r="E731" t="n">
        <x:v>0</x:v>
      </x:c>
      <x:c r="F731" t="n">
        <x:v>0</x:v>
      </x:c>
      <x:c r="G731" t="n">
        <x:v>0</x:v>
      </x:c>
      <x:c r="H731" t="n">
        <x:v>0</x:v>
      </x:c>
      <x:c r="I731" t="n">
        <x:v>0</x:v>
      </x:c>
      <x:c r="J731" t="n">
        <x:v>1</x:v>
      </x:c>
      <x:c r="K731" t="n">
        <x:f>SUM(E731:J731)</x:f>
        <x:v>1</x:v>
      </x:c>
      <x:c r="L731" s="163" t="n">
        <x:f>IFERROR(K731/D731,0)</x:f>
        <x:v>0.022696323195642305</x:v>
      </x:c>
      <x:c r="M731" s="160" t="str">
        <x:v>Presence-floor proxy only — 10k+ municipality completion</x:v>
      </x:c>
      <x:c r="N731"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731" s="160" t="str">
        <x:v>Barnstable County</x:v>
      </x:c>
    </x:row>
    <x:row r="732">
      <x:c r="A732" t="n">
        <x:v>770</x:v>
      </x:c>
      <x:c r="B732" t="str">
        <x:v>Roseville</x:v>
      </x:c>
      <x:c r="C732" t="str">
        <x:v>CA</x:v>
      </x:c>
      <x:c r="D732" s="161" t="n">
        <x:v>44.1</x:v>
      </x:c>
      <x:c r="E732" t="n">
        <x:v>0</x:v>
      </x:c>
      <x:c r="F732" t="n">
        <x:v>0</x:v>
      </x:c>
      <x:c r="G732" t="n">
        <x:v>0</x:v>
      </x:c>
      <x:c r="H732" t="n">
        <x:v>0</x:v>
      </x:c>
      <x:c r="I732" t="n">
        <x:v>0</x:v>
      </x:c>
      <x:c r="J732" t="n">
        <x:v>1</x:v>
      </x:c>
      <x:c r="K732" t="n">
        <x:f>SUM(E732:J732)</x:f>
        <x:v>1</x:v>
      </x:c>
      <x:c r="L732" s="163" t="n">
        <x:f>IFERROR(K732/D732,0)</x:f>
        <x:v>0.022675736961451247</x:v>
      </x:c>
      <x:c r="M732" s="160" t="str">
        <x:v>Presence-floor proxy only — 200-city expansion</x:v>
      </x:c>
      <x:c r="N732" s="160" t="str">
        <x:v>Added in the 200-city screening expansion. One-store screening floor only; exact selected-chain count and 5-mile buffer require GIS verification.</x:v>
      </x:c>
      <x:c r="O732" s="160" t="str">
        <x:v>Placer County</x:v>
      </x:c>
    </x:row>
    <x:row r="733">
      <x:c r="A733" t="n">
        <x:v>771</x:v>
      </x:c>
      <x:c r="B733" t="str">
        <x:v>Eugene</x:v>
      </x:c>
      <x:c r="C733" t="str">
        <x:v>OR</x:v>
      </x:c>
      <x:c r="D733" s="161" t="n">
        <x:v>44.2</x:v>
      </x:c>
      <x:c r="E733" t="n">
        <x:v>0</x:v>
      </x:c>
      <x:c r="F733" t="n">
        <x:v>0</x:v>
      </x:c>
      <x:c r="G733" t="n">
        <x:v>0</x:v>
      </x:c>
      <x:c r="H733" t="n">
        <x:v>0</x:v>
      </x:c>
      <x:c r="I733" t="n">
        <x:v>0</x:v>
      </x:c>
      <x:c r="J733" t="n">
        <x:v>1</x:v>
      </x:c>
      <x:c r="K733" t="n">
        <x:f>SUM(E733:J733)</x:f>
        <x:v>1</x:v>
      </x:c>
      <x:c r="L733" s="163" t="n">
        <x:f>IFERROR(K733/D733,0)</x:f>
        <x:v>0.02262443438914027</x:v>
      </x:c>
      <x:c r="M733" s="160" t="str">
        <x:v>Presence-floor proxy only — 200-city expansion</x:v>
      </x:c>
      <x:c r="N733" s="160" t="str">
        <x:v>Added in the 200-city screening expansion. One-store screening floor only; exact selected-chain count and 5-mile buffer require GIS verification.</x:v>
      </x:c>
      <x:c r="O733" s="160" t="str">
        <x:v>Lane County</x:v>
      </x:c>
    </x:row>
    <x:row r="734">
      <x:c r="A734" t="n">
        <x:v>772</x:v>
      </x:c>
      <x:c r="B734" t="str">
        <x:v>Washington Township</x:v>
      </x:c>
      <x:c r="C734" t="str">
        <x:v>NJ</x:v>
      </x:c>
      <x:c r="D734" s="161" t="n">
        <x:v>44.584</x:v>
      </x:c>
      <x:c r="E734" t="n">
        <x:v>0</x:v>
      </x:c>
      <x:c r="F734" t="n">
        <x:v>0</x:v>
      </x:c>
      <x:c r="G734" t="n">
        <x:v>0</x:v>
      </x:c>
      <x:c r="H734" t="n">
        <x:v>0</x:v>
      </x:c>
      <x:c r="I734" t="n">
        <x:v>0</x:v>
      </x:c>
      <x:c r="J734" t="n">
        <x:v>1</x:v>
      </x:c>
      <x:c r="K734" t="n">
        <x:f>SUM(E734:J734)</x:f>
        <x:v>1</x:v>
      </x:c>
      <x:c r="L734" s="163" t="n">
        <x:f>IFERROR(K734/D734,0)</x:f>
        <x:v>0.022429571146599676</x:v>
      </x:c>
      <x:c r="M734" s="160" t="str">
        <x:v>Presence-floor proxy only — 10k+ municipality completion</x:v>
      </x:c>
      <x:c r="N734"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734" s="160" t="str">
        <x:v>Morris County</x:v>
      </x:c>
    </x:row>
    <x:row r="735">
      <x:c r="A735" t="n">
        <x:v>774</x:v>
      </x:c>
      <x:c r="B735" t="str">
        <x:v>Edinburg</x:v>
      </x:c>
      <x:c r="C735" t="str">
        <x:v>TX</x:v>
      </x:c>
      <x:c r="D735" s="161" t="n">
        <x:v>44.7</x:v>
      </x:c>
      <x:c r="E735" t="n">
        <x:v>0</x:v>
      </x:c>
      <x:c r="F735" t="n">
        <x:v>0</x:v>
      </x:c>
      <x:c r="G735" t="n">
        <x:v>0</x:v>
      </x:c>
      <x:c r="H735" t="n">
        <x:v>0</x:v>
      </x:c>
      <x:c r="I735" t="n">
        <x:v>0</x:v>
      </x:c>
      <x:c r="J735" t="n">
        <x:v>1</x:v>
      </x:c>
      <x:c r="K735" t="n">
        <x:f>SUM(E735:J735)</x:f>
        <x:v>1</x:v>
      </x:c>
      <x:c r="L735" s="163" t="n">
        <x:f>IFERROR(K735/D735,0)</x:f>
        <x:v>0.022371364653243846</x:v>
      </x:c>
      <x:c r="M735" s="160" t="str">
        <x:v>Presence-floor proxy only — 300-city expansion</x:v>
      </x:c>
      <x:c r="N735" s="160" t="str">
        <x:v>Added in the 300-city screening expansion. One-store screening floor only; exact selected-chain count and 5-mile buffer require GIS verification.</x:v>
      </x:c>
      <x:c r="O735" s="160" t="str">
        <x:v>Hidalgo County</x:v>
      </x:c>
    </x:row>
    <x:row r="736">
      <x:c r="A736" t="n">
        <x:v>775</x:v>
      </x:c>
      <x:c r="B736" t="str">
        <x:v>Grand Rapids</x:v>
      </x:c>
      <x:c r="C736" t="str">
        <x:v>MI</x:v>
      </x:c>
      <x:c r="D736" s="161" t="n">
        <x:v>44.8</x:v>
      </x:c>
      <x:c r="E736" t="n">
        <x:v>0</x:v>
      </x:c>
      <x:c r="F736" t="n">
        <x:v>0</x:v>
      </x:c>
      <x:c r="G736" t="n">
        <x:v>0</x:v>
      </x:c>
      <x:c r="H736" t="n">
        <x:v>0</x:v>
      </x:c>
      <x:c r="I736" t="n">
        <x:v>0</x:v>
      </x:c>
      <x:c r="J736" t="n">
        <x:v>1</x:v>
      </x:c>
      <x:c r="K736" t="n">
        <x:f>SUM(E736:J736)</x:f>
        <x:v>1</x:v>
      </x:c>
      <x:c r="L736" s="163" t="n">
        <x:f>IFERROR(K736/D736,0)</x:f>
        <x:v>0.022321428571428572</x:v>
      </x:c>
      <x:c r="M736" s="160" t="str">
        <x:v>Presence-floor proxy only — 200-city expansion</x:v>
      </x:c>
      <x:c r="N736" s="160" t="str">
        <x:v>Added in the 200-city screening expansion. One-store screening floor only; exact selected-chain count and 5-mile buffer require GIS verification.</x:v>
      </x:c>
      <x:c r="O736" s="160" t="str">
        <x:v>Kent County</x:v>
      </x:c>
    </x:row>
    <x:row r="737">
      <x:c r="A737" t="n">
        <x:v>776</x:v>
      </x:c>
      <x:c r="B737" t="str">
        <x:v>Billings</x:v>
      </x:c>
      <x:c r="C737" t="str">
        <x:v>MT</x:v>
      </x:c>
      <x:c r="D737" s="161" t="n">
        <x:v>44.8</x:v>
      </x:c>
      <x:c r="E737" t="n">
        <x:v>0</x:v>
      </x:c>
      <x:c r="F737" t="n">
        <x:v>0</x:v>
      </x:c>
      <x:c r="G737" t="n">
        <x:v>0</x:v>
      </x:c>
      <x:c r="H737" t="n">
        <x:v>0</x:v>
      </x:c>
      <x:c r="I737" t="n">
        <x:v>0</x:v>
      </x:c>
      <x:c r="J737" t="n">
        <x:v>1</x:v>
      </x:c>
      <x:c r="K737" t="n">
        <x:f>SUM(E737:J737)</x:f>
        <x:v>1</x:v>
      </x:c>
      <x:c r="L737" s="163" t="n">
        <x:f>IFERROR(K737/D737,0)</x:f>
        <x:v>0.022321428571428572</x:v>
      </x:c>
      <x:c r="M737" s="160" t="str">
        <x:v>Presence-floor proxy only — 300-city expansion</x:v>
      </x:c>
      <x:c r="N737" s="160" t="str">
        <x:v>Added in the 300-city screening expansion. One-store screening floor only; exact selected-chain count and 5-mile buffer require GIS verification.</x:v>
      </x:c>
      <x:c r="O737" s="160" t="str">
        <x:v>Yellowstone County</x:v>
      </x:c>
    </x:row>
    <x:row r="738">
      <x:c r="A738" t="n">
        <x:v>777</x:v>
      </x:c>
      <x:c r="B738" t="str">
        <x:v>Lockport town</x:v>
      </x:c>
      <x:c r="C738" t="str">
        <x:v>NY</x:v>
      </x:c>
      <x:c r="D738" s="161" t="n">
        <x:v>44.843</x:v>
      </x:c>
      <x:c r="E738" t="n">
        <x:v>0</x:v>
      </x:c>
      <x:c r="F738" t="n">
        <x:v>0</x:v>
      </x:c>
      <x:c r="G738" t="n">
        <x:v>0</x:v>
      </x:c>
      <x:c r="H738" t="n">
        <x:v>0</x:v>
      </x:c>
      <x:c r="I738" t="n">
        <x:v>0</x:v>
      </x:c>
      <x:c r="J738" t="n">
        <x:v>1</x:v>
      </x:c>
      <x:c r="K738" t="n">
        <x:f>SUM(E738:J738)</x:f>
        <x:v>1</x:v>
      </x:c>
      <x:c r="L738" s="163" t="n">
        <x:f>IFERROR(K738/D738,0)</x:f>
        <x:v>0.022300024530026982</x:v>
      </x:c>
      <x:c r="M738" s="160" t="str">
        <x:v>Presence-floor proxy only — 10k+ municipality completion</x:v>
      </x:c>
      <x:c r="N738" s="160" t="str">
        <x:v>Added under the &gt;=50k-county expansion rule: Census Vintage 2025 municipality population &gt;=10,000; general-purpose city-equivalent municipality; direct Census adjacency. Presence-floor proxy only — exact tracked-chain count requires municipal-boundary/GIS verification. The Wegmans Military Road store is county-level evidence only because a Niagara Falls postal address does not prove incorporated-city boundary membership.</x:v>
      </x:c>
      <x:c r="O738" s="160" t="str">
        <x:v>Niagara County</x:v>
      </x:c>
    </x:row>
    <x:row r="739">
      <x:c r="A739" t="n">
        <x:v>778</x:v>
      </x:c>
      <x:c r="B739" t="str">
        <x:v>Aurora</x:v>
      </x:c>
      <x:c r="C739" t="str">
        <x:v>IL</x:v>
      </x:c>
      <x:c r="D739" s="161" t="n">
        <x:v>45</x:v>
      </x:c>
      <x:c r="E739" t="n">
        <x:v>0</x:v>
      </x:c>
      <x:c r="F739" t="n">
        <x:v>0</x:v>
      </x:c>
      <x:c r="G739" t="n">
        <x:v>0</x:v>
      </x:c>
      <x:c r="H739" t="n">
        <x:v>0</x:v>
      </x:c>
      <x:c r="I739" t="n">
        <x:v>0</x:v>
      </x:c>
      <x:c r="J739" t="n">
        <x:v>1</x:v>
      </x:c>
      <x:c r="K739" t="n">
        <x:f>SUM(E739:J739)</x:f>
        <x:v>1</x:v>
      </x:c>
      <x:c r="L739" s="163" t="n">
        <x:f>IFERROR(K739/D739,0)</x:f>
        <x:v>0.022222222222222223</x:v>
      </x:c>
      <x:c r="M739" s="160" t="str">
        <x:v>Presence-floor proxy only — 200-city expansion</x:v>
      </x:c>
      <x:c r="N739" s="160" t="str">
        <x:v>Added in the 200-city screening expansion. One-store screening floor only; exact selected-chain count and 5-mile buffer require GIS verification.</x:v>
      </x:c>
      <x:c r="O739" s="160" t="str">
        <x:v>Kane County</x:v>
      </x:c>
    </x:row>
    <x:row r="740">
      <x:c r="A740" t="n">
        <x:v>779</x:v>
      </x:c>
      <x:c r="B740" t="str">
        <x:v>Rochester city</x:v>
      </x:c>
      <x:c r="C740" t="str">
        <x:v>NH</x:v>
      </x:c>
      <x:c r="D740" s="161" t="n">
        <x:v>45.021</x:v>
      </x:c>
      <x:c r="E740" t="n">
        <x:v>0</x:v>
      </x:c>
      <x:c r="F740" t="n">
        <x:v>0</x:v>
      </x:c>
      <x:c r="G740" t="n">
        <x:v>0</x:v>
      </x:c>
      <x:c r="H740" t="n">
        <x:v>0</x:v>
      </x:c>
      <x:c r="I740" t="n">
        <x:v>0</x:v>
      </x:c>
      <x:c r="J740" t="n">
        <x:v>1</x:v>
      </x:c>
      <x:c r="K740" t="n">
        <x:f>SUM(E740:J740)</x:f>
        <x:v>1</x:v>
      </x:c>
      <x:c r="L740" s="163" t="n">
        <x:f>IFERROR(K740/D740,0)</x:f>
        <x:v>0.022211856689100643</x:v>
      </x:c>
      <x:c r="M740" s="160" t="str">
        <x:v>Presence-floor proxy only — 10k+ municipality completion</x:v>
      </x:c>
      <x:c r="N740" s="160" t="str">
        <x:v>Added under the 2026-09-15 &gt;=50k-county expansion rule: Census Vintage 2025 municipality population &gt;=10,000; general-purpose city-equivalent municipality; direct Census adjacency. Presence-floor proxy only — exact tracked-chain count requires municipal-boundary/GIS verification. Barrington remains below the 10,000 threshold.</x:v>
      </x:c>
      <x:c r="O740" s="160" t="str">
        <x:v>Strafford County</x:v>
      </x:c>
    </x:row>
    <x:row r="741">
      <x:c r="A741" t="n">
        <x:v>780</x:v>
      </x:c>
      <x:c r="B741" t="str">
        <x:v>Hazle Township</x:v>
      </x:c>
      <x:c r="C741" t="str">
        <x:v>PA</x:v>
      </x:c>
      <x:c r="D741" s="161" t="n">
        <x:v>45.072</x:v>
      </x:c>
      <x:c r="E741" t="n">
        <x:v>0</x:v>
      </x:c>
      <x:c r="F741" t="n">
        <x:v>0</x:v>
      </x:c>
      <x:c r="G741" t="n">
        <x:v>0</x:v>
      </x:c>
      <x:c r="H741" t="n">
        <x:v>0</x:v>
      </x:c>
      <x:c r="I741" t="n">
        <x:v>0</x:v>
      </x:c>
      <x:c r="J741" t="n">
        <x:v>1</x:v>
      </x:c>
      <x:c r="K741" t="n">
        <x:f>SUM(E741:J741)</x:f>
        <x:v>1</x:v>
      </x:c>
      <x:c r="L741" s="163" t="n">
        <x:f>IFERROR(K741/D741,0)</x:f>
        <x:v>0.022186723464678735</x:v>
      </x:c>
      <x:c r="M741" s="160" t="str">
        <x:v>Presence-floor proxy only — 10k+ municipality completion</x:v>
      </x:c>
      <x:c r="N741" s="160" t="str">
        <x:v>Added under the documented ≥300k county fallback: Census Vintage 2025 municipality population ≥10,000; general-purpose city-equivalent municipality; direct Census adjacency. Presence-floor proxy only — exact tracked-chain count requires municipal-boundary/GIS verification.</x:v>
      </x:c>
      <x:c r="O741" s="160" t="str">
        <x:v>Luzerne County</x:v>
      </x:c>
    </x:row>
    <x:row r="742">
      <x:c r="A742" t="n">
        <x:v>781</x:v>
      </x:c>
      <x:c r="B742" t="str">
        <x:v>New Braunfels</x:v>
      </x:c>
      <x:c r="C742" t="str">
        <x:v>TX</x:v>
      </x:c>
      <x:c r="D742" s="161" t="n">
        <x:v>45.2</x:v>
      </x:c>
      <x:c r="E742" t="n">
        <x:v>0</x:v>
      </x:c>
      <x:c r="F742" t="n">
        <x:v>0</x:v>
      </x:c>
      <x:c r="G742" t="n">
        <x:v>0</x:v>
      </x:c>
      <x:c r="H742" t="n">
        <x:v>0</x:v>
      </x:c>
      <x:c r="I742" t="n">
        <x:v>0</x:v>
      </x:c>
      <x:c r="J742" t="n">
        <x:v>1</x:v>
      </x:c>
      <x:c r="K742" t="n">
        <x:f>SUM(E742:J742)</x:f>
        <x:v>1</x:v>
      </x:c>
      <x:c r="L742" s="163" t="n">
        <x:f>IFERROR(K742/D742,0)</x:f>
        <x:v>0.022123893805309734</x:v>
      </x:c>
      <x:c r="M742" s="160" t="str">
        <x:v>Presence-floor proxy only — 250-city expansion</x:v>
      </x:c>
      <x:c r="N742" s="160" t="str">
        <x:v>Added in the 250-city screening expansion. One-store screening floor only; exact selected-chain count and 5-mile buffer require GIS verification.</x:v>
      </x:c>
      <x:c r="O742" s="160" t="str">
        <x:v>Comal County</x:v>
      </x:c>
    </x:row>
    <x:row r="743">
      <x:c r="A743" t="n">
        <x:v>782</x:v>
      </x:c>
      <x:c r="B743" t="str">
        <x:v>Clear Creek Township</x:v>
      </x:c>
      <x:c r="C743" t="str">
        <x:v>OH</x:v>
      </x:c>
      <x:c r="D743" s="161" t="n">
        <x:v>45.796</x:v>
      </x:c>
      <x:c r="E743" t="n">
        <x:v>0</x:v>
      </x:c>
      <x:c r="F743" t="n">
        <x:v>0</x:v>
      </x:c>
      <x:c r="G743" t="n">
        <x:v>0</x:v>
      </x:c>
      <x:c r="H743" t="n">
        <x:v>0</x:v>
      </x:c>
      <x:c r="I743" t="n">
        <x:v>0</x:v>
      </x:c>
      <x:c r="J743" t="n">
        <x:v>1</x:v>
      </x:c>
      <x:c r="K743" t="n">
        <x:f>SUM(E743:J743)</x:f>
        <x:v>1</x:v>
      </x:c>
      <x:c r="L743" s="163" t="n">
        <x:f>IFERROR(K743/D743,0)</x:f>
        <x:v>0.02183596820683029</x:v>
      </x:c>
      <x:c r="M743" s="160" t="str">
        <x:v>Presence-floor proxy only — 10k+ municipality completion</x:v>
      </x:c>
      <x:c r="N743" s="160" t="str">
        <x:v>Added under the &gt;=50k-county expansion rule: Census Vintage 2025 municipality population &gt;=10,000; general-purpose city-equivalent municipality; direct Census adjacency. Presence-floor proxy only — exact tracked-chain count requires municipal-boundary/GIS verification.</x:v>
      </x:c>
      <x:c r="O743" s="160" t="str">
        <x:v>Warren County</x:v>
      </x:c>
    </x:row>
    <x:row r="744">
      <x:c r="A744" t="n">
        <x:v>783</x:v>
      </x:c>
      <x:c r="B744" t="str">
        <x:v>Hayward</x:v>
      </x:c>
      <x:c r="C744" t="str">
        <x:v>CA</x:v>
      </x:c>
      <x:c r="D744" s="161" t="n">
        <x:v>45.8</x:v>
      </x:c>
      <x:c r="E744" t="n">
        <x:v>0</x:v>
      </x:c>
      <x:c r="F744" t="n">
        <x:v>0</x:v>
      </x:c>
      <x:c r="G744" t="n">
        <x:v>0</x:v>
      </x:c>
      <x:c r="H744" t="n">
        <x:v>0</x:v>
      </x:c>
      <x:c r="I744" t="n">
        <x:v>0</x:v>
      </x:c>
      <x:c r="J744" t="n">
        <x:v>1</x:v>
      </x:c>
      <x:c r="K744" t="n">
        <x:f>SUM(E744:J744)</x:f>
        <x:v>1</x:v>
      </x:c>
      <x:c r="L744" s="163" t="n">
        <x:f>IFERROR(K744/D744,0)</x:f>
        <x:v>0.02183406113537118</x:v>
      </x:c>
      <x:c r="M744" s="160" t="str">
        <x:v>Presence-floor proxy only — 200-city expansion</x:v>
      </x:c>
      <x:c r="N744" s="160" t="str">
        <x:v>Added in the 200-city screening expansion. One-store screening floor only; exact selected-chain count and 5-mile buffer require GIS verification.</x:v>
      </x:c>
      <x:c r="O744" s="160" t="str">
        <x:v>Alameda County</x:v>
      </x:c>
    </x:row>
    <x:row r="745">
      <x:c r="A745" t="n">
        <x:v>784</x:v>
      </x:c>
      <x:c r="B745" t="str">
        <x:v>Franklin Township</x:v>
      </x:c>
      <x:c r="C745" t="str">
        <x:v>NJ</x:v>
      </x:c>
      <x:c r="D745" s="161" t="n">
        <x:v>46.168</x:v>
      </x:c>
      <x:c r="E745" t="n">
        <x:v>0</x:v>
      </x:c>
      <x:c r="F745" t="n">
        <x:v>0</x:v>
      </x:c>
      <x:c r="G745" t="n">
        <x:v>0</x:v>
      </x:c>
      <x:c r="H745" t="n">
        <x:v>0</x:v>
      </x:c>
      <x:c r="I745" t="n">
        <x:v>0</x:v>
      </x:c>
      <x:c r="J745" t="n">
        <x:v>1</x:v>
      </x:c>
      <x:c r="K745" t="n">
        <x:f>SUM(E745:J745)</x:f>
        <x:v>1</x:v>
      </x:c>
      <x:c r="L745" s="163" t="n">
        <x:f>IFERROR(K745/D745,0)</x:f>
        <x:v>0.02166002425922717</x:v>
      </x:c>
      <x:c r="M745" s="160" t="str">
        <x:v>Presence-floor proxy only — 10k+ municipality completion</x:v>
      </x:c>
      <x:c r="N745"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745" s="160" t="str">
        <x:v>Somerset County</x:v>
      </x:c>
    </x:row>
    <x:row r="746">
      <x:c r="A746" t="n">
        <x:v>785</x:v>
      </x:c>
      <x:c r="B746" t="str">
        <x:v>Monroe Township</x:v>
      </x:c>
      <x:c r="C746" t="str">
        <x:v>NJ</x:v>
      </x:c>
      <x:c r="D746" s="161" t="n">
        <x:v>46.421</x:v>
      </x:c>
      <x:c r="E746" t="n">
        <x:v>0</x:v>
      </x:c>
      <x:c r="F746" t="n">
        <x:v>0</x:v>
      </x:c>
      <x:c r="G746" t="n">
        <x:v>0</x:v>
      </x:c>
      <x:c r="H746" t="n">
        <x:v>0</x:v>
      </x:c>
      <x:c r="I746" t="n">
        <x:v>0</x:v>
      </x:c>
      <x:c r="J746" t="n">
        <x:v>1</x:v>
      </x:c>
      <x:c r="K746" t="n">
        <x:f>SUM(E746:J746)</x:f>
        <x:v>1</x:v>
      </x:c>
      <x:c r="L746" s="163" t="n">
        <x:f>IFERROR(K746/D746,0)</x:f>
        <x:v>0.021541974537386096</x:v>
      </x:c>
      <x:c r="M746" s="160" t="str">
        <x:v>Presence-floor proxy only — 10k+ municipality completion</x:v>
      </x:c>
      <x:c r="N74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Rastelli Market Fresh Deptford is county-selection evidence only and is not mapped into the five tracked-chain columns.</x:v>
      </x:c>
      <x:c r="O746" s="160" t="str">
        <x:v>Gloucester County</x:v>
      </x:c>
    </x:row>
    <x:row r="747">
      <x:c r="A747" t="n">
        <x:v>786</x:v>
      </x:c>
      <x:c r="B747" t="str">
        <x:v>Menifee</x:v>
      </x:c>
      <x:c r="C747" t="str">
        <x:v>CA</x:v>
      </x:c>
      <x:c r="D747" s="161" t="n">
        <x:v>46.5</x:v>
      </x:c>
      <x:c r="E747" t="n">
        <x:v>0</x:v>
      </x:c>
      <x:c r="F747" t="n">
        <x:v>0</x:v>
      </x:c>
      <x:c r="G747" t="n">
        <x:v>0</x:v>
      </x:c>
      <x:c r="H747" t="n">
        <x:v>0</x:v>
      </x:c>
      <x:c r="I747" t="n">
        <x:v>0</x:v>
      </x:c>
      <x:c r="J747" t="n">
        <x:v>1</x:v>
      </x:c>
      <x:c r="K747" t="n">
        <x:f>SUM(E747:J747)</x:f>
        <x:v>1</x:v>
      </x:c>
      <x:c r="L747" s="163" t="n">
        <x:f>IFERROR(K747/D747,0)</x:f>
        <x:v>0.021505376344086023</x:v>
      </x:c>
      <x:c r="M747" s="160" t="str">
        <x:v>Presence-floor proxy only — 300-city expansion</x:v>
      </x:c>
      <x:c r="N747" s="160" t="str">
        <x:v>Added in the 300-city screening expansion. One-store screening floor only; exact selected-chain count and 5-mile buffer require GIS verification.</x:v>
      </x:c>
      <x:c r="O747" s="160" t="str">
        <x:v>Riverside County</x:v>
      </x:c>
    </x:row>
    <x:row r="748">
      <x:c r="A748" t="n">
        <x:v>787</x:v>
      </x:c>
      <x:c r="B748" t="str">
        <x:v>Taunton</x:v>
      </x:c>
      <x:c r="C748" t="str">
        <x:v>MA</x:v>
      </x:c>
      <x:c r="D748" s="161" t="n">
        <x:v>46.71</x:v>
      </x:c>
      <x:c r="E748" t="n">
        <x:v>0</x:v>
      </x:c>
      <x:c r="F748" t="n">
        <x:v>0</x:v>
      </x:c>
      <x:c r="G748" t="n">
        <x:v>0</x:v>
      </x:c>
      <x:c r="H748" t="n">
        <x:v>0</x:v>
      </x:c>
      <x:c r="I748" t="n">
        <x:v>0</x:v>
      </x:c>
      <x:c r="J748" t="n">
        <x:v>1</x:v>
      </x:c>
      <x:c r="K748" t="n">
        <x:f>SUM(E748:J748)</x:f>
        <x:v>1</x:v>
      </x:c>
      <x:c r="L748" s="163" t="n">
        <x:f>IFERROR(K748/D748,0)</x:f>
        <x:v>0.021408691928923144</x:v>
      </x:c>
      <x:c r="M748" s="160" t="str">
        <x:v>Presence-floor proxy only — restricted-state adjacency expansion</x:v>
      </x:c>
      <x:c r="N748" s="160" t="str">
        <x:v>Census V2025 population 62,522. Added for Bristol County completion; one-store screening floor pending production GIS verification.</x:v>
      </x:c>
      <x:c r="O748" s="160" t="str">
        <x:v>Bristol County</x:v>
      </x:c>
    </x:row>
    <x:row r="749">
      <x:c r="A749" t="n">
        <x:v>788</x:v>
      </x:c>
      <x:c r="B749" t="str">
        <x:v>Evansville</x:v>
      </x:c>
      <x:c r="C749" t="str">
        <x:v>IN</x:v>
      </x:c>
      <x:c r="D749" s="161" t="n">
        <x:v>47.4</x:v>
      </x:c>
      <x:c r="E749" t="n">
        <x:v>0</x:v>
      </x:c>
      <x:c r="F749" t="n">
        <x:v>0</x:v>
      </x:c>
      <x:c r="G749" t="n">
        <x:v>0</x:v>
      </x:c>
      <x:c r="H749" t="n">
        <x:v>0</x:v>
      </x:c>
      <x:c r="I749" t="n">
        <x:v>0</x:v>
      </x:c>
      <x:c r="J749" t="n">
        <x:v>1</x:v>
      </x:c>
      <x:c r="K749" t="n">
        <x:f>SUM(E749:J749)</x:f>
        <x:v>1</x:v>
      </x:c>
      <x:c r="L749" s="163" t="n">
        <x:f>IFERROR(K749/D749,0)</x:f>
        <x:v>0.02109704641350211</x:v>
      </x:c>
      <x:c r="M749" s="160" t="str">
        <x:v>Presence-floor proxy only — 300-city expansion</x:v>
      </x:c>
      <x:c r="N749" s="160" t="str">
        <x:v>Added in the 300-city screening expansion. One-store screening floor only; exact selected-chain count and 5-mile buffer require GIS verification.</x:v>
      </x:c>
      <x:c r="O749" s="160" t="str">
        <x:v>Vanderburgh County</x:v>
      </x:c>
    </x:row>
    <x:row r="750">
      <x:c r="A750" t="n">
        <x:v>789</x:v>
      </x:c>
      <x:c r="B750" t="str">
        <x:v>Readington Township</x:v>
      </x:c>
      <x:c r="C750" t="str">
        <x:v>NJ</x:v>
      </x:c>
      <x:c r="D750" s="161" t="n">
        <x:v>47.558</x:v>
      </x:c>
      <x:c r="E750" t="n">
        <x:v>0</x:v>
      </x:c>
      <x:c r="F750" t="n">
        <x:v>0</x:v>
      </x:c>
      <x:c r="G750" t="n">
        <x:v>0</x:v>
      </x:c>
      <x:c r="H750" t="n">
        <x:v>0</x:v>
      </x:c>
      <x:c r="I750" t="n">
        <x:v>0</x:v>
      </x:c>
      <x:c r="J750" t="n">
        <x:v>1</x:v>
      </x:c>
      <x:c r="K750" t="n">
        <x:f>SUM(E750:J750)</x:f>
        <x:v>1</x:v>
      </x:c>
      <x:c r="L750" s="163" t="n">
        <x:f>IFERROR(K750/D750,0)</x:f>
        <x:v>0.02102695655830775</x:v>
      </x:c>
      <x:c r="M750" s="160" t="str">
        <x:v>Presence-floor proxy only — 10k+ municipality completion</x:v>
      </x:c>
      <x:c r="N750" s="160" t="str">
        <x:v>Added under the &gt;=50k-county expansion rule: Census Vintage 2025 municipality population &gt;=10,000; general-purpose city-equivalent municipality; direct Census adjacency. Presence-floor proxy only — exact tracked-chain count requires municipal-boundary/GIS verification. V2025 populations include Raritan 25,281, Readington 16,406, and Clinton Township 13,412.</x:v>
      </x:c>
      <x:c r="O750" s="160" t="str">
        <x:v>Hunterdon County</x:v>
      </x:c>
    </x:row>
    <x:row r="751">
      <x:c r="A751" t="n">
        <x:v>791</x:v>
      </x:c>
      <x:c r="B751" t="str">
        <x:v>Sanford city</x:v>
      </x:c>
      <x:c r="C751" t="str">
        <x:v>ME</x:v>
      </x:c>
      <x:c r="D751" s="161" t="n">
        <x:v>47.79</x:v>
      </x:c>
      <x:c r="E751" t="n">
        <x:v>0</x:v>
      </x:c>
      <x:c r="F751" t="n">
        <x:v>0</x:v>
      </x:c>
      <x:c r="G751" t="n">
        <x:v>0</x:v>
      </x:c>
      <x:c r="H751" t="n">
        <x:v>0</x:v>
      </x:c>
      <x:c r="I751" t="n">
        <x:v>0</x:v>
      </x:c>
      <x:c r="J751" t="n">
        <x:v>1</x:v>
      </x:c>
      <x:c r="K751" t="n">
        <x:f>SUM(E751:J751)</x:f>
        <x:v>1</x:v>
      </x:c>
      <x:c r="L751" s="163" t="n">
        <x:f>IFERROR(K751/D751,0)</x:f>
        <x:v>0.02092487968194183</x:v>
      </x:c>
      <x:c r="M751" s="160" t="str">
        <x:v>Presence-floor proxy only — 10k+ municipality completion</x:v>
      </x:c>
      <x:c r="N751"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751" s="160" t="str">
        <x:v>York County</x:v>
      </x:c>
    </x:row>
    <x:row r="752">
      <x:c r="A752" t="n">
        <x:v>792</x:v>
      </x:c>
      <x:c r="B752" t="str">
        <x:v>Avondale</x:v>
      </x:c>
      <x:c r="C752" t="str">
        <x:v>AZ</x:v>
      </x:c>
      <x:c r="D752" s="161" t="n">
        <x:v>47.848</x:v>
      </x:c>
      <x:c r="E752" t="n">
        <x:v>0</x:v>
      </x:c>
      <x:c r="F752" t="n">
        <x:v>0</x:v>
      </x:c>
      <x:c r="G752" t="n">
        <x:v>0</x:v>
      </x:c>
      <x:c r="H752" t="n">
        <x:v>0</x:v>
      </x:c>
      <x:c r="I752" t="n">
        <x:v>0</x:v>
      </x:c>
      <x:c r="J752" t="n">
        <x:v>1</x:v>
      </x:c>
      <x:c r="K752" t="n">
        <x:f>SUM(E752:J752)</x:f>
        <x:v>1</x:v>
      </x:c>
      <x:c r="L752" s="163" t="n">
        <x:f>IFERROR(K752/D752,0)</x:f>
        <x:v>0.020899515131248957</x:v>
      </x:c>
      <x:c r="M752" s="160" t="str">
        <x:v>Presence-floor proxy only — 50k+ county completion</x:v>
      </x:c>
      <x:c r="N752" s="160" t="str">
        <x:v>Added to complete ≥50,000-population incorporated-place coverage in a top-5 store-count county using Census Vintage 2025 eligibility. One-store screening floor only; exact selected-chain count and 5-mile buffer require GIS verification.</x:v>
      </x:c>
      <x:c r="O752" s="160" t="str">
        <x:v>Maricopa County</x:v>
      </x:c>
    </x:row>
    <x:row r="753">
      <x:c r="A753" t="n">
        <x:v>793</x:v>
      </x:c>
      <x:c r="B753" t="str">
        <x:v>Peoria</x:v>
      </x:c>
      <x:c r="C753" t="str">
        <x:v>IL</x:v>
      </x:c>
      <x:c r="D753" s="161" t="n">
        <x:v>48</x:v>
      </x:c>
      <x:c r="E753" t="n">
        <x:v>0</x:v>
      </x:c>
      <x:c r="F753" t="n">
        <x:v>0</x:v>
      </x:c>
      <x:c r="G753" t="n">
        <x:v>0</x:v>
      </x:c>
      <x:c r="H753" t="n">
        <x:v>0</x:v>
      </x:c>
      <x:c r="I753" t="n">
        <x:v>0</x:v>
      </x:c>
      <x:c r="J753" t="n">
        <x:v>1</x:v>
      </x:c>
      <x:c r="K753" t="n">
        <x:f>SUM(E753:J753)</x:f>
        <x:v>1</x:v>
      </x:c>
      <x:c r="L753" s="163" t="n">
        <x:f>IFERROR(K753/D753,0)</x:f>
        <x:v>0.020833333333333332</x:v>
      </x:c>
      <x:c r="M753" s="160" t="str">
        <x:v>Presence-floor proxy only — 300-city expansion</x:v>
      </x:c>
      <x:c r="N753" s="160" t="str">
        <x:v>Added in the 300-city screening expansion. One-store screening floor only; exact selected-chain count and 5-mile buffer require GIS verification.</x:v>
      </x:c>
      <x:c r="O753" s="160" t="str">
        <x:v>Peoria County</x:v>
      </x:c>
    </x:row>
    <x:row r="754">
      <x:c r="A754" t="n">
        <x:v>794</x:v>
      </x:c>
      <x:c r="B754" t="str">
        <x:v>Clifton Park town</x:v>
      </x:c>
      <x:c r="C754" t="str">
        <x:v>NY</x:v>
      </x:c>
      <x:c r="D754" s="161" t="n">
        <x:v>48.202</x:v>
      </x:c>
      <x:c r="E754" t="n">
        <x:v>0</x:v>
      </x:c>
      <x:c r="F754" t="n">
        <x:v>0</x:v>
      </x:c>
      <x:c r="G754" t="n">
        <x:v>0</x:v>
      </x:c>
      <x:c r="H754" t="n">
        <x:v>0</x:v>
      </x:c>
      <x:c r="I754" t="n">
        <x:v>0</x:v>
      </x:c>
      <x:c r="J754" t="n">
        <x:v>1</x:v>
      </x:c>
      <x:c r="K754" t="n">
        <x:f>SUM(E754:J754)</x:f>
        <x:v>1</x:v>
      </x:c>
      <x:c r="L754" s="163" t="n">
        <x:f>IFERROR(K754/D754,0)</x:f>
        <x:v>0.020746027135803494</x:v>
      </x:c>
      <x:c r="M754" s="160" t="str">
        <x:v>Presence-floor proxy only — 10k+ municipality completion</x:v>
      </x:c>
      <x:c r="N754" s="160" t="str">
        <x:v>Added under the 2026-09-15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x:v>
      </x:c>
      <x:c r="O754" s="160" t="str">
        <x:v>Saratoga County</x:v>
      </x:c>
    </x:row>
    <x:row r="755">
      <x:c r="A755" t="n">
        <x:v>795</x:v>
      </x:c>
      <x:c r="B755" t="str">
        <x:v>Mesquite</x:v>
      </x:c>
      <x:c r="C755" t="str">
        <x:v>TX</x:v>
      </x:c>
      <x:c r="D755" s="161" t="n">
        <x:v>48.5</x:v>
      </x:c>
      <x:c r="E755" t="n">
        <x:v>0</x:v>
      </x:c>
      <x:c r="F755" t="n">
        <x:v>0</x:v>
      </x:c>
      <x:c r="G755" t="n">
        <x:v>0</x:v>
      </x:c>
      <x:c r="H755" t="n">
        <x:v>0</x:v>
      </x:c>
      <x:c r="I755" t="n">
        <x:v>0</x:v>
      </x:c>
      <x:c r="J755" t="n">
        <x:v>1</x:v>
      </x:c>
      <x:c r="K755" t="n">
        <x:f>SUM(E755:J755)</x:f>
        <x:v>1</x:v>
      </x:c>
      <x:c r="L755" s="163" t="n">
        <x:f>IFERROR(K755/D755,0)</x:f>
        <x:v>0.020618556701030927</x:v>
      </x:c>
      <x:c r="M755" s="160" t="str">
        <x:v>Presence-floor proxy only — 200-city expansion</x:v>
      </x:c>
      <x:c r="N755" s="160" t="str">
        <x:v>Added in the 200-city screening expansion. One-store screening floor only; exact selected-chain count and 5-mile buffer require GIS verification.</x:v>
      </x:c>
      <x:c r="O755" s="160" t="str">
        <x:v>Dallas County</x:v>
      </x:c>
    </x:row>
    <x:row r="756">
      <x:c r="A756" t="n">
        <x:v>796</x:v>
      </x:c>
      <x:c r="B756" t="str">
        <x:v>Leoni Township</x:v>
      </x:c>
      <x:c r="C756" t="str">
        <x:v>MI</x:v>
      </x:c>
      <x:c r="D756" s="161" t="n">
        <x:v>48.64</x:v>
      </x:c>
      <x:c r="E756" t="n">
        <x:v>0</x:v>
      </x:c>
      <x:c r="F756" t="n">
        <x:v>0</x:v>
      </x:c>
      <x:c r="G756" t="n">
        <x:v>0</x:v>
      </x:c>
      <x:c r="H756" t="n">
        <x:v>0</x:v>
      </x:c>
      <x:c r="I756" t="n">
        <x:v>0</x:v>
      </x:c>
      <x:c r="J756" t="n">
        <x:v>1</x:v>
      </x:c>
      <x:c r="K756" t="n">
        <x:f>SUM(E756:J756)</x:f>
        <x:v>1</x:v>
      </x:c>
      <x:c r="L756" s="163" t="n">
        <x:f>IFERROR(K756/D756,0)</x:f>
        <x:v>0.02055921052631579</x:v>
      </x:c>
      <x:c r="M756" s="160" t="str">
        <x:v>Presence-floor proxy only — 10k+ municipality completion</x:v>
      </x:c>
      <x:c r="N756" s="160" t="str">
        <x:v>Added under the &gt;=50k-county expansion rule: Census Vintage 2025 municipality population &gt;=10,000; general-purpose city-equivalent municipality; direct Census adjacency. Presence-floor proxy only — exact tracked-chain count requires municipal-boundary/GIS verification. Prime Cuts and Jackson local-food markets provide specialty-grocery evidence but are not among the five tracked proxy chains.</x:v>
      </x:c>
      <x:c r="O756" s="160" t="str">
        <x:v>Jackson County</x:v>
      </x:c>
    </x:row>
    <x:row r="757">
      <x:c r="A757" t="n">
        <x:v>797</x:v>
      </x:c>
      <x:c r="B757" t="str">
        <x:v>Pearland</x:v>
      </x:c>
      <x:c r="C757" t="str">
        <x:v>TX</x:v>
      </x:c>
      <x:c r="D757" s="161" t="n">
        <x:v>48.7</x:v>
      </x:c>
      <x:c r="E757" t="n">
        <x:v>0</x:v>
      </x:c>
      <x:c r="F757" t="n">
        <x:v>0</x:v>
      </x:c>
      <x:c r="G757" t="n">
        <x:v>0</x:v>
      </x:c>
      <x:c r="H757" t="n">
        <x:v>0</x:v>
      </x:c>
      <x:c r="I757" t="n">
        <x:v>0</x:v>
      </x:c>
      <x:c r="J757" t="n">
        <x:v>1</x:v>
      </x:c>
      <x:c r="K757" t="n">
        <x:f>SUM(E757:J757)</x:f>
        <x:v>1</x:v>
      </x:c>
      <x:c r="L757" s="163" t="n">
        <x:f>IFERROR(K757/D757,0)</x:f>
        <x:v>0.02053388090349076</x:v>
      </x:c>
      <x:c r="M757" s="160" t="str">
        <x:v>Presence-floor proxy only — 250-city expansion</x:v>
      </x:c>
      <x:c r="N757" s="160" t="str">
        <x:v>Added in the 250-city screening expansion. One-store screening floor only; exact selected-chain count and 5-mile buffer require GIS verification.</x:v>
      </x:c>
      <x:c r="O757" s="160" t="str">
        <x:v>Brazoria County</x:v>
      </x:c>
    </x:row>
    <x:row r="758">
      <x:c r="A758" t="n">
        <x:v>798</x:v>
      </x:c>
      <x:c r="B758" t="str">
        <x:v>Vancouver</x:v>
      </x:c>
      <x:c r="C758" t="str">
        <x:v>WA</x:v>
      </x:c>
      <x:c r="D758" s="161" t="n">
        <x:v>48.7</x:v>
      </x:c>
      <x:c r="E758" t="n">
        <x:v>0</x:v>
      </x:c>
      <x:c r="F758" t="n">
        <x:v>0</x:v>
      </x:c>
      <x:c r="G758" t="n">
        <x:v>0</x:v>
      </x:c>
      <x:c r="H758" t="n">
        <x:v>0</x:v>
      </x:c>
      <x:c r="I758" t="n">
        <x:v>0</x:v>
      </x:c>
      <x:c r="J758" t="n">
        <x:v>1</x:v>
      </x:c>
      <x:c r="K758" t="n">
        <x:f>SUM(E758:J758)</x:f>
        <x:v>1</x:v>
      </x:c>
      <x:c r="L758" s="163" t="n">
        <x:f>IFERROR(K758/D758,0)</x:f>
        <x:v>0.02053388090349076</x:v>
      </x:c>
      <x:c r="M758" s="160" t="str">
        <x:v>Presence-floor proxy only — 200-city expansion</x:v>
      </x:c>
      <x:c r="N758" s="160" t="str">
        <x:v>Added in the 200-city screening expansion. One-store screening floor only; exact selected-chain count and 5-mile buffer require GIS verification.</x:v>
      </x:c>
      <x:c r="O758" s="160" t="str">
        <x:v>Clark County</x:v>
      </x:c>
    </x:row>
    <x:row r="759">
      <x:c r="A759" t="n">
        <x:v>799</x:v>
      </x:c>
      <x:c r="B759" t="str">
        <x:v>South Middleton Township</x:v>
      </x:c>
      <x:c r="C759" t="str">
        <x:v>PA</x:v>
      </x:c>
      <x:c r="D759" s="161" t="n">
        <x:v>48.754</x:v>
      </x:c>
      <x:c r="E759" t="n">
        <x:v>0</x:v>
      </x:c>
      <x:c r="F759" t="n">
        <x:v>0</x:v>
      </x:c>
      <x:c r="G759" t="n">
        <x:v>0</x:v>
      </x:c>
      <x:c r="H759" t="n">
        <x:v>0</x:v>
      </x:c>
      <x:c r="I759" t="n">
        <x:v>0</x:v>
      </x:c>
      <x:c r="J759" t="n">
        <x:v>1</x:v>
      </x:c>
      <x:c r="K759" t="n">
        <x:f>SUM(E759:J759)</x:f>
        <x:v>1</x:v>
      </x:c>
      <x:c r="L759" s="163" t="n">
        <x:f>IFERROR(K759/D759,0)</x:f>
        <x:v>0.020511137547688397</x:v>
      </x:c>
      <x:c r="M759" s="160" t="str">
        <x:v>Presence-floor proxy only — 10k+ municipality completion</x:v>
      </x:c>
      <x:c r="N759"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Wegmans Harrisburg/Mechanicsburg is county-level evidence only; no municipal attribution without boundary verification.</x:v>
      </x:c>
      <x:c r="O759" s="160" t="str">
        <x:v>Cumberland County</x:v>
      </x:c>
    </x:row>
    <x:row r="760">
      <x:c r="A760" t="n">
        <x:v>800</x:v>
      </x:c>
      <x:c r="B760" t="str">
        <x:v>Salem</x:v>
      </x:c>
      <x:c r="C760" t="str">
        <x:v>OR</x:v>
      </x:c>
      <x:c r="D760" s="161" t="n">
        <x:v>48.8</x:v>
      </x:c>
      <x:c r="E760" t="n">
        <x:v>0</x:v>
      </x:c>
      <x:c r="F760" t="n">
        <x:v>0</x:v>
      </x:c>
      <x:c r="G760" t="n">
        <x:v>0</x:v>
      </x:c>
      <x:c r="H760" t="n">
        <x:v>0</x:v>
      </x:c>
      <x:c r="I760" t="n">
        <x:v>0</x:v>
      </x:c>
      <x:c r="J760" t="n">
        <x:v>1</x:v>
      </x:c>
      <x:c r="K760" t="n">
        <x:f>SUM(E760:J760)</x:f>
        <x:v>1</x:v>
      </x:c>
      <x:c r="L760" s="163" t="n">
        <x:f>IFERROR(K760/D760,0)</x:f>
        <x:v>0.020491803278688527</x:v>
      </x:c>
      <x:c r="M760" s="160" t="str">
        <x:v>Presence-floor proxy only — 200-city expansion</x:v>
      </x:c>
      <x:c r="N760" s="160" t="str">
        <x:v>Added in the 200-city screening expansion. One-store screening floor only; exact selected-chain count and 5-mile buffer require GIS verification.</x:v>
      </x:c>
      <x:c r="O760" s="160" t="str">
        <x:v>Marion County</x:v>
      </x:c>
    </x:row>
    <x:row r="761">
      <x:c r="A761" t="n">
        <x:v>801</x:v>
      </x:c>
      <x:c r="B761" t="str">
        <x:v>Beavercreek Township</x:v>
      </x:c>
      <x:c r="C761" t="str">
        <x:v>OH</x:v>
      </x:c>
      <x:c r="D761" s="161" t="n">
        <x:v>48.845</x:v>
      </x:c>
      <x:c r="E761" t="n">
        <x:v>0</x:v>
      </x:c>
      <x:c r="F761" t="n">
        <x:v>0</x:v>
      </x:c>
      <x:c r="G761" t="n">
        <x:v>0</x:v>
      </x:c>
      <x:c r="H761" t="n">
        <x:v>0</x:v>
      </x:c>
      <x:c r="I761" t="n">
        <x:v>0</x:v>
      </x:c>
      <x:c r="J761" t="n">
        <x:v>1</x:v>
      </x:c>
      <x:c r="K761" t="n">
        <x:f>SUM(E761:J761)</x:f>
        <x:v>1</x:v>
      </x:c>
      <x:c r="L761" s="163" t="n">
        <x:f>IFERROR(K761/D761,0)</x:f>
        <x:v>0.020472924557273006</x:v>
      </x:c>
      <x:c r="M761" s="160" t="str">
        <x:v>Presence-floor proxy only — 10k+ municipality completion</x:v>
      </x:c>
      <x:c r="N761" s="160" t="str">
        <x:v>Added under the &gt;=50k-county expansion rule: Census Vintage 2025 municipality population &gt;=10,000; general-purpose city-equivalent municipality; direct Census adjacency. Presence-floor proxy only — exact tracked-chain count requires municipal-boundary/GIS verification. County V2025 population 174,322; all five are above the 10,000 municipal threshold.</x:v>
      </x:c>
      <x:c r="O761" s="160" t="str">
        <x:v>Greene County</x:v>
      </x:c>
    </x:row>
    <x:row r="762">
      <x:c r="A762" t="n">
        <x:v>802</x:v>
      </x:c>
      <x:c r="B762" t="str">
        <x:v>Greeley</x:v>
      </x:c>
      <x:c r="C762" t="str">
        <x:v>CO</x:v>
      </x:c>
      <x:c r="D762" s="161" t="n">
        <x:v>48.9</x:v>
      </x:c>
      <x:c r="E762" t="n">
        <x:v>0</x:v>
      </x:c>
      <x:c r="F762" t="n">
        <x:v>0</x:v>
      </x:c>
      <x:c r="G762" t="n">
        <x:v>0</x:v>
      </x:c>
      <x:c r="H762" t="n">
        <x:v>0</x:v>
      </x:c>
      <x:c r="I762" t="n">
        <x:v>0</x:v>
      </x:c>
      <x:c r="J762" t="n">
        <x:v>1</x:v>
      </x:c>
      <x:c r="K762" t="n">
        <x:f>SUM(E762:J762)</x:f>
        <x:v>1</x:v>
      </x:c>
      <x:c r="L762" s="163" t="n">
        <x:f>IFERROR(K762/D762,0)</x:f>
        <x:v>0.02044989775051125</x:v>
      </x:c>
      <x:c r="M762" s="160" t="str">
        <x:v>Presence-floor proxy only — 300-city expansion</x:v>
      </x:c>
      <x:c r="N762" s="160" t="str">
        <x:v>Added in the 300-city screening expansion. One-store screening floor only; exact selected-chain count and 5-mile buffer require GIS verification.</x:v>
      </x:c>
      <x:c r="O762" s="160" t="str">
        <x:v>Weld County</x:v>
      </x:c>
    </x:row>
    <x:row r="763">
      <x:c r="A763" t="n">
        <x:v>803</x:v>
      </x:c>
      <x:c r="B763" t="str">
        <x:v>Chula Vista</x:v>
      </x:c>
      <x:c r="C763" t="str">
        <x:v>CA</x:v>
      </x:c>
      <x:c r="D763" s="161" t="n">
        <x:v>49.631</x:v>
      </x:c>
      <x:c r="E763" t="n">
        <x:v>0</x:v>
      </x:c>
      <x:c r="F763" t="n">
        <x:v>0</x:v>
      </x:c>
      <x:c r="G763" t="n">
        <x:v>0</x:v>
      </x:c>
      <x:c r="H763" t="n">
        <x:v>0</x:v>
      </x:c>
      <x:c r="I763" t="n">
        <x:v>0</x:v>
      </x:c>
      <x:c r="J763" t="n">
        <x:v>1</x:v>
      </x:c>
      <x:c r="K763" t="n">
        <x:f>SUM(E763:J763)</x:f>
        <x:v>1</x:v>
      </x:c>
      <x:c r="L763" s="163" t="n">
        <x:f>IFERROR(K763/D763,0)</x:f>
        <x:v>0.02014869738671395</x:v>
      </x:c>
      <x:c r="M763" s="160" t="str">
        <x:v>Presence-floor proxy only</x:v>
      </x:c>
      <x:c r="N763" s="160" t="str">
        <x:v>One-store screening floor only; exact selected-chain count and 5-mile buffer require GIS verification.</x:v>
      </x:c>
      <x:c r="O763" s="160" t="str">
        <x:v>San Diego County</x:v>
      </x:c>
    </x:row>
    <x:row r="764">
      <x:c r="A764" t="n">
        <x:v>804</x:v>
      </x:c>
      <x:c r="B764" t="str">
        <x:v>Tacoma</x:v>
      </x:c>
      <x:c r="C764" t="str">
        <x:v>WA</x:v>
      </x:c>
      <x:c r="D764" s="161" t="n">
        <x:v>49.7</x:v>
      </x:c>
      <x:c r="E764" t="n">
        <x:v>0</x:v>
      </x:c>
      <x:c r="F764" t="n">
        <x:v>0</x:v>
      </x:c>
      <x:c r="G764" t="n">
        <x:v>0</x:v>
      </x:c>
      <x:c r="H764" t="n">
        <x:v>0</x:v>
      </x:c>
      <x:c r="I764" t="n">
        <x:v>0</x:v>
      </x:c>
      <x:c r="J764" t="n">
        <x:v>1</x:v>
      </x:c>
      <x:c r="K764" t="n">
        <x:f>SUM(E764:J764)</x:f>
        <x:v>1</x:v>
      </x:c>
      <x:c r="L764" s="163" t="n">
        <x:f>IFERROR(K764/D764,0)</x:f>
        <x:v>0.02012072434607646</x:v>
      </x:c>
      <x:c r="M764" s="160" t="str">
        <x:v>Presence-floor proxy only — 200-city expansion</x:v>
      </x:c>
      <x:c r="N764" s="160" t="str">
        <x:v>Added in the 200-city screening expansion. One-store screening floor only; exact selected-chain count and 5-mile buffer require GIS verification.</x:v>
      </x:c>
      <x:c r="O764" s="160" t="str">
        <x:v>Pierce County</x:v>
      </x:c>
    </x:row>
    <x:row r="765">
      <x:c r="A765" t="n">
        <x:v>805</x:v>
      </x:c>
      <x:c r="B765" t="str">
        <x:v>Fargo</x:v>
      </x:c>
      <x:c r="C765" t="str">
        <x:v>ND</x:v>
      </x:c>
      <x:c r="D765" s="161" t="n">
        <x:v>49.8</x:v>
      </x:c>
      <x:c r="E765" t="n">
        <x:v>0</x:v>
      </x:c>
      <x:c r="F765" t="n">
        <x:v>0</x:v>
      </x:c>
      <x:c r="G765" t="n">
        <x:v>0</x:v>
      </x:c>
      <x:c r="H765" t="n">
        <x:v>0</x:v>
      </x:c>
      <x:c r="I765" t="n">
        <x:v>0</x:v>
      </x:c>
      <x:c r="J765" t="n">
        <x:v>1</x:v>
      </x:c>
      <x:c r="K765" t="n">
        <x:f>SUM(E765:J765)</x:f>
        <x:v>1</x:v>
      </x:c>
      <x:c r="L765" s="163" t="n">
        <x:f>IFERROR(K765/D765,0)</x:f>
        <x:v>0.020080321285140562</x:v>
      </x:c>
      <x:c r="M765" s="160" t="str">
        <x:v>Presence-floor proxy only — 250-city expansion</x:v>
      </x:c>
      <x:c r="N765" s="160" t="str">
        <x:v>Added in the 250-city screening expansion. One-store screening floor only; exact selected-chain count and 5-mile buffer require GIS verification.</x:v>
      </x:c>
      <x:c r="O765" s="160" t="str">
        <x:v>Cass County</x:v>
      </x:c>
    </x:row>
    <x:row r="766">
      <x:c r="A766" t="n">
        <x:v>806</x:v>
      </x:c>
      <x:c r="B766" t="str">
        <x:v>Anaheim</x:v>
      </x:c>
      <x:c r="C766" t="str">
        <x:v>CA</x:v>
      </x:c>
      <x:c r="D766" s="161" t="n">
        <x:v>49.835</x:v>
      </x:c>
      <x:c r="E766" t="n">
        <x:v>0</x:v>
      </x:c>
      <x:c r="F766" t="n">
        <x:v>0</x:v>
      </x:c>
      <x:c r="G766" t="n">
        <x:v>0</x:v>
      </x:c>
      <x:c r="H766" t="n">
        <x:v>0</x:v>
      </x:c>
      <x:c r="I766" t="n">
        <x:v>0</x:v>
      </x:c>
      <x:c r="J766" t="n">
        <x:v>1</x:v>
      </x:c>
      <x:c r="K766" t="n">
        <x:f>SUM(E766:J766)</x:f>
        <x:v>1</x:v>
      </x:c>
      <x:c r="L766" s="163" t="n">
        <x:f>IFERROR(K766/D766,0)</x:f>
        <x:v>0.020066218521119696</x:v>
      </x:c>
      <x:c r="M766" s="160" t="str">
        <x:v>Presence-floor proxy only</x:v>
      </x:c>
      <x:c r="N766" s="160" t="str">
        <x:v>One-store screening floor only; exact selected-chain count and 5-mile buffer require GIS verification.</x:v>
      </x:c>
      <x:c r="O766" s="160" t="str">
        <x:v>Orange County</x:v>
      </x:c>
    </x:row>
    <x:row r="767">
      <x:c r="A767" t="n">
        <x:v>807</x:v>
      </x:c>
      <x:c r="B767" t="str">
        <x:v>Ontario</x:v>
      </x:c>
      <x:c r="C767" t="str">
        <x:v>CA</x:v>
      </x:c>
      <x:c r="D767" s="161" t="n">
        <x:v>50</x:v>
      </x:c>
      <x:c r="E767" t="n">
        <x:v>0</x:v>
      </x:c>
      <x:c r="F767" t="n">
        <x:v>0</x:v>
      </x:c>
      <x:c r="G767" t="n">
        <x:v>0</x:v>
      </x:c>
      <x:c r="H767" t="n">
        <x:v>0</x:v>
      </x:c>
      <x:c r="I767" t="n">
        <x:v>0</x:v>
      </x:c>
      <x:c r="J767" t="n">
        <x:v>1</x:v>
      </x:c>
      <x:c r="K767" t="n">
        <x:f>SUM(E767:J767)</x:f>
        <x:v>1</x:v>
      </x:c>
      <x:c r="L767" s="163" t="n">
        <x:f>IFERROR(K767/D767,0)</x:f>
        <x:v>0.02</x:v>
      </x:c>
      <x:c r="M767" s="160" t="str">
        <x:v>Presence-floor proxy only — 200-city expansion</x:v>
      </x:c>
      <x:c r="N767" s="160" t="str">
        <x:v>Added in the 200-city screening expansion. One-store screening floor only; exact selected-chain count and 5-mile buffer require GIS verification.</x:v>
      </x:c>
      <x:c r="O767" s="160" t="str">
        <x:v>San Bernardino County</x:v>
      </x:c>
    </x:row>
    <x:row r="768">
      <x:c r="A768" t="n">
        <x:v>808</x:v>
      </x:c>
      <x:c r="B768" t="str">
        <x:v>Montgomery Town</x:v>
      </x:c>
      <x:c r="C768" t="str">
        <x:v>NY</x:v>
      </x:c>
      <x:c r="D768" s="161" t="n">
        <x:v>50.256</x:v>
      </x:c>
      <x:c r="E768" t="n">
        <x:v>0</x:v>
      </x:c>
      <x:c r="F768" t="n">
        <x:v>0</x:v>
      </x:c>
      <x:c r="G768" t="n">
        <x:v>0</x:v>
      </x:c>
      <x:c r="H768" t="n">
        <x:v>0</x:v>
      </x:c>
      <x:c r="I768" t="n">
        <x:v>0</x:v>
      </x:c>
      <x:c r="J768" t="n">
        <x:v>1</x:v>
      </x:c>
      <x:c r="K768" t="n">
        <x:f>SUM(E768:J768)</x:f>
        <x:v>1</x:v>
      </x:c>
      <x:c r="L768" s="163" t="n">
        <x:f>IFERROR(K768/D768,0)</x:f>
        <x:v>0.019898121617319325</x:v>
      </x:c>
      <x:c r="M768" s="160" t="str">
        <x:v>Presence-floor proxy only — 10k+ municipality completion</x:v>
      </x:c>
      <x:c r="N768"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768" s="160" t="str">
        <x:v>Orange County</x:v>
      </x:c>
    </x:row>
    <x:row r="769">
      <x:c r="A769" t="n">
        <x:v>809</x:v>
      </x:c>
      <x:c r="B769" t="str">
        <x:v>Long Beach</x:v>
      </x:c>
      <x:c r="C769" t="str">
        <x:v>CA</x:v>
      </x:c>
      <x:c r="D769" s="161" t="n">
        <x:v>50.293</x:v>
      </x:c>
      <x:c r="E769" t="n">
        <x:v>0</x:v>
      </x:c>
      <x:c r="F769" t="n">
        <x:v>0</x:v>
      </x:c>
      <x:c r="G769" t="n">
        <x:v>0</x:v>
      </x:c>
      <x:c r="H769" t="n">
        <x:v>0</x:v>
      </x:c>
      <x:c r="I769" t="n">
        <x:v>0</x:v>
      </x:c>
      <x:c r="J769" t="n">
        <x:v>1</x:v>
      </x:c>
      <x:c r="K769" t="n">
        <x:f>SUM(E769:J769)</x:f>
        <x:v>1</x:v>
      </x:c>
      <x:c r="L769" s="163" t="n">
        <x:f>IFERROR(K769/D769,0)</x:f>
        <x:v>0.019883482790845643</x:v>
      </x:c>
      <x:c r="M769" s="160" t="str">
        <x:v>Presence-floor proxy only</x:v>
      </x:c>
      <x:c r="N769" s="160" t="str">
        <x:v>One-store screening floor only; exact selected-chain count and 5-mile buffer require GIS verification.</x:v>
      </x:c>
      <x:c r="O769" s="160" t="str">
        <x:v>Los Angeles County</x:v>
      </x:c>
    </x:row>
    <x:row r="770">
      <x:c r="A770" t="n">
        <x:v>810</x:v>
      </x:c>
      <x:c r="B770" t="str">
        <x:v>Odessa</x:v>
      </x:c>
      <x:c r="C770" t="str">
        <x:v>TX</x:v>
      </x:c>
      <x:c r="D770" s="161" t="n">
        <x:v>51.1</x:v>
      </x:c>
      <x:c r="E770" t="n">
        <x:v>0</x:v>
      </x:c>
      <x:c r="F770" t="n">
        <x:v>0</x:v>
      </x:c>
      <x:c r="G770" t="n">
        <x:v>0</x:v>
      </x:c>
      <x:c r="H770" t="n">
        <x:v>0</x:v>
      </x:c>
      <x:c r="I770" t="n">
        <x:v>0</x:v>
      </x:c>
      <x:c r="J770" t="n">
        <x:v>1</x:v>
      </x:c>
      <x:c r="K770" t="n">
        <x:f>SUM(E770:J770)</x:f>
        <x:v>1</x:v>
      </x:c>
      <x:c r="L770" s="163" t="n">
        <x:f>IFERROR(K770/D770,0)</x:f>
        <x:v>0.019569471624266144</x:v>
      </x:c>
      <x:c r="M770" s="160" t="str">
        <x:v>Presence-floor proxy only — 250-city expansion</x:v>
      </x:c>
      <x:c r="N770" s="160" t="str">
        <x:v>Added in the 250-city screening expansion. One-store screening floor only; exact selected-chain count and 5-mile buffer require GIS verification.</x:v>
      </x:c>
      <x:c r="O770" s="160" t="str">
        <x:v>Ector County</x:v>
      </x:c>
    </x:row>
    <x:row r="771">
      <x:c r="A771" t="n">
        <x:v>811</x:v>
      </x:c>
      <x:c r="B771" t="str">
        <x:v>Guilford township</x:v>
      </x:c>
      <x:c r="C771" t="str">
        <x:v>PA</x:v>
      </x:c>
      <x:c r="D771" s="161" t="n">
        <x:v>51.17</x:v>
      </x:c>
      <x:c r="E771" t="n">
        <x:v>0</x:v>
      </x:c>
      <x:c r="F771" t="n">
        <x:v>0</x:v>
      </x:c>
      <x:c r="G771" t="n">
        <x:v>0</x:v>
      </x:c>
      <x:c r="H771" t="n">
        <x:v>0</x:v>
      </x:c>
      <x:c r="I771" t="n">
        <x:v>0</x:v>
      </x:c>
      <x:c r="J771" t="n">
        <x:v>1</x:v>
      </x:c>
      <x:c r="K771" t="n">
        <x:f>SUM(E771:J771)</x:f>
        <x:v>1</x:v>
      </x:c>
      <x:c r="L771" s="163" t="n">
        <x:f>IFERROR(K771/D771,0)</x:f>
        <x:v>0.019542700801250732</x:v>
      </x:c>
      <x:c r="M771" s="160" t="str">
        <x:v>Presence-floor proxy only — 10k+ municipality completion</x:v>
      </x:c>
      <x:c r="N771"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771" s="160" t="str">
        <x:v>Franklin County</x:v>
      </x:c>
    </x:row>
    <x:row r="772">
      <x:c r="A772" t="n">
        <x:v>812</x:v>
      </x:c>
      <x:c r="B772" t="str">
        <x:v>College Station</x:v>
      </x:c>
      <x:c r="C772" t="str">
        <x:v>TX</x:v>
      </x:c>
      <x:c r="D772" s="161" t="n">
        <x:v>51.2</x:v>
      </x:c>
      <x:c r="E772" t="n">
        <x:v>0</x:v>
      </x:c>
      <x:c r="F772" t="n">
        <x:v>0</x:v>
      </x:c>
      <x:c r="G772" t="n">
        <x:v>0</x:v>
      </x:c>
      <x:c r="H772" t="n">
        <x:v>0</x:v>
      </x:c>
      <x:c r="I772" t="n">
        <x:v>0</x:v>
      </x:c>
      <x:c r="J772" t="n">
        <x:v>1</x:v>
      </x:c>
      <x:c r="K772" t="n">
        <x:f>SUM(E772:J772)</x:f>
        <x:v>1</x:v>
      </x:c>
      <x:c r="L772" s="163" t="n">
        <x:f>IFERROR(K772/D772,0)</x:f>
        <x:v>0.01953125</x:v>
      </x:c>
      <x:c r="M772" s="160" t="str">
        <x:v>Presence-floor proxy only — 250-city expansion</x:v>
      </x:c>
      <x:c r="N772" s="160" t="str">
        <x:v>Added in the 250-city screening expansion. One-store screening floor only; exact selected-chain count and 5-mile buffer require GIS verification.</x:v>
      </x:c>
      <x:c r="O772" s="160" t="str">
        <x:v>Brazos County</x:v>
      </x:c>
    </x:row>
    <x:row r="773">
      <x:c r="A773" t="n">
        <x:v>813</x:v>
      </x:c>
      <x:c r="B773" t="str">
        <x:v>Moreno Valley</x:v>
      </x:c>
      <x:c r="C773" t="str">
        <x:v>CA</x:v>
      </x:c>
      <x:c r="D773" s="161" t="n">
        <x:v>51.3</x:v>
      </x:c>
      <x:c r="E773" t="n">
        <x:v>0</x:v>
      </x:c>
      <x:c r="F773" t="n">
        <x:v>0</x:v>
      </x:c>
      <x:c r="G773" t="n">
        <x:v>0</x:v>
      </x:c>
      <x:c r="H773" t="n">
        <x:v>0</x:v>
      </x:c>
      <x:c r="I773" t="n">
        <x:v>0</x:v>
      </x:c>
      <x:c r="J773" t="n">
        <x:v>1</x:v>
      </x:c>
      <x:c r="K773" t="n">
        <x:f>SUM(E773:J773)</x:f>
        <x:v>1</x:v>
      </x:c>
      <x:c r="L773" s="163" t="n">
        <x:f>IFERROR(K773/D773,0)</x:f>
        <x:v>0.019493177387914232</x:v>
      </x:c>
      <x:c r="M773" s="160" t="str">
        <x:v>Presence-floor proxy only — 200-city expansion</x:v>
      </x:c>
      <x:c r="N773" s="160" t="str">
        <x:v>Added in the 200-city screening expansion. One-store screening floor only; exact selected-chain count and 5-mile buffer require GIS verification.</x:v>
      </x:c>
      <x:c r="O773" s="160" t="str">
        <x:v>Riverside County</x:v>
      </x:c>
    </x:row>
    <x:row r="774">
      <x:c r="A774" t="n">
        <x:v>814</x:v>
      </x:c>
      <x:c r="B774" t="str">
        <x:v>League City</x:v>
      </x:c>
      <x:c r="C774" t="str">
        <x:v>TX</x:v>
      </x:c>
      <x:c r="D774" s="161" t="n">
        <x:v>51.3</x:v>
      </x:c>
      <x:c r="E774" t="n">
        <x:v>0</x:v>
      </x:c>
      <x:c r="F774" t="n">
        <x:v>0</x:v>
      </x:c>
      <x:c r="G774" t="n">
        <x:v>0</x:v>
      </x:c>
      <x:c r="H774" t="n">
        <x:v>0</x:v>
      </x:c>
      <x:c r="I774" t="n">
        <x:v>0</x:v>
      </x:c>
      <x:c r="J774" t="n">
        <x:v>1</x:v>
      </x:c>
      <x:c r="K774" t="n">
        <x:f>SUM(E774:J774)</x:f>
        <x:v>1</x:v>
      </x:c>
      <x:c r="L774" s="163" t="n">
        <x:f>IFERROR(K774/D774,0)</x:f>
        <x:v>0.019493177387914232</x:v>
      </x:c>
      <x:c r="M774" s="160" t="str">
        <x:v>Presence-floor proxy only — 300-city expansion</x:v>
      </x:c>
      <x:c r="N774" s="160" t="str">
        <x:v>Added in the 300-city screening expansion. One-store screening floor only; exact selected-chain count and 5-mile buffer require GIS verification.</x:v>
      </x:c>
      <x:c r="O774" s="160" t="str">
        <x:v>Galveston County</x:v>
      </x:c>
    </x:row>
    <x:row r="775">
      <x:c r="A775" t="n">
        <x:v>815</x:v>
      </x:c>
      <x:c r="B775" t="str">
        <x:v>Wilmington</x:v>
      </x:c>
      <x:c r="C775" t="str">
        <x:v>NC</x:v>
      </x:c>
      <x:c r="D775" s="161" t="n">
        <x:v>51.4</x:v>
      </x:c>
      <x:c r="E775" t="n">
        <x:v>0</x:v>
      </x:c>
      <x:c r="F775" t="n">
        <x:v>0</x:v>
      </x:c>
      <x:c r="G775" t="n">
        <x:v>0</x:v>
      </x:c>
      <x:c r="H775" t="n">
        <x:v>0</x:v>
      </x:c>
      <x:c r="I775" t="n">
        <x:v>0</x:v>
      </x:c>
      <x:c r="J775" t="n">
        <x:v>1</x:v>
      </x:c>
      <x:c r="K775" t="n">
        <x:f>SUM(E775:J775)</x:f>
        <x:v>1</x:v>
      </x:c>
      <x:c r="L775" s="163" t="n">
        <x:f>IFERROR(K775/D775,0)</x:f>
        <x:v>0.019455252918287938</x:v>
      </x:c>
      <x:c r="M775" s="160" t="str">
        <x:v>Presence-floor proxy only — 250-city expansion</x:v>
      </x:c>
      <x:c r="N775" s="160" t="str">
        <x:v>Added in the 250-city screening expansion. One-store screening floor only; exact selected-chain count and 5-mile buffer require GIS verification.</x:v>
      </x:c>
      <x:c r="O775" s="160" t="str">
        <x:v>New Hanover County</x:v>
      </x:c>
    </x:row>
    <x:row r="776">
      <x:c r="A776" t="n">
        <x:v>816</x:v>
      </x:c>
      <x:c r="B776" t="str">
        <x:v>Hampton</x:v>
      </x:c>
      <x:c r="C776" t="str">
        <x:v>VA</x:v>
      </x:c>
      <x:c r="D776" s="161" t="n">
        <x:v>51.5</x:v>
      </x:c>
      <x:c r="E776" t="n">
        <x:v>0</x:v>
      </x:c>
      <x:c r="F776" t="n">
        <x:v>0</x:v>
      </x:c>
      <x:c r="G776" t="n">
        <x:v>0</x:v>
      </x:c>
      <x:c r="H776" t="n">
        <x:v>0</x:v>
      </x:c>
      <x:c r="I776" t="n">
        <x:v>0</x:v>
      </x:c>
      <x:c r="J776" t="n">
        <x:v>1</x:v>
      </x:c>
      <x:c r="K776" t="n">
        <x:f>SUM(E776:J776)</x:f>
        <x:v>1</x:v>
      </x:c>
      <x:c r="L776" s="163" t="n">
        <x:f>IFERROR(K776/D776,0)</x:f>
        <x:v>0.019417475728155338</x:v>
      </x:c>
      <x:c r="M776" s="160" t="str">
        <x:v>Presence-floor proxy only — 250-city expansion</x:v>
      </x:c>
      <x:c r="N776" s="160" t="str">
        <x:v>Added in the 250-city screening expansion. One-store screening floor only; exact selected-chain count and 5-mile buffer require GIS verification.</x:v>
      </x:c>
      <x:c r="O776" s="160" t="str">
        <x:v>Hampton city</x:v>
      </x:c>
    </x:row>
    <x:row r="777">
      <x:c r="A777" t="n">
        <x:v>818</x:v>
      </x:c>
      <x:c r="B777" t="str">
        <x:v>Indianapolis</x:v>
      </x:c>
      <x:c r="C777" t="str">
        <x:v>IN</x:v>
      </x:c>
      <x:c r="D777" s="161" t="n">
        <x:v>361.433</x:v>
      </x:c>
      <x:c r="E777" t="n">
        <x:v>2</x:v>
      </x:c>
      <x:c r="F777" t="n">
        <x:v>0</x:v>
      </x:c>
      <x:c r="G777" t="n">
        <x:v>0</x:v>
      </x:c>
      <x:c r="H777" t="n">
        <x:v>5</x:v>
      </x:c>
      <x:c r="I777" t="n">
        <x:v>0</x:v>
      </x:c>
      <x:c r="J777" t="n">
        <x:v>0</x:v>
      </x:c>
      <x:c r="K777" t="n">
        <x:f>SUM(E777:J777)</x:f>
        <x:v>7</x:v>
      </x:c>
      <x:c r="L777" s="163" t="n">
        <x:f>IFERROR(K777/D777,0)</x:f>
        <x:v>0.019367351625335816</x:v>
      </x:c>
      <x:c r="M777" s="160" t="str">
        <x:v>Confirmed lower bound</x:v>
      </x:c>
      <x:c r="N777" s="160" t="str">
        <x:v>Verified public-directory count for ≥1 major chain; other selected chains and 5-mile spillover omitted.</x:v>
      </x:c>
      <x:c r="O777" s="160" t="str">
        <x:v>Marion County</x:v>
      </x:c>
    </x:row>
    <x:row r="778">
      <x:c r="A778" t="n">
        <x:v>820</x:v>
      </x:c>
      <x:c r="B778" t="str">
        <x:v>St. Paul</x:v>
      </x:c>
      <x:c r="C778" t="str">
        <x:v>MN</x:v>
      </x:c>
      <x:c r="D778" s="161" t="n">
        <x:v>51.979</x:v>
      </x:c>
      <x:c r="E778" t="n">
        <x:v>0</x:v>
      </x:c>
      <x:c r="F778" t="n">
        <x:v>0</x:v>
      </x:c>
      <x:c r="G778" t="n">
        <x:v>0</x:v>
      </x:c>
      <x:c r="H778" t="n">
        <x:v>0</x:v>
      </x:c>
      <x:c r="I778" t="n">
        <x:v>0</x:v>
      </x:c>
      <x:c r="J778" t="n">
        <x:v>1</x:v>
      </x:c>
      <x:c r="K778" t="n">
        <x:f>SUM(E778:J778)</x:f>
        <x:v>1</x:v>
      </x:c>
      <x:c r="L778" s="163" t="n">
        <x:f>IFERROR(K778/D778,0)</x:f>
        <x:v>0.01923853864060486</x:v>
      </x:c>
      <x:c r="M778" s="160" t="str">
        <x:v>Presence-floor proxy only</x:v>
      </x:c>
      <x:c r="N778" s="160" t="str">
        <x:v>One-store screening floor only; exact selected-chain count and 5-mile buffer require GIS verification.</x:v>
      </x:c>
      <x:c r="O778" s="160" t="str">
        <x:v>Ramsey County</x:v>
      </x:c>
    </x:row>
    <x:row r="779">
      <x:c r="A779" t="n">
        <x:v>821</x:v>
      </x:c>
      <x:c r="B779" t="str">
        <x:v>Babylon Town</x:v>
      </x:c>
      <x:c r="C779" t="str">
        <x:v>NY</x:v>
      </x:c>
      <x:c r="D779" s="161" t="n">
        <x:v>52.275</x:v>
      </x:c>
      <x:c r="E779" t="n">
        <x:v>0</x:v>
      </x:c>
      <x:c r="F779" t="n">
        <x:v>0</x:v>
      </x:c>
      <x:c r="G779" t="n">
        <x:v>0</x:v>
      </x:c>
      <x:c r="H779" t="n">
        <x:v>0</x:v>
      </x:c>
      <x:c r="I779" t="n">
        <x:v>0</x:v>
      </x:c>
      <x:c r="J779" t="n">
        <x:v>1</x:v>
      </x:c>
      <x:c r="K779" t="n">
        <x:f>SUM(E779:J779)</x:f>
        <x:v>1</x:v>
      </x:c>
      <x:c r="L779" s="163" t="n">
        <x:f>IFERROR(K779/D779,0)</x:f>
        <x:v>0.01912960306073649</x:v>
      </x:c>
      <x:c r="M779" s="160" t="str">
        <x:v>Presence-floor proxy only — 10k+ municipality completion</x:v>
      </x:c>
      <x:c r="N779"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779" s="160" t="str">
        <x:v>Suffolk County</x:v>
      </x:c>
    </x:row>
    <x:row r="780">
      <x:c r="A780" t="n">
        <x:v>822</x:v>
      </x:c>
      <x:c r="B780" t="str">
        <x:v>Belchertown Town</x:v>
      </x:c>
      <x:c r="C780" t="str">
        <x:v>MA</x:v>
      </x:c>
      <x:c r="D780" s="161" t="n">
        <x:v>52.602</x:v>
      </x:c>
      <x:c r="E780" t="n">
        <x:v>0</x:v>
      </x:c>
      <x:c r="F780" t="n">
        <x:v>0</x:v>
      </x:c>
      <x:c r="G780" t="n">
        <x:v>0</x:v>
      </x:c>
      <x:c r="H780" t="n">
        <x:v>0</x:v>
      </x:c>
      <x:c r="I780" t="n">
        <x:v>0</x:v>
      </x:c>
      <x:c r="J780" t="n">
        <x:v>1</x:v>
      </x:c>
      <x:c r="K780" t="n">
        <x:f>SUM(E780:J780)</x:f>
        <x:v>1</x:v>
      </x:c>
      <x:c r="L780" s="163" t="n">
        <x:f>IFERROR(K780/D780,0)</x:f>
        <x:v>0.01901068400441048</x:v>
      </x:c>
      <x:c r="M780" s="160" t="str">
        <x:v>Presence-floor proxy only — 10k+ municipality completion</x:v>
      </x:c>
      <x:c r="N780"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Hadley is county-selection evidence only because Hadley is below the 10,000 municipal threshold.</x:v>
      </x:c>
      <x:c r="O780" s="160" t="str">
        <x:v>Hampshire County</x:v>
      </x:c>
    </x:row>
    <x:row r="781">
      <x:c r="A781" t="n">
        <x:v>823</x:v>
      </x:c>
      <x:c r="B781" t="str">
        <x:v>North Hempstead Town</x:v>
      </x:c>
      <x:c r="C781" t="str">
        <x:v>NY</x:v>
      </x:c>
      <x:c r="D781" s="161" t="n">
        <x:v>53.543</x:v>
      </x:c>
      <x:c r="E781" t="n">
        <x:v>0</x:v>
      </x:c>
      <x:c r="F781" t="n">
        <x:v>0</x:v>
      </x:c>
      <x:c r="G781" t="n">
        <x:v>0</x:v>
      </x:c>
      <x:c r="H781" t="n">
        <x:v>0</x:v>
      </x:c>
      <x:c r="I781" t="n">
        <x:v>0</x:v>
      </x:c>
      <x:c r="J781" t="n">
        <x:v>1</x:v>
      </x:c>
      <x:c r="K781" t="n">
        <x:f>SUM(E781:J781)</x:f>
        <x:v>1</x:v>
      </x:c>
      <x:c r="L781" s="163" t="n">
        <x:f>IFERROR(K781/D781,0)</x:f>
        <x:v>0.018676577703901538</x:v>
      </x:c>
      <x:c r="M781" s="160" t="str">
        <x:v>Presence-floor proxy only — 10k+ municipality completion</x:v>
      </x:c>
      <x:c r="N781"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cities + towns avoids overlapping municipal units.</x:v>
      </x:c>
      <x:c r="O781" s="160" t="str">
        <x:v>Nassau County</x:v>
      </x:c>
    </x:row>
    <x:row r="782">
      <x:c r="A782" t="n">
        <x:v>824</x:v>
      </x:c>
      <x:c r="B782" t="str">
        <x:v>Smithtown Town</x:v>
      </x:c>
      <x:c r="C782" t="str">
        <x:v>NY</x:v>
      </x:c>
      <x:c r="D782" s="161" t="n">
        <x:v>53.75</x:v>
      </x:c>
      <x:c r="E782" t="n">
        <x:v>0</x:v>
      </x:c>
      <x:c r="F782" t="n">
        <x:v>0</x:v>
      </x:c>
      <x:c r="G782" t="n">
        <x:v>0</x:v>
      </x:c>
      <x:c r="H782" t="n">
        <x:v>0</x:v>
      </x:c>
      <x:c r="I782" t="n">
        <x:v>0</x:v>
      </x:c>
      <x:c r="J782" t="n">
        <x:v>1</x:v>
      </x:c>
      <x:c r="K782" t="n">
        <x:f>SUM(E782:J782)</x:f>
        <x:v>1</x:v>
      </x:c>
      <x:c r="L782" s="163" t="n">
        <x:f>IFERROR(K782/D782,0)</x:f>
        <x:v>0.018604651162790697</x:v>
      </x:c>
      <x:c r="M782" s="160" t="str">
        <x:v>Presence-floor proxy only — 10k+ municipality completion</x:v>
      </x:c>
      <x:c r="N782"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782" s="160" t="str">
        <x:v>Suffolk County</x:v>
      </x:c>
    </x:row>
    <x:row r="783">
      <x:c r="A783" t="n">
        <x:v>825</x:v>
      </x:c>
      <x:c r="B783" t="str">
        <x:v>Southold Town</x:v>
      </x:c>
      <x:c r="C783" t="str">
        <x:v>NY</x:v>
      </x:c>
      <x:c r="D783" s="161" t="n">
        <x:v>53.751</x:v>
      </x:c>
      <x:c r="E783" t="n">
        <x:v>0</x:v>
      </x:c>
      <x:c r="F783" t="n">
        <x:v>0</x:v>
      </x:c>
      <x:c r="G783" t="n">
        <x:v>0</x:v>
      </x:c>
      <x:c r="H783" t="n">
        <x:v>0</x:v>
      </x:c>
      <x:c r="I783" t="n">
        <x:v>0</x:v>
      </x:c>
      <x:c r="J783" t="n">
        <x:v>1</x:v>
      </x:c>
      <x:c r="K783" t="n">
        <x:f>SUM(E783:J783)</x:f>
        <x:v>1</x:v>
      </x:c>
      <x:c r="L783" s="163" t="n">
        <x:f>IFERROR(K783/D783,0)</x:f>
        <x:v>0.018604305036185376</x:v>
      </x:c>
      <x:c r="M783" s="160" t="str">
        <x:v>Presence-floor proxy only — 10k+ municipality completion</x:v>
      </x:c>
      <x:c r="N783"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783" s="160" t="str">
        <x:v>Suffolk County</x:v>
      </x:c>
    </x:row>
    <x:row r="784">
      <x:c r="A784" t="n">
        <x:v>826</x:v>
      </x:c>
      <x:c r="B784" t="str">
        <x:v>West Palm Beach</x:v>
      </x:c>
      <x:c r="C784" t="str">
        <x:v>FL</x:v>
      </x:c>
      <x:c r="D784" s="161" t="n">
        <x:v>53.8</x:v>
      </x:c>
      <x:c r="E784" t="n">
        <x:v>0</x:v>
      </x:c>
      <x:c r="F784" t="n">
        <x:v>0</x:v>
      </x:c>
      <x:c r="G784" t="n">
        <x:v>0</x:v>
      </x:c>
      <x:c r="H784" t="n">
        <x:v>0</x:v>
      </x:c>
      <x:c r="I784" t="n">
        <x:v>0</x:v>
      </x:c>
      <x:c r="J784" t="n">
        <x:v>1</x:v>
      </x:c>
      <x:c r="K784" t="n">
        <x:f>SUM(E784:J784)</x:f>
        <x:v>1</x:v>
      </x:c>
      <x:c r="L784" s="163" t="n">
        <x:f>IFERROR(K784/D784,0)</x:f>
        <x:v>0.01858736059479554</x:v>
      </x:c>
      <x:c r="M784" s="160" t="str">
        <x:v>Presence-floor proxy only — 250-city expansion</x:v>
      </x:c>
      <x:c r="N784" s="160" t="str">
        <x:v>Added in the 250-city screening expansion. One-store screening floor only; exact selected-chain count and 5-mile buffer require GIS verification.</x:v>
      </x:c>
      <x:c r="O784" s="160" t="str">
        <x:v>Palm Beach County</x:v>
      </x:c>
    </x:row>
    <x:row r="785">
      <x:c r="A785" t="n">
        <x:v>827</x:v>
      </x:c>
      <x:c r="B785" t="str">
        <x:v>Norfolk</x:v>
      </x:c>
      <x:c r="C785" t="str">
        <x:v>VA</x:v>
      </x:c>
      <x:c r="D785" s="161" t="n">
        <x:v>54.12</x:v>
      </x:c>
      <x:c r="E785" t="n">
        <x:v>0</x:v>
      </x:c>
      <x:c r="F785" t="n">
        <x:v>0</x:v>
      </x:c>
      <x:c r="G785" t="n">
        <x:v>0</x:v>
      </x:c>
      <x:c r="H785" t="n">
        <x:v>0</x:v>
      </x:c>
      <x:c r="I785" t="n">
        <x:v>0</x:v>
      </x:c>
      <x:c r="J785" t="n">
        <x:v>1</x:v>
      </x:c>
      <x:c r="K785" t="n">
        <x:f>SUM(E785:J785)</x:f>
        <x:v>1</x:v>
      </x:c>
      <x:c r="L785" s="163" t="n">
        <x:f>IFERROR(K785/D785,0)</x:f>
        <x:v>0.018477457501847747</x:v>
      </x:c>
      <x:c r="M785" s="160" t="str">
        <x:v>Presence-floor proxy only</x:v>
      </x:c>
      <x:c r="N785" s="160" t="str">
        <x:v>One-store screening floor only; exact selected-chain count and 5-mile buffer require GIS verification.</x:v>
      </x:c>
      <x:c r="O785" s="160" t="str">
        <x:v>Norfolk city</x:v>
      </x:c>
    </x:row>
    <x:row r="786">
      <x:c r="A786" t="n">
        <x:v>828</x:v>
      </x:c>
      <x:c r="B786" t="str">
        <x:v>Columbus</x:v>
      </x:c>
      <x:c r="C786" t="str">
        <x:v>OH</x:v>
      </x:c>
      <x:c r="D786" s="161" t="n">
        <x:v>217.169</x:v>
      </x:c>
      <x:c r="E786" t="n">
        <x:v>2</x:v>
      </x:c>
      <x:c r="F786" t="n">
        <x:v>0</x:v>
      </x:c>
      <x:c r="G786" t="n">
        <x:v>0</x:v>
      </x:c>
      <x:c r="H786" t="n">
        <x:v>2</x:v>
      </x:c>
      <x:c r="I786" t="n">
        <x:v>0</x:v>
      </x:c>
      <x:c r="J786" t="n">
        <x:v>0</x:v>
      </x:c>
      <x:c r="K786" t="n">
        <x:f>SUM(E786:J786)</x:f>
        <x:v>4</x:v>
      </x:c>
      <x:c r="L786" s="163" t="n">
        <x:f>IFERROR(K786/D786,0)</x:f>
        <x:v>0.01841883510077405</x:v>
      </x:c>
      <x:c r="M786" s="160" t="str">
        <x:v>Confirmed lower bound</x:v>
      </x:c>
      <x:c r="N786" s="160" t="str">
        <x:v>Verified public-directory count for ≥1 major chain; other selected chains and 5-mile spillover omitted.</x:v>
      </x:c>
      <x:c r="O786" s="160" t="str">
        <x:v>Franklin County</x:v>
      </x:c>
    </x:row>
    <x:row r="787">
      <x:c r="A787" t="n">
        <x:v>829</x:v>
      </x:c>
      <x:c r="B787" t="str">
        <x:v>Hillsborough Township</x:v>
      </x:c>
      <x:c r="C787" t="str">
        <x:v>NJ</x:v>
      </x:c>
      <x:c r="D787" s="161" t="n">
        <x:v>54.617</x:v>
      </x:c>
      <x:c r="E787" t="n">
        <x:v>0</x:v>
      </x:c>
      <x:c r="F787" t="n">
        <x:v>0</x:v>
      </x:c>
      <x:c r="G787" t="n">
        <x:v>0</x:v>
      </x:c>
      <x:c r="H787" t="n">
        <x:v>0</x:v>
      </x:c>
      <x:c r="I787" t="n">
        <x:v>0</x:v>
      </x:c>
      <x:c r="J787" t="n">
        <x:v>1</x:v>
      </x:c>
      <x:c r="K787" t="n">
        <x:f>SUM(E787:J787)</x:f>
        <x:v>1</x:v>
      </x:c>
      <x:c r="L787" s="163" t="n">
        <x:f>IFERROR(K787/D787,0)</x:f>
        <x:v>0.01830931761173261</x:v>
      </x:c>
      <x:c r="M787" s="160" t="str">
        <x:v>Presence-floor proxy only — 10k+ municipality completion</x:v>
      </x:c>
      <x:c r="N787"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and Wegmans Bridgewater are county-selection evidence only pending municipal-boundary verification.</x:v>
      </x:c>
      <x:c r="O787" s="160" t="str">
        <x:v>Somerset County</x:v>
      </x:c>
    </x:row>
    <x:row r="788">
      <x:c r="A788" t="n">
        <x:v>830</x:v>
      </x:c>
      <x:c r="B788" t="str">
        <x:v>York town</x:v>
      </x:c>
      <x:c r="C788" t="str">
        <x:v>ME</x:v>
      </x:c>
      <x:c r="D788" s="161" t="n">
        <x:v>54.699</x:v>
      </x:c>
      <x:c r="E788" t="n">
        <x:v>0</x:v>
      </x:c>
      <x:c r="F788" t="n">
        <x:v>0</x:v>
      </x:c>
      <x:c r="G788" t="n">
        <x:v>0</x:v>
      </x:c>
      <x:c r="H788" t="n">
        <x:v>0</x:v>
      </x:c>
      <x:c r="I788" t="n">
        <x:v>0</x:v>
      </x:c>
      <x:c r="J788" t="n">
        <x:v>1</x:v>
      </x:c>
      <x:c r="K788" t="n">
        <x:f>SUM(E788:J788)</x:f>
        <x:v>1</x:v>
      </x:c>
      <x:c r="L788" s="163" t="n">
        <x:f>IFERROR(K788/D788,0)</x:f>
        <x:v>0.018281869869650268</x:v>
      </x:c>
      <x:c r="M788" s="160" t="str">
        <x:v>Presence-floor proxy only — 10k+ municipality completion</x:v>
      </x:c>
      <x:c r="N788"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788" s="160" t="str">
        <x:v>York County</x:v>
      </x:c>
    </x:row>
    <x:row r="789">
      <x:c r="A789" t="n">
        <x:v>831</x:v>
      </x:c>
      <x:c r="B789" t="str">
        <x:v>Killeen</x:v>
      </x:c>
      <x:c r="C789" t="str">
        <x:v>TX</x:v>
      </x:c>
      <x:c r="D789" s="161" t="n">
        <x:v>54.8</x:v>
      </x:c>
      <x:c r="E789" t="n">
        <x:v>0</x:v>
      </x:c>
      <x:c r="F789" t="n">
        <x:v>0</x:v>
      </x:c>
      <x:c r="G789" t="n">
        <x:v>0</x:v>
      </x:c>
      <x:c r="H789" t="n">
        <x:v>0</x:v>
      </x:c>
      <x:c r="I789" t="n">
        <x:v>0</x:v>
      </x:c>
      <x:c r="J789" t="n">
        <x:v>1</x:v>
      </x:c>
      <x:c r="K789" t="n">
        <x:f>SUM(E789:J789)</x:f>
        <x:v>1</x:v>
      </x:c>
      <x:c r="L789" s="163" t="n">
        <x:f>IFERROR(K789/D789,0)</x:f>
        <x:v>0.018248175182481754</x:v>
      </x:c>
      <x:c r="M789" s="160" t="str">
        <x:v>Presence-floor proxy only — 200-city expansion</x:v>
      </x:c>
      <x:c r="N789" s="160" t="str">
        <x:v>Added in the 200-city screening expansion. One-store screening floor only; exact selected-chain count and 5-mile buffer require GIS verification.</x:v>
      </x:c>
      <x:c r="O789" s="160" t="str">
        <x:v>Bell County</x:v>
      </x:c>
    </x:row>
    <x:row r="790">
      <x:c r="A790" t="n">
        <x:v>832</x:v>
      </x:c>
      <x:c r="B790" t="str">
        <x:v>Thousand Oaks</x:v>
      </x:c>
      <x:c r="C790" t="str">
        <x:v>CA</x:v>
      </x:c>
      <x:c r="D790" s="161" t="n">
        <x:v>55.3</x:v>
      </x:c>
      <x:c r="E790" t="n">
        <x:v>0</x:v>
      </x:c>
      <x:c r="F790" t="n">
        <x:v>0</x:v>
      </x:c>
      <x:c r="G790" t="n">
        <x:v>0</x:v>
      </x:c>
      <x:c r="H790" t="n">
        <x:v>0</x:v>
      </x:c>
      <x:c r="I790" t="n">
        <x:v>0</x:v>
      </x:c>
      <x:c r="J790" t="n">
        <x:v>1</x:v>
      </x:c>
      <x:c r="K790" t="n">
        <x:f>SUM(E790:J790)</x:f>
        <x:v>1</x:v>
      </x:c>
      <x:c r="L790" s="163" t="n">
        <x:f>IFERROR(K790/D790,0)</x:f>
        <x:v>0.018083182640144666</x:v>
      </x:c>
      <x:c r="M790" s="160" t="str">
        <x:v>Presence-floor proxy only — 250-city expansion</x:v>
      </x:c>
      <x:c r="N790" s="160" t="str">
        <x:v>Added in the 250-city screening expansion. One-store screening floor only; exact selected-chain count and 5-mile buffer require GIS verification.</x:v>
      </x:c>
      <x:c r="O790" s="160" t="str">
        <x:v>Ventura County</x:v>
      </x:c>
    </x:row>
    <x:row r="791">
      <x:c r="A791" t="n">
        <x:v>833</x:v>
      </x:c>
      <x:c r="B791" t="str">
        <x:v>Pittsburgh</x:v>
      </x:c>
      <x:c r="C791" t="str">
        <x:v>PA</x:v>
      </x:c>
      <x:c r="D791" s="161" t="n">
        <x:v>55.367</x:v>
      </x:c>
      <x:c r="E791" t="n">
        <x:v>0</x:v>
      </x:c>
      <x:c r="F791" t="n">
        <x:v>0</x:v>
      </x:c>
      <x:c r="G791" t="n">
        <x:v>0</x:v>
      </x:c>
      <x:c r="H791" t="n">
        <x:v>0</x:v>
      </x:c>
      <x:c r="I791" t="n">
        <x:v>0</x:v>
      </x:c>
      <x:c r="J791" t="n">
        <x:v>1</x:v>
      </x:c>
      <x:c r="K791" t="n">
        <x:f>SUM(E791:J791)</x:f>
        <x:v>1</x:v>
      </x:c>
      <x:c r="L791" s="163" t="n">
        <x:f>IFERROR(K791/D791,0)</x:f>
        <x:v>0.01806130005237777</x:v>
      </x:c>
      <x:c r="M791" s="160" t="str">
        <x:v>Presence-floor proxy only</x:v>
      </x:c>
      <x:c r="N791" s="160" t="str">
        <x:v>One-store screening floor only; exact selected-chain count and 5-mile buffer require GIS verification.</x:v>
      </x:c>
      <x:c r="O791" s="160" t="str">
        <x:v>Allegheny County</x:v>
      </x:c>
    </x:row>
    <x:row r="792">
      <x:c r="A792" t="n">
        <x:v>834</x:v>
      </x:c>
      <x:c r="B792" t="str">
        <x:v>Pueblo</x:v>
      </x:c>
      <x:c r="C792" t="str">
        <x:v>CO</x:v>
      </x:c>
      <x:c r="D792" s="161" t="n">
        <x:v>55.4</x:v>
      </x:c>
      <x:c r="E792" t="n">
        <x:v>0</x:v>
      </x:c>
      <x:c r="F792" t="n">
        <x:v>0</x:v>
      </x:c>
      <x:c r="G792" t="n">
        <x:v>0</x:v>
      </x:c>
      <x:c r="H792" t="n">
        <x:v>0</x:v>
      </x:c>
      <x:c r="I792" t="n">
        <x:v>0</x:v>
      </x:c>
      <x:c r="J792" t="n">
        <x:v>1</x:v>
      </x:c>
      <x:c r="K792" t="n">
        <x:f>SUM(E792:J792)</x:f>
        <x:v>1</x:v>
      </x:c>
      <x:c r="L792" s="163" t="n">
        <x:f>IFERROR(K792/D792,0)</x:f>
        <x:v>0.018050541516245487</x:v>
      </x:c>
      <x:c r="M792" s="160" t="str">
        <x:v>Presence-floor proxy only — 300-city expansion</x:v>
      </x:c>
      <x:c r="N792" s="160" t="str">
        <x:v>Added in the 300-city screening expansion. One-store screening floor only; exact selected-chain count and 5-mile buffer require GIS verification.</x:v>
      </x:c>
      <x:c r="O792" s="160" t="str">
        <x:v>Pueblo County</x:v>
      </x:c>
    </x:row>
    <x:row r="793">
      <x:c r="A793" t="n">
        <x:v>835</x:v>
      </x:c>
      <x:c r="B793" t="str">
        <x:v>Rochester</x:v>
      </x:c>
      <x:c r="C793" t="str">
        <x:v>MN</x:v>
      </x:c>
      <x:c r="D793" s="161" t="n">
        <x:v>55.5</x:v>
      </x:c>
      <x:c r="E793" t="n">
        <x:v>0</x:v>
      </x:c>
      <x:c r="F793" t="n">
        <x:v>0</x:v>
      </x:c>
      <x:c r="G793" t="n">
        <x:v>0</x:v>
      </x:c>
      <x:c r="H793" t="n">
        <x:v>0</x:v>
      </x:c>
      <x:c r="I793" t="n">
        <x:v>0</x:v>
      </x:c>
      <x:c r="J793" t="n">
        <x:v>1</x:v>
      </x:c>
      <x:c r="K793" t="n">
        <x:f>SUM(E793:J793)</x:f>
        <x:v>1</x:v>
      </x:c>
      <x:c r="L793" s="163" t="n">
        <x:f>IFERROR(K793/D793,0)</x:f>
        <x:v>0.018018018018018018</x:v>
      </x:c>
      <x:c r="M793" s="160" t="str">
        <x:v>Presence-floor proxy only — 250-city expansion</x:v>
      </x:c>
      <x:c r="N793" s="160" t="str">
        <x:v>Added in the 250-city screening expansion. One-store screening floor only; exact selected-chain count and 5-mile buffer require GIS verification.</x:v>
      </x:c>
      <x:c r="O793" s="160" t="str">
        <x:v>Olmsted County</x:v>
      </x:c>
    </x:row>
    <x:row r="794">
      <x:c r="A794" t="n">
        <x:v>836</x:v>
      </x:c>
      <x:c r="B794" t="str">
        <x:v>Lafayette</x:v>
      </x:c>
      <x:c r="C794" t="str">
        <x:v>LA</x:v>
      </x:c>
      <x:c r="D794" s="161" t="n">
        <x:v>55.8</x:v>
      </x:c>
      <x:c r="E794" t="n">
        <x:v>0</x:v>
      </x:c>
      <x:c r="F794" t="n">
        <x:v>0</x:v>
      </x:c>
      <x:c r="G794" t="n">
        <x:v>0</x:v>
      </x:c>
      <x:c r="H794" t="n">
        <x:v>0</x:v>
      </x:c>
      <x:c r="I794" t="n">
        <x:v>0</x:v>
      </x:c>
      <x:c r="J794" t="n">
        <x:v>1</x:v>
      </x:c>
      <x:c r="K794" t="n">
        <x:f>SUM(E794:J794)</x:f>
        <x:v>1</x:v>
      </x:c>
      <x:c r="L794" s="163" t="n">
        <x:f>IFERROR(K794/D794,0)</x:f>
        <x:v>0.01792114695340502</x:v>
      </x:c>
      <x:c r="M794" s="160" t="str">
        <x:v>Presence-floor proxy only — 250-city expansion</x:v>
      </x:c>
      <x:c r="N794" s="160" t="str">
        <x:v>Added in the 250-city screening expansion. One-store screening floor only; exact selected-chain count and 5-mile buffer require GIS verification.</x:v>
      </x:c>
      <x:c r="O794" s="160" t="str">
        <x:v>Lafayette Parish</x:v>
      </x:c>
    </x:row>
    <x:row r="795">
      <x:c r="A795" t="n">
        <x:v>837</x:v>
      </x:c>
      <x:c r="B795" t="str">
        <x:v>Dayton</x:v>
      </x:c>
      <x:c r="C795" t="str">
        <x:v>OH</x:v>
      </x:c>
      <x:c r="D795" s="161" t="n">
        <x:v>55.8</x:v>
      </x:c>
      <x:c r="E795" t="n">
        <x:v>0</x:v>
      </x:c>
      <x:c r="F795" t="n">
        <x:v>0</x:v>
      </x:c>
      <x:c r="G795" t="n">
        <x:v>0</x:v>
      </x:c>
      <x:c r="H795" t="n">
        <x:v>0</x:v>
      </x:c>
      <x:c r="I795" t="n">
        <x:v>0</x:v>
      </x:c>
      <x:c r="J795" t="n">
        <x:v>1</x:v>
      </x:c>
      <x:c r="K795" t="n">
        <x:f>SUM(E795:J795)</x:f>
        <x:v>1</x:v>
      </x:c>
      <x:c r="L795" s="163" t="n">
        <x:f>IFERROR(K795/D795,0)</x:f>
        <x:v>0.01792114695340502</x:v>
      </x:c>
      <x:c r="M795" s="160" t="str">
        <x:v>Presence-floor proxy only — 250-city expansion</x:v>
      </x:c>
      <x:c r="N795" s="160" t="str">
        <x:v>Added in the 250-city screening expansion. One-store screening floor only; exact selected-chain count and 5-mile buffer require GIS verification.</x:v>
      </x:c>
      <x:c r="O795" s="160" t="str">
        <x:v>Montgomery County</x:v>
      </x:c>
    </x:row>
    <x:row r="796">
      <x:c r="A796" t="n">
        <x:v>838</x:v>
      </x:c>
      <x:c r="B796" t="str">
        <x:v>Shawangunk town</x:v>
      </x:c>
      <x:c r="C796" t="str">
        <x:v>NY</x:v>
      </x:c>
      <x:c r="D796" s="161" t="n">
        <x:v>56.056</x:v>
      </x:c>
      <x:c r="E796" t="n">
        <x:v>0</x:v>
      </x:c>
      <x:c r="F796" t="n">
        <x:v>0</x:v>
      </x:c>
      <x:c r="G796" t="n">
        <x:v>0</x:v>
      </x:c>
      <x:c r="H796" t="n">
        <x:v>0</x:v>
      </x:c>
      <x:c r="I796" t="n">
        <x:v>0</x:v>
      </x:c>
      <x:c r="J796" t="n">
        <x:v>1</x:v>
      </x:c>
      <x:c r="K796" t="n">
        <x:f>SUM(E796:J796)</x:f>
        <x:v>1</x:v>
      </x:c>
      <x:c r="L796" s="163" t="n">
        <x:f>IFERROR(K796/D796,0)</x:f>
        <x:v>0.01783930355358927</x:v>
      </x:c>
      <x:c r="M796" s="160" t="str">
        <x:v>Presence-floor proxy only — 10k+ municipality completion</x:v>
      </x:c>
      <x:c r="N796"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796" s="160" t="str">
        <x:v>Ulster County</x:v>
      </x:c>
    </x:row>
    <x:row r="797">
      <x:c r="A797" t="n">
        <x:v>839</x:v>
      </x:c>
      <x:c r="B797" t="str">
        <x:v>South Kingstown Town</x:v>
      </x:c>
      <x:c r="C797" t="str">
        <x:v>RI</x:v>
      </x:c>
      <x:c r="D797" s="161" t="n">
        <x:v>56.37</x:v>
      </x:c>
      <x:c r="E797" t="n">
        <x:v>0</x:v>
      </x:c>
      <x:c r="F797" t="n">
        <x:v>0</x:v>
      </x:c>
      <x:c r="G797" t="n">
        <x:v>0</x:v>
      </x:c>
      <x:c r="H797" t="n">
        <x:v>0</x:v>
      </x:c>
      <x:c r="I797" t="n">
        <x:v>0</x:v>
      </x:c>
      <x:c r="J797" t="n">
        <x:v>1</x:v>
      </x:c>
      <x:c r="K797" t="n">
        <x:f>SUM(E797:J797)</x:f>
        <x:v>1</x:v>
      </x:c>
      <x:c r="L797" s="163" t="n">
        <x:f>IFERROR(K797/D797,0)</x:f>
        <x:v>0.017739932588256166</x:v>
      </x:c>
      <x:c r="M797" s="160" t="str">
        <x:v>Presence-floor proxy only — 10k+ municipality completion</x:v>
      </x:c>
      <x:c r="N797" s="160" t="str">
        <x:v>Added under the &gt;=50k-county expansion rule: Census Vintage 2025 municipality population &gt;=10,000; general-purpose city-equivalent municipality; direct Census adjacency. Presence-floor proxy only — exact tracked-chain count requires municipal-boundary/GIS verification. Rhode Island towns are general-purpose municipalities; smaller Washington County towns remain below the 10,000 threshold.</x:v>
      </x:c>
      <x:c r="O797" s="160" t="str">
        <x:v>Washington County</x:v>
      </x:c>
    </x:row>
    <x:row r="798">
      <x:c r="A798" t="n">
        <x:v>840</x:v>
      </x:c>
      <x:c r="B798" t="str">
        <x:v>High Point</x:v>
      </x:c>
      <x:c r="C798" t="str">
        <x:v>NC</x:v>
      </x:c>
      <x:c r="D798" s="161" t="n">
        <x:v>56.4</x:v>
      </x:c>
      <x:c r="E798" t="n">
        <x:v>0</x:v>
      </x:c>
      <x:c r="F798" t="n">
        <x:v>0</x:v>
      </x:c>
      <x:c r="G798" t="n">
        <x:v>0</x:v>
      </x:c>
      <x:c r="H798" t="n">
        <x:v>0</x:v>
      </x:c>
      <x:c r="I798" t="n">
        <x:v>0</x:v>
      </x:c>
      <x:c r="J798" t="n">
        <x:v>1</x:v>
      </x:c>
      <x:c r="K798" t="n">
        <x:f>SUM(E798:J798)</x:f>
        <x:v>1</x:v>
      </x:c>
      <x:c r="L798" s="163" t="n">
        <x:f>IFERROR(K798/D798,0)</x:f>
        <x:v>0.01773049645390071</x:v>
      </x:c>
      <x:c r="M798" s="160" t="str">
        <x:v>Presence-floor proxy only — 300-city expansion</x:v>
      </x:c>
      <x:c r="N798" s="160" t="str">
        <x:v>Added in the 300-city screening expansion. One-store screening floor only; exact selected-chain count and 5-mile buffer require GIS verification.</x:v>
      </x:c>
      <x:c r="O798" s="160" t="str">
        <x:v>Guilford County</x:v>
      </x:c>
    </x:row>
    <x:row r="799">
      <x:c r="A799" t="n">
        <x:v>841</x:v>
      </x:c>
      <x:c r="B799" t="str">
        <x:v>East Fishkill Town</x:v>
      </x:c>
      <x:c r="C799" t="str">
        <x:v>NY</x:v>
      </x:c>
      <x:c r="D799" s="161" t="n">
        <x:v>56.558</x:v>
      </x:c>
      <x:c r="E799" t="n">
        <x:v>0</x:v>
      </x:c>
      <x:c r="F799" t="n">
        <x:v>0</x:v>
      </x:c>
      <x:c r="G799" t="n">
        <x:v>0</x:v>
      </x:c>
      <x:c r="H799" t="n">
        <x:v>0</x:v>
      </x:c>
      <x:c r="I799" t="n">
        <x:v>0</x:v>
      </x:c>
      <x:c r="J799" t="n">
        <x:v>1</x:v>
      </x:c>
      <x:c r="K799" t="n">
        <x:f>SUM(E799:J799)</x:f>
        <x:v>1</x:v>
      </x:c>
      <x:c r="L799" s="163" t="n">
        <x:f>IFERROR(K799/D799,0)</x:f>
        <x:v>0.01768096467343258</x:v>
      </x:c>
      <x:c r="M799" s="160" t="str">
        <x:v>Presence-floor proxy only — 10k+ municipality completion</x:v>
      </x:c>
      <x:c r="N799" s="160" t="str">
        <x:v>Added under the documented ≥300k county fallback: Census Vintage 2025 municipality population ≥10,000; general-purpose city-equivalent municipality; direct Census adjacency. Presence-floor proxy only — exact tracked-chain count requires municipal-boundary/GIS verification. New York nested villages are excluded to preserve the established non-overlapping cities + towns convention; Pleasant Valley and Dover are below the 10,000 threshold.</x:v>
      </x:c>
      <x:c r="O799" s="160" t="str">
        <x:v>Dutchess County</x:v>
      </x:c>
    </x:row>
    <x:row r="800">
      <x:c r="A800" t="n">
        <x:v>842</x:v>
      </x:c>
      <x:c r="B800" t="str">
        <x:v>Canandaigua town</x:v>
      </x:c>
      <x:c r="C800" t="str">
        <x:v>NY</x:v>
      </x:c>
      <x:c r="D800" s="161" t="n">
        <x:v>56.831</x:v>
      </x:c>
      <x:c r="E800" t="n">
        <x:v>0</x:v>
      </x:c>
      <x:c r="F800" t="n">
        <x:v>0</x:v>
      </x:c>
      <x:c r="G800" t="n">
        <x:v>0</x:v>
      </x:c>
      <x:c r="H800" t="n">
        <x:v>0</x:v>
      </x:c>
      <x:c r="I800" t="n">
        <x:v>0</x:v>
      </x:c>
      <x:c r="J800" t="n">
        <x:v>1</x:v>
      </x:c>
      <x:c r="K800" t="n">
        <x:f>SUM(E800:J800)</x:f>
        <x:v>1</x:v>
      </x:c>
      <x:c r="L800" s="163" t="n">
        <x:f>IFERROR(K800/D800,0)</x:f>
        <x:v>0.017596030335556297</x:v>
      </x:c>
      <x:c r="M800" s="160" t="str">
        <x:v>Presence-floor proxy only — 10k+ municipality completion</x:v>
      </x:c>
      <x:c r="N800" s="160" t="str">
        <x:v>Added under the 2026-09-15 &gt;=50k-county expansion rule: Census Vintage 2025 municipality population &gt;=10,000; general-purpose city-equivalent municipality; direct Census adjacency. Presence-floor proxy only — exact tracked-chain count requires municipal-boundary/GIS verification. Manchester town (9,225) and Phelps town (6,559) are below the 10,000 threshold.</x:v>
      </x:c>
      <x:c r="O800" s="160" t="str">
        <x:v>Ontario County</x:v>
      </x:c>
    </x:row>
    <x:row r="801">
      <x:c r="A801" t="n">
        <x:v>843</x:v>
      </x:c>
      <x:c r="B801" t="str">
        <x:v>Garland</x:v>
      </x:c>
      <x:c r="C801" t="str">
        <x:v>TX</x:v>
      </x:c>
      <x:c r="D801" s="161" t="n">
        <x:v>57.085</x:v>
      </x:c>
      <x:c r="E801" t="n">
        <x:v>0</x:v>
      </x:c>
      <x:c r="F801" t="n">
        <x:v>0</x:v>
      </x:c>
      <x:c r="G801" t="n">
        <x:v>0</x:v>
      </x:c>
      <x:c r="H801" t="n">
        <x:v>0</x:v>
      </x:c>
      <x:c r="I801" t="n">
        <x:v>0</x:v>
      </x:c>
      <x:c r="J801" t="n">
        <x:v>1</x:v>
      </x:c>
      <x:c r="K801" t="n">
        <x:f>SUM(E801:J801)</x:f>
        <x:v>1</x:v>
      </x:c>
      <x:c r="L801" s="163" t="n">
        <x:f>IFERROR(K801/D801,0)</x:f>
        <x:v>0.017517736708417272</x:v>
      </x:c>
      <x:c r="M801" s="160" t="str">
        <x:v>Presence-floor proxy only</x:v>
      </x:c>
      <x:c r="N801" s="160" t="str">
        <x:v>One-store screening floor only; exact selected-chain count and 5-mile buffer require GIS verification.</x:v>
      </x:c>
      <x:c r="O801" s="160" t="str">
        <x:v>Dallas County</x:v>
      </x:c>
    </x:row>
    <x:row r="802">
      <x:c r="A802" t="n">
        <x:v>844</x:v>
      </x:c>
      <x:c r="B802" t="str">
        <x:v>Fort Collins</x:v>
      </x:c>
      <x:c r="C802" t="str">
        <x:v>CO</x:v>
      </x:c>
      <x:c r="D802" s="161" t="n">
        <x:v>57.2</x:v>
      </x:c>
      <x:c r="E802" t="n">
        <x:v>0</x:v>
      </x:c>
      <x:c r="F802" t="n">
        <x:v>0</x:v>
      </x:c>
      <x:c r="G802" t="n">
        <x:v>0</x:v>
      </x:c>
      <x:c r="H802" t="n">
        <x:v>0</x:v>
      </x:c>
      <x:c r="I802" t="n">
        <x:v>0</x:v>
      </x:c>
      <x:c r="J802" t="n">
        <x:v>1</x:v>
      </x:c>
      <x:c r="K802" t="n">
        <x:f>SUM(E802:J802)</x:f>
        <x:v>1</x:v>
      </x:c>
      <x:c r="L802" s="163" t="n">
        <x:f>IFERROR(K802/D802,0)</x:f>
        <x:v>0.01748251748251748</x:v>
      </x:c>
      <x:c r="M802" s="160" t="str">
        <x:v>Presence-floor proxy only — 200-city expansion</x:v>
      </x:c>
      <x:c r="N802" s="160" t="str">
        <x:v>Added in the 200-city screening expansion. One-store screening floor only; exact selected-chain count and 5-mile buffer require GIS verification.</x:v>
      </x:c>
      <x:c r="O802" s="160" t="str">
        <x:v>Larimer County</x:v>
      </x:c>
    </x:row>
    <x:row r="803">
      <x:c r="A803" t="n">
        <x:v>845</x:v>
      </x:c>
      <x:c r="B803" t="str">
        <x:v>Greene township</x:v>
      </x:c>
      <x:c r="C803" t="str">
        <x:v>PA</x:v>
      </x:c>
      <x:c r="D803" s="161" t="n">
        <x:v>57.3</x:v>
      </x:c>
      <x:c r="E803" t="n">
        <x:v>0</x:v>
      </x:c>
      <x:c r="F803" t="n">
        <x:v>0</x:v>
      </x:c>
      <x:c r="G803" t="n">
        <x:v>0</x:v>
      </x:c>
      <x:c r="H803" t="n">
        <x:v>0</x:v>
      </x:c>
      <x:c r="I803" t="n">
        <x:v>0</x:v>
      </x:c>
      <x:c r="J803" t="n">
        <x:v>1</x:v>
      </x:c>
      <x:c r="K803" t="n">
        <x:f>SUM(E803:J803)</x:f>
        <x:v>1</x:v>
      </x:c>
      <x:c r="L803" s="163" t="n">
        <x:f>IFERROR(K803/D803,0)</x:f>
        <x:v>0.017452006980802792</x:v>
      </x:c>
      <x:c r="M803" s="160" t="str">
        <x:v>Presence-floor proxy only — 10k+ municipality completion</x:v>
      </x:c>
      <x:c r="N803"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803" s="160" t="str">
        <x:v>Franklin County</x:v>
      </x:c>
    </x:row>
    <x:row r="804">
      <x:c r="A804" t="n">
        <x:v>846</x:v>
      </x:c>
      <x:c r="B804" t="str">
        <x:v>Tyler</x:v>
      </x:c>
      <x:c r="C804" t="str">
        <x:v>TX</x:v>
      </x:c>
      <x:c r="D804" s="161" t="n">
        <x:v>57.5</x:v>
      </x:c>
      <x:c r="E804" t="n">
        <x:v>0</x:v>
      </x:c>
      <x:c r="F804" t="n">
        <x:v>0</x:v>
      </x:c>
      <x:c r="G804" t="n">
        <x:v>0</x:v>
      </x:c>
      <x:c r="H804" t="n">
        <x:v>0</x:v>
      </x:c>
      <x:c r="I804" t="n">
        <x:v>0</x:v>
      </x:c>
      <x:c r="J804" t="n">
        <x:v>1</x:v>
      </x:c>
      <x:c r="K804" t="n">
        <x:f>SUM(E804:J804)</x:f>
        <x:v>1</x:v>
      </x:c>
      <x:c r="L804" s="163" t="n">
        <x:f>IFERROR(K804/D804,0)</x:f>
        <x:v>0.017391304347826087</x:v>
      </x:c>
      <x:c r="M804" s="160" t="str">
        <x:v>Presence-floor proxy only — 300-city expansion</x:v>
      </x:c>
      <x:c r="N804" s="160" t="str">
        <x:v>Added in the 300-city screening expansion. One-store screening floor only; exact selected-chain count and 5-mile buffer require GIS verification.</x:v>
      </x:c>
      <x:c r="O804" s="160" t="str">
        <x:v>Smith County</x:v>
      </x:c>
    </x:row>
    <x:row r="805">
      <x:c r="A805" t="n">
        <x:v>847</x:v>
      </x:c>
      <x:c r="B805" t="str">
        <x:v>Wells town</x:v>
      </x:c>
      <x:c r="C805" t="str">
        <x:v>ME</x:v>
      </x:c>
      <x:c r="D805" s="161" t="n">
        <x:v>57.655</x:v>
      </x:c>
      <x:c r="E805" t="n">
        <x:v>0</x:v>
      </x:c>
      <x:c r="F805" t="n">
        <x:v>0</x:v>
      </x:c>
      <x:c r="G805" t="n">
        <x:v>0</x:v>
      </x:c>
      <x:c r="H805" t="n">
        <x:v>0</x:v>
      </x:c>
      <x:c r="I805" t="n">
        <x:v>0</x:v>
      </x:c>
      <x:c r="J805" t="n">
        <x:v>1</x:v>
      </x:c>
      <x:c r="K805" t="n">
        <x:f>SUM(E805:J805)</x:f>
        <x:v>1</x:v>
      </x:c>
      <x:c r="L805" s="163" t="n">
        <x:f>IFERROR(K805/D805,0)</x:f>
        <x:v>0.01734454947532738</x:v>
      </x:c>
      <x:c r="M805" s="160" t="str">
        <x:v>Presence-floor proxy only — 10k+ municipality completion</x:v>
      </x:c>
      <x:c r="N805" s="160" t="str">
        <x:v>Added under the 2026-09-15 &gt;=50k-county expansion rule: Census Vintage 2025 municipality population &gt;=10,000; general-purpose city-equivalent municipality; direct Census adjacency. Presence-floor proxy only — exact tracked-chain count requires municipal-boundary/GIS verification.</x:v>
      </x:c>
      <x:c r="O805" s="160" t="str">
        <x:v>York County</x:v>
      </x:c>
    </x:row>
    <x:row r="806">
      <x:c r="A806" t="n">
        <x:v>849</x:v>
      </x:c>
      <x:c r="B806" t="str">
        <x:v>Cary</x:v>
      </x:c>
      <x:c r="C806" t="str">
        <x:v>NC</x:v>
      </x:c>
      <x:c r="D806" s="161" t="n">
        <x:v>59.2</x:v>
      </x:c>
      <x:c r="E806" t="n">
        <x:v>0</x:v>
      </x:c>
      <x:c r="F806" t="n">
        <x:v>0</x:v>
      </x:c>
      <x:c r="G806" t="n">
        <x:v>0</x:v>
      </x:c>
      <x:c r="H806" t="n">
        <x:v>0</x:v>
      </x:c>
      <x:c r="I806" t="n">
        <x:v>0</x:v>
      </x:c>
      <x:c r="J806" t="n">
        <x:v>1</x:v>
      </x:c>
      <x:c r="K806" t="n">
        <x:f>SUM(E806:J806)</x:f>
        <x:v>1</x:v>
      </x:c>
      <x:c r="L806" s="163" t="n">
        <x:f>IFERROR(K806/D806,0)</x:f>
        <x:v>0.01689189189189189</x:v>
      </x:c>
      <x:c r="M806" s="160" t="str">
        <x:v>Presence-floor proxy only — 200-city expansion</x:v>
      </x:c>
      <x:c r="N806" s="160" t="str">
        <x:v>Added in the 200-city screening expansion. One-store screening floor only; exact selected-chain count and 5-mile buffer require GIS verification.</x:v>
      </x:c>
      <x:c r="O806" s="160" t="str">
        <x:v>Wake County</x:v>
      </x:c>
    </x:row>
    <x:row r="807">
      <x:c r="A807" t="n">
        <x:v>850</x:v>
      </x:c>
      <x:c r="B807" t="str">
        <x:v>Auburn City</x:v>
      </x:c>
      <x:c r="C807" t="str">
        <x:v>ME</x:v>
      </x:c>
      <x:c r="D807" s="161" t="n">
        <x:v>59.342</x:v>
      </x:c>
      <x:c r="E807" t="n">
        <x:v>0</x:v>
      </x:c>
      <x:c r="F807" t="n">
        <x:v>0</x:v>
      </x:c>
      <x:c r="G807" t="n">
        <x:v>0</x:v>
      </x:c>
      <x:c r="H807" t="n">
        <x:v>0</x:v>
      </x:c>
      <x:c r="I807" t="n">
        <x:v>0</x:v>
      </x:c>
      <x:c r="J807" t="n">
        <x:v>1</x:v>
      </x:c>
      <x:c r="K807" t="n">
        <x:f>SUM(E807:J807)</x:f>
        <x:v>1</x:v>
      </x:c>
      <x:c r="L807" s="163" t="n">
        <x:f>IFERROR(K807/D807,0)</x:f>
        <x:v>0.016851471133429947</x:v>
      </x:c>
      <x:c r="M807" s="160" t="str">
        <x:v>Presence-floor proxy only — 10k+ municipality completion</x:v>
      </x:c>
      <x:c r="N807" s="160" t="str">
        <x:v>Added under the &gt;=50k-county expansion rule: Census Vintage 2025 municipality population &gt;=10,000; general-purpose city-equivalent municipality; direct Census adjacency. Presence-floor proxy only — exact tracked-chain count requires municipal-boundary/GIS verification. Auburn is V2025 25,441 and Lewiston 38,866.</x:v>
      </x:c>
      <x:c r="O807" s="160" t="str">
        <x:v>Androscoggin County</x:v>
      </x:c>
    </x:row>
    <x:row r="808">
      <x:c r="A808" t="n">
        <x:v>851</x:v>
      </x:c>
      <x:c r="B808" t="str">
        <x:v>Barnstable Town City</x:v>
      </x:c>
      <x:c r="C808" t="str">
        <x:v>MA</x:v>
      </x:c>
      <x:c r="D808" s="161" t="n">
        <x:v>59.929</x:v>
      </x:c>
      <x:c r="E808" t="n">
        <x:v>0</x:v>
      </x:c>
      <x:c r="F808" t="n">
        <x:v>0</x:v>
      </x:c>
      <x:c r="G808" t="n">
        <x:v>0</x:v>
      </x:c>
      <x:c r="H808" t="n">
        <x:v>0</x:v>
      </x:c>
      <x:c r="I808" t="n">
        <x:v>0</x:v>
      </x:c>
      <x:c r="J808" t="n">
        <x:v>1</x:v>
      </x:c>
      <x:c r="K808" t="n">
        <x:f>SUM(E808:J808)</x:f>
        <x:v>1</x:v>
      </x:c>
      <x:c r="L808" s="163" t="n">
        <x:f>IFERROR(K808/D808,0)</x:f>
        <x:v>0.016686412254501157</x:v>
      </x:c>
      <x:c r="M808" s="160" t="str">
        <x:v>Presence-floor proxy only — 10k+ municipality completion</x:v>
      </x:c>
      <x:c r="N808" s="160" t="str">
        <x:v>Added under the &gt;=50k-county expansion rule: Census Vintage 2025 municipality population &gt;=10,000; general-purpose city-equivalent municipality; direct Census adjacency. Presence-floor proxy only — exact tracked-chain count requires municipal-boundary/GIS verification. Whole Foods Hyannis is county-selection evidence only because Hyannis is a village/postal locality within Barnstable Town rather than the municipality name used in the ranking.</x:v>
      </x:c>
      <x:c r="O808" s="160" t="str">
        <x:v>Barnstable County</x:v>
      </x:c>
    </x:row>
    <x:row r="809">
      <x:c r="A809" t="n">
        <x:v>852</x:v>
      </x:c>
      <x:c r="B809" t="str">
        <x:v>Glendale</x:v>
      </x:c>
      <x:c r="C809" t="str">
        <x:v>AZ</x:v>
      </x:c>
      <x:c r="D809" s="161" t="n">
        <x:v>59.976</x:v>
      </x:c>
      <x:c r="E809" t="n">
        <x:v>0</x:v>
      </x:c>
      <x:c r="F809" t="n">
        <x:v>0</x:v>
      </x:c>
      <x:c r="G809" t="n">
        <x:v>0</x:v>
      </x:c>
      <x:c r="H809" t="n">
        <x:v>0</x:v>
      </x:c>
      <x:c r="I809" t="n">
        <x:v>0</x:v>
      </x:c>
      <x:c r="J809" t="n">
        <x:v>1</x:v>
      </x:c>
      <x:c r="K809" t="n">
        <x:f>SUM(E809:J809)</x:f>
        <x:v>1</x:v>
      </x:c>
      <x:c r="L809" s="163" t="n">
        <x:f>IFERROR(K809/D809,0)</x:f>
        <x:v>0.016673336001067095</x:v>
      </x:c>
      <x:c r="M809" s="160" t="str">
        <x:v>Presence-floor proxy only</x:v>
      </x:c>
      <x:c r="N809" s="160" t="str">
        <x:v>One-store screening floor only; exact selected-chain count and 5-mile buffer require GIS verification.</x:v>
      </x:c>
      <x:c r="O809" s="160" t="str">
        <x:v>Maricopa County</x:v>
      </x:c>
    </x:row>
    <x:row r="810">
      <x:c r="A810" t="n">
        <x:v>853</x:v>
      </x:c>
      <x:c r="B810" t="str">
        <x:v>Turtlecreek Township</x:v>
      </x:c>
      <x:c r="C810" t="str">
        <x:v>OH</x:v>
      </x:c>
      <x:c r="D810" s="161" t="n">
        <x:v>60.212</x:v>
      </x:c>
      <x:c r="E810" t="n">
        <x:v>0</x:v>
      </x:c>
      <x:c r="F810" t="n">
        <x:v>0</x:v>
      </x:c>
      <x:c r="G810" t="n">
        <x:v>0</x:v>
      </x:c>
      <x:c r="H810" t="n">
        <x:v>0</x:v>
      </x:c>
      <x:c r="I810" t="n">
        <x:v>0</x:v>
      </x:c>
      <x:c r="J810" t="n">
        <x:v>1</x:v>
      </x:c>
      <x:c r="K810" t="n">
        <x:f>SUM(E810:J810)</x:f>
        <x:v>1</x:v>
      </x:c>
      <x:c r="L810" s="163" t="n">
        <x:f>IFERROR(K810/D810,0)</x:f>
        <x:v>0.01660798511924533</x:v>
      </x:c>
      <x:c r="M810" s="160" t="str">
        <x:v>Presence-floor proxy only — 10k+ municipality completion</x:v>
      </x:c>
      <x:c r="N810" s="160" t="str">
        <x:v>Added under the &gt;=50k-county expansion rule: Census Vintage 2025 municipality population &gt;=10,000; general-purpose city-equivalent municipality; direct Census adjacency. Presence-floor proxy only — exact tracked-chain count requires municipal-boundary/GIS verification.</x:v>
      </x:c>
      <x:c r="O810" s="160" t="str">
        <x:v>Warren County</x:v>
      </x:c>
    </x:row>
    <x:row r="811">
      <x:c r="A811" t="n">
        <x:v>854</x:v>
      </x:c>
      <x:c r="B811" t="str">
        <x:v>Howell Township</x:v>
      </x:c>
      <x:c r="C811" t="str">
        <x:v>NJ</x:v>
      </x:c>
      <x:c r="D811" s="161" t="n">
        <x:v>60.271</x:v>
      </x:c>
      <x:c r="E811" t="n">
        <x:v>0</x:v>
      </x:c>
      <x:c r="F811" t="n">
        <x:v>0</x:v>
      </x:c>
      <x:c r="G811" t="n">
        <x:v>0</x:v>
      </x:c>
      <x:c r="H811" t="n">
        <x:v>0</x:v>
      </x:c>
      <x:c r="I811" t="n">
        <x:v>0</x:v>
      </x:c>
      <x:c r="J811" t="n">
        <x:v>1</x:v>
      </x:c>
      <x:c r="K811" t="n">
        <x:f>SUM(E811:J811)</x:f>
        <x:v>1</x:v>
      </x:c>
      <x:c r="L811" s="163" t="n">
        <x:f>IFERROR(K811/D811,0)</x:f>
        <x:v>0.016591727364735943</x:v>
      </x:c>
      <x:c r="M811" s="160" t="str">
        <x:v>Presence-floor proxy only — 10k+ municipality completion</x:v>
      </x:c>
      <x:c r="N811" s="160" t="str">
        <x:v>Added under the 2026-09-14 broadened rule: Census Vintage 2025 population &gt;=10,000; general-purpose municipality serving a city-equivalent administrative role; county population &gt;=500,000. Presence-floor proxy only — exact tracked-chain count requires municipal-boundary/GIS verification.</x:v>
      </x:c>
      <x:c r="O811" s="160" t="str">
        <x:v>Monmouth County</x:v>
      </x:c>
    </x:row>
    <x:row r="812">
      <x:c r="A812" t="n">
        <x:v>856</x:v>
      </x:c>
      <x:c r="B812" t="str">
        <x:v>Honolulu</x:v>
      </x:c>
      <x:c r="C812" t="str">
        <x:v>HI</x:v>
      </x:c>
      <x:c r="D812" s="161" t="n">
        <x:v>60.521</x:v>
      </x:c>
      <x:c r="E812" t="n">
        <x:v>0</x:v>
      </x:c>
      <x:c r="F812" t="n">
        <x:v>0</x:v>
      </x:c>
      <x:c r="G812" t="n">
        <x:v>0</x:v>
      </x:c>
      <x:c r="H812" t="n">
        <x:v>0</x:v>
      </x:c>
      <x:c r="I812" t="n">
        <x:v>0</x:v>
      </x:c>
      <x:c r="J812" t="n">
        <x:v>1</x:v>
      </x:c>
      <x:c r="K812" t="n">
        <x:f>SUM(E812:J812)</x:f>
        <x:v>1</x:v>
      </x:c>
      <x:c r="L812" s="163" t="n">
        <x:f>IFERROR(K812/D812,0)</x:f>
        <x:v>0.016523190297582657</x:v>
      </x:c>
      <x:c r="M812" s="160" t="str">
        <x:v>Presence-floor proxy only</x:v>
      </x:c>
      <x:c r="N812" s="160" t="str">
        <x:v>One-store screening floor only; exact selected-chain count and 5-mile buffer require GIS verification.</x:v>
      </x:c>
      <x:c r="O812" s="160" t="str">
        <x:v>Honolulu County</x:v>
      </x:c>
    </x:row>
    <x:row r="813">
      <x:c r="A813" t="n">
        <x:v>857</x:v>
      </x:c>
      <x:c r="B813" t="str">
        <x:v>Springfield</x:v>
      </x:c>
      <x:c r="C813" t="str">
        <x:v>IL</x:v>
      </x:c>
      <x:c r="D813" s="161" t="n">
        <x:v>61.1</x:v>
      </x:c>
      <x:c r="E813" t="n">
        <x:v>0</x:v>
      </x:c>
      <x:c r="F813" t="n">
        <x:v>0</x:v>
      </x:c>
      <x:c r="G813" t="n">
        <x:v>0</x:v>
      </x:c>
      <x:c r="H813" t="n">
        <x:v>0</x:v>
      </x:c>
      <x:c r="I813" t="n">
        <x:v>0</x:v>
      </x:c>
      <x:c r="J813" t="n">
        <x:v>1</x:v>
      </x:c>
      <x:c r="K813" t="n">
        <x:f>SUM(E813:J813)</x:f>
        <x:v>1</x:v>
      </x:c>
      <x:c r="L813" s="163" t="n">
        <x:f>IFERROR(K813/D813,0)</x:f>
        <x:v>0.016366612111292964</x:v>
      </x:c>
      <x:c r="M813" s="160" t="str">
        <x:v>Presence-floor proxy only — 300-city expansion</x:v>
      </x:c>
      <x:c r="N813" s="160" t="str">
        <x:v>Added in the 300-city screening expansion. One-store screening floor only; exact selected-chain count and 5-mile buffer require GIS verification.</x:v>
      </x:c>
      <x:c r="O813" s="160" t="str">
        <x:v>Sangamon County</x:v>
      </x:c>
    </x:row>
    <x:row r="814">
      <x:c r="A814" t="n">
        <x:v>858</x:v>
      </x:c>
      <x:c r="B814" t="str">
        <x:v>Ramapo Town</x:v>
      </x:c>
      <x:c r="C814" t="str">
        <x:v>NY</x:v>
      </x:c>
      <x:c r="D814" s="161" t="n">
        <x:v>61.187</x:v>
      </x:c>
      <x:c r="E814" t="n">
        <x:v>0</x:v>
      </x:c>
      <x:c r="F814" t="n">
        <x:v>0</x:v>
      </x:c>
      <x:c r="G814" t="n">
        <x:v>0</x:v>
      </x:c>
      <x:c r="H814" t="n">
        <x:v>0</x:v>
      </x:c>
      <x:c r="I814" t="n">
        <x:v>0</x:v>
      </x:c>
      <x:c r="J814" t="n">
        <x:v>1</x:v>
      </x:c>
      <x:c r="K814" t="n">
        <x:f>SUM(E814:J814)</x:f>
        <x:v>1</x:v>
      </x:c>
      <x:c r="L814" s="163" t="n">
        <x:f>IFERROR(K814/D814,0)</x:f>
        <x:v>0.016343340905747954</x:v>
      </x:c>
      <x:c r="M814" s="160" t="str">
        <x:v>Presence-floor proxy only — 10k+ municipality completion</x:v>
      </x:c>
      <x:c r="N814"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Nested New York villages are excluded under the established non-overlapping towns convention.</x:v>
      </x:c>
      <x:c r="O814" s="160" t="str">
        <x:v>Rockland County</x:v>
      </x:c>
    </x:row>
    <x:row r="815">
      <x:c r="A815" t="n">
        <x:v>859</x:v>
      </x:c>
      <x:c r="B815" t="str">
        <x:v>Topeka</x:v>
      </x:c>
      <x:c r="C815" t="str">
        <x:v>KS</x:v>
      </x:c>
      <x:c r="D815" s="161" t="n">
        <x:v>61.4</x:v>
      </x:c>
      <x:c r="E815" t="n">
        <x:v>0</x:v>
      </x:c>
      <x:c r="F815" t="n">
        <x:v>0</x:v>
      </x:c>
      <x:c r="G815" t="n">
        <x:v>0</x:v>
      </x:c>
      <x:c r="H815" t="n">
        <x:v>0</x:v>
      </x:c>
      <x:c r="I815" t="n">
        <x:v>0</x:v>
      </x:c>
      <x:c r="J815" t="n">
        <x:v>1</x:v>
      </x:c>
      <x:c r="K815" t="n">
        <x:f>SUM(E815:J815)</x:f>
        <x:v>1</x:v>
      </x:c>
      <x:c r="L815" s="163" t="n">
        <x:f>IFERROR(K815/D815,0)</x:f>
        <x:v>0.016286644951140065</x:v>
      </x:c>
      <x:c r="M815" s="160" t="str">
        <x:v>Presence-floor proxy only — 250-city expansion</x:v>
      </x:c>
      <x:c r="N815" s="160" t="str">
        <x:v>Added in the 250-city screening expansion. One-store screening floor only; exact selected-chain count and 5-mile buffer require GIS verification.</x:v>
      </x:c>
      <x:c r="O815" s="160" t="str">
        <x:v>Shawnee County</x:v>
      </x:c>
    </x:row>
    <x:row r="816">
      <x:c r="A816" t="n">
        <x:v>860</x:v>
      </x:c>
      <x:c r="B816" t="str">
        <x:v>Pemberton Township</x:v>
      </x:c>
      <x:c r="C816" t="str">
        <x:v>NJ</x:v>
      </x:c>
      <x:c r="D816" s="161" t="n">
        <x:v>61.556</x:v>
      </x:c>
      <x:c r="E816" t="n">
        <x:v>0</x:v>
      </x:c>
      <x:c r="F816" t="n">
        <x:v>0</x:v>
      </x:c>
      <x:c r="G816" t="n">
        <x:v>0</x:v>
      </x:c>
      <x:c r="H816" t="n">
        <x:v>0</x:v>
      </x:c>
      <x:c r="I816" t="n">
        <x:v>0</x:v>
      </x:c>
      <x:c r="J816" t="n">
        <x:v>1</x:v>
      </x:c>
      <x:c r="K816" t="n">
        <x:f>SUM(E816:J816)</x:f>
        <x:v>1</x:v>
      </x:c>
      <x:c r="L816" s="163" t="n">
        <x:f>IFERROR(K816/D816,0)</x:f>
        <x:v>0.016245370069530186</x:v>
      </x:c>
      <x:c r="M816" s="160" t="str">
        <x:v>Presence-floor proxy only — 10k+ municipality completion</x:v>
      </x:c>
      <x:c r="N816"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Whole Foods Marlton and Wegmans Mt. Laurel are county-selection evidence only; no municipal chain count is assigned without boundary verification.</x:v>
      </x:c>
      <x:c r="O816" s="160" t="str">
        <x:v>Burlington County</x:v>
      </x:c>
    </x:row>
    <x:row r="817">
      <x:c r="A817" t="n">
        <x:v>862</x:v>
      </x:c>
      <x:c r="B817" t="str">
        <x:v>Stockton</x:v>
      </x:c>
      <x:c r="C817" t="str">
        <x:v>CA</x:v>
      </x:c>
      <x:c r="D817" s="161" t="n">
        <x:v>61.67</x:v>
      </x:c>
      <x:c r="E817" t="n">
        <x:v>0</x:v>
      </x:c>
      <x:c r="F817" t="n">
        <x:v>0</x:v>
      </x:c>
      <x:c r="G817" t="n">
        <x:v>0</x:v>
      </x:c>
      <x:c r="H817" t="n">
        <x:v>0</x:v>
      </x:c>
      <x:c r="I817" t="n">
        <x:v>0</x:v>
      </x:c>
      <x:c r="J817" t="n">
        <x:v>1</x:v>
      </x:c>
      <x:c r="K817" t="n">
        <x:f>SUM(E817:J817)</x:f>
        <x:v>1</x:v>
      </x:c>
      <x:c r="L817" s="163" t="n">
        <x:f>IFERROR(K817/D817,0)</x:f>
        <x:v>0.016215339711366954</x:v>
      </x:c>
      <x:c r="M817" s="160" t="str">
        <x:v>Presence-floor proxy only</x:v>
      </x:c>
      <x:c r="N817" s="160" t="str">
        <x:v>One-store screening floor only; exact selected-chain count and 5-mile buffer require GIS verification.</x:v>
      </x:c>
      <x:c r="O817" s="160" t="str">
        <x:v>San Joaquin County</x:v>
      </x:c>
    </x:row>
    <x:row r="818">
      <x:c r="A818" t="n">
        <x:v>863</x:v>
      </x:c>
      <x:c r="B818" t="str">
        <x:v>St. Petersburg</x:v>
      </x:c>
      <x:c r="C818" t="str">
        <x:v>FL</x:v>
      </x:c>
      <x:c r="D818" s="161" t="n">
        <x:v>61.742</x:v>
      </x:c>
      <x:c r="E818" t="n">
        <x:v>0</x:v>
      </x:c>
      <x:c r="F818" t="n">
        <x:v>0</x:v>
      </x:c>
      <x:c r="G818" t="n">
        <x:v>0</x:v>
      </x:c>
      <x:c r="H818" t="n">
        <x:v>0</x:v>
      </x:c>
      <x:c r="I818" t="n">
        <x:v>0</x:v>
      </x:c>
      <x:c r="J818" t="n">
        <x:v>1</x:v>
      </x:c>
      <x:c r="K818" t="n">
        <x:f>SUM(E818:J818)</x:f>
        <x:v>1</x:v>
      </x:c>
      <x:c r="L818" s="163" t="n">
        <x:f>IFERROR(K818/D818,0)</x:f>
        <x:v>0.01619643030676039</x:v>
      </x:c>
      <x:c r="M818" s="160" t="str">
        <x:v>Presence-floor proxy only</x:v>
      </x:c>
      <x:c r="N818" s="160" t="str">
        <x:v>One-store screening floor only; exact selected-chain count and 5-mile buffer require GIS verification.</x:v>
      </x:c>
      <x:c r="O818" s="160" t="str">
        <x:v>Pinellas County</x:v>
      </x:c>
    </x:row>
    <x:row r="819">
      <x:c r="A819" t="n">
        <x:v>864</x:v>
      </x:c>
      <x:c r="B819" t="str">
        <x:v>Wallkill Town</x:v>
      </x:c>
      <x:c r="C819" t="str">
        <x:v>NY</x:v>
      </x:c>
      <x:c r="D819" s="161" t="n">
        <x:v>61.888</x:v>
      </x:c>
      <x:c r="E819" t="n">
        <x:v>0</x:v>
      </x:c>
      <x:c r="F819" t="n">
        <x:v>0</x:v>
      </x:c>
      <x:c r="G819" t="n">
        <x:v>0</x:v>
      </x:c>
      <x:c r="H819" t="n">
        <x:v>0</x:v>
      </x:c>
      <x:c r="I819" t="n">
        <x:v>0</x:v>
      </x:c>
      <x:c r="J819" t="n">
        <x:v>1</x:v>
      </x:c>
      <x:c r="K819" t="n">
        <x:f>SUM(E819:J819)</x:f>
        <x:v>1</x:v>
      </x:c>
      <x:c r="L819" s="163" t="n">
        <x:f>IFERROR(K819/D819,0)</x:f>
        <x:v>0.016158221302998967</x:v>
      </x:c>
      <x:c r="M819" s="160" t="str">
        <x:v>Presence-floor proxy only — 10k+ municipality completion</x:v>
      </x:c>
      <x:c r="N819"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819" s="160" t="str">
        <x:v>Orange County</x:v>
      </x:c>
    </x:row>
    <x:row r="820">
      <x:c r="A820" t="n">
        <x:v>865</x:v>
      </x:c>
      <x:c r="B820" t="str">
        <x:v>Tuscaloosa</x:v>
      </x:c>
      <x:c r="C820" t="str">
        <x:v>AL</x:v>
      </x:c>
      <x:c r="D820" s="161" t="n">
        <x:v>61.9</x:v>
      </x:c>
      <x:c r="E820" t="n">
        <x:v>0</x:v>
      </x:c>
      <x:c r="F820" t="n">
        <x:v>0</x:v>
      </x:c>
      <x:c r="G820" t="n">
        <x:v>0</x:v>
      </x:c>
      <x:c r="H820" t="n">
        <x:v>0</x:v>
      </x:c>
      <x:c r="I820" t="n">
        <x:v>0</x:v>
      </x:c>
      <x:c r="J820" t="n">
        <x:v>1</x:v>
      </x:c>
      <x:c r="K820" t="n">
        <x:f>SUM(E820:J820)</x:f>
        <x:v>1</x:v>
      </x:c>
      <x:c r="L820" s="163" t="n">
        <x:f>IFERROR(K820/D820,0)</x:f>
        <x:v>0.01615508885298869</x:v>
      </x:c>
      <x:c r="M820" s="160" t="str">
        <x:v>Presence-floor proxy only — 300-city expansion</x:v>
      </x:c>
      <x:c r="N820" s="160" t="str">
        <x:v>Added in the 300-city screening expansion. One-store screening floor only; exact selected-chain count and 5-mile buffer require GIS verification.</x:v>
      </x:c>
      <x:c r="O820" s="160" t="str">
        <x:v>Tuscaloosa County</x:v>
      </x:c>
    </x:row>
    <x:row r="821">
      <x:c r="A821" t="n">
        <x:v>866</x:v>
      </x:c>
      <x:c r="B821" t="str">
        <x:v>Olathe</x:v>
      </x:c>
      <x:c r="C821" t="str">
        <x:v>KS</x:v>
      </x:c>
      <x:c r="D821" s="161" t="n">
        <x:v>61.9</x:v>
      </x:c>
      <x:c r="E821" t="n">
        <x:v>0</x:v>
      </x:c>
      <x:c r="F821" t="n">
        <x:v>0</x:v>
      </x:c>
      <x:c r="G821" t="n">
        <x:v>0</x:v>
      </x:c>
      <x:c r="H821" t="n">
        <x:v>0</x:v>
      </x:c>
      <x:c r="I821" t="n">
        <x:v>0</x:v>
      </x:c>
      <x:c r="J821" t="n">
        <x:v>1</x:v>
      </x:c>
      <x:c r="K821" t="n">
        <x:f>SUM(E821:J821)</x:f>
        <x:v>1</x:v>
      </x:c>
      <x:c r="L821" s="163" t="n">
        <x:f>IFERROR(K821/D821,0)</x:f>
        <x:v>0.01615508885298869</x:v>
      </x:c>
      <x:c r="M821" s="160" t="str">
        <x:v>Presence-floor proxy only — 200-city expansion</x:v>
      </x:c>
      <x:c r="N821" s="160" t="str">
        <x:v>Added in the 200-city screening expansion. One-store screening floor only; exact selected-chain count and 5-mile buffer require GIS verification.</x:v>
      </x:c>
      <x:c r="O821" s="160" t="str">
        <x:v>Johnson County</x:v>
      </x:c>
    </x:row>
    <x:row r="822">
      <x:c r="A822" t="n">
        <x:v>867</x:v>
      </x:c>
      <x:c r="B822" t="str">
        <x:v>Akron</x:v>
      </x:c>
      <x:c r="C822" t="str">
        <x:v>OH</x:v>
      </x:c>
      <x:c r="D822" s="161" t="n">
        <x:v>61.9</x:v>
      </x:c>
      <x:c r="E822" t="n">
        <x:v>0</x:v>
      </x:c>
      <x:c r="F822" t="n">
        <x:v>0</x:v>
      </x:c>
      <x:c r="G822" t="n">
        <x:v>0</x:v>
      </x:c>
      <x:c r="H822" t="n">
        <x:v>0</x:v>
      </x:c>
      <x:c r="I822" t="n">
        <x:v>0</x:v>
      </x:c>
      <x:c r="J822" t="n">
        <x:v>1</x:v>
      </x:c>
      <x:c r="K822" t="n">
        <x:f>SUM(E822:J822)</x:f>
        <x:v>1</x:v>
      </x:c>
      <x:c r="L822" s="163" t="n">
        <x:f>IFERROR(K822/D822,0)</x:f>
        <x:v>0.01615508885298869</x:v>
      </x:c>
      <x:c r="M822" s="160" t="str">
        <x:v>Presence-floor proxy only — 200-city expansion</x:v>
      </x:c>
      <x:c r="N822" s="160" t="str">
        <x:v>Added in the 200-city screening expansion. One-store screening floor only; exact selected-chain count and 5-mile buffer require GIS verification.</x:v>
      </x:c>
      <x:c r="O822" s="160" t="str">
        <x:v>Summit County</x:v>
      </x:c>
    </x:row>
    <x:row r="823">
      <x:c r="A823" t="n">
        <x:v>868</x:v>
      </x:c>
      <x:c r="B823" t="str">
        <x:v>St. Louis</x:v>
      </x:c>
      <x:c r="C823" t="str">
        <x:v>MO</x:v>
      </x:c>
      <x:c r="D823" s="161" t="n">
        <x:v>61.909</x:v>
      </x:c>
      <x:c r="E823" t="n">
        <x:v>0</x:v>
      </x:c>
      <x:c r="F823" t="n">
        <x:v>0</x:v>
      </x:c>
      <x:c r="G823" t="n">
        <x:v>0</x:v>
      </x:c>
      <x:c r="H823" t="n">
        <x:v>0</x:v>
      </x:c>
      <x:c r="I823" t="n">
        <x:v>0</x:v>
      </x:c>
      <x:c r="J823" t="n">
        <x:v>1</x:v>
      </x:c>
      <x:c r="K823" t="n">
        <x:f>SUM(E823:J823)</x:f>
        <x:v>1</x:v>
      </x:c>
      <x:c r="L823" s="163" t="n">
        <x:f>IFERROR(K823/D823,0)</x:f>
        <x:v>0.016152740312394</x:v>
      </x:c>
      <x:c r="M823" s="160" t="str">
        <x:v>Presence-floor proxy only</x:v>
      </x:c>
      <x:c r="N823" s="160" t="str">
        <x:v>One-store screening floor only; exact selected-chain count and 5-mile buffer require GIS verification.</x:v>
      </x:c>
      <x:c r="O823" s="160" t="str">
        <x:v>St. Louis city</x:v>
      </x:c>
    </x:row>
    <x:row r="824">
      <x:c r="A824" t="n">
        <x:v>869</x:v>
      </x:c>
      <x:c r="B824" t="str">
        <x:v>Upper Township</x:v>
      </x:c>
      <x:c r="C824" t="str">
        <x:v>NJ</x:v>
      </x:c>
      <x:c r="D824" s="161" t="n">
        <x:v>62.027</x:v>
      </x:c>
      <x:c r="E824" t="n">
        <x:v>0</x:v>
      </x:c>
      <x:c r="F824" t="n">
        <x:v>0</x:v>
      </x:c>
      <x:c r="G824" t="n">
        <x:v>0</x:v>
      </x:c>
      <x:c r="H824" t="n">
        <x:v>0</x:v>
      </x:c>
      <x:c r="I824" t="n">
        <x:v>0</x:v>
      </x:c>
      <x:c r="J824" t="n">
        <x:v>1</x:v>
      </x:c>
      <x:c r="K824" t="n">
        <x:f>SUM(E824:J824)</x:f>
        <x:v>1</x:v>
      </x:c>
      <x:c r="L824" s="163" t="n">
        <x:f>IFERROR(K824/D824,0)</x:f>
        <x:v>0.016122011382140037</x:v>
      </x:c>
      <x:c r="M824" s="160" t="str">
        <x:v>Presence-floor proxy only — 10k+ municipality completion</x:v>
      </x:c>
      <x:c r="N824" s="160" t="str">
        <x:v>Added under the &gt;=50k-county expansion rule: Census Vintage 2025 municipality population &gt;=10,000; general-purpose city-equivalent municipality; direct Census adjacency. Presence-floor proxy only — exact tracked-chain count requires municipal-boundary/GIS verification. Upper Township is confirmed above 10,000 in Census V2025; Lower, Middle, and Ocean City also remain above the municipal screen.</x:v>
      </x:c>
      <x:c r="O824" s="160" t="str">
        <x:v>Cape May County</x:v>
      </x:c>
    </x:row>
    <x:row r="825">
      <x:c r="A825" t="n">
        <x:v>870</x:v>
      </x:c>
      <x:c r="B825" t="str">
        <x:v>San Bernardino</x:v>
      </x:c>
      <x:c r="C825" t="str">
        <x:v>CA</x:v>
      </x:c>
      <x:c r="D825" s="161" t="n">
        <x:v>62.1</x:v>
      </x:c>
      <x:c r="E825" t="n">
        <x:v>0</x:v>
      </x:c>
      <x:c r="F825" t="n">
        <x:v>0</x:v>
      </x:c>
      <x:c r="G825" t="n">
        <x:v>0</x:v>
      </x:c>
      <x:c r="H825" t="n">
        <x:v>0</x:v>
      </x:c>
      <x:c r="I825" t="n">
        <x:v>0</x:v>
      </x:c>
      <x:c r="J825" t="n">
        <x:v>1</x:v>
      </x:c>
      <x:c r="K825" t="n">
        <x:f>SUM(E825:J825)</x:f>
        <x:v>1</x:v>
      </x:c>
      <x:c r="L825" s="163" t="n">
        <x:f>IFERROR(K825/D825,0)</x:f>
        <x:v>0.01610305958132045</x:v>
      </x:c>
      <x:c r="M825" s="160" t="str">
        <x:v>Presence-floor proxy only — 200-city expansion</x:v>
      </x:c>
      <x:c r="N825" s="160" t="str">
        <x:v>Added in the 200-city screening expansion. One-store screening floor only; exact selected-chain count and 5-mile buffer require GIS verification.</x:v>
      </x:c>
      <x:c r="O825" s="160" t="str">
        <x:v>San Bernardino County</x:v>
      </x:c>
    </x:row>
    <x:row r="826">
      <x:c r="A826" t="n">
        <x:v>871</x:v>
      </x:c>
      <x:c r="B826" t="str">
        <x:v>McAllen</x:v>
      </x:c>
      <x:c r="C826" t="str">
        <x:v>TX</x:v>
      </x:c>
      <x:c r="D826" s="161" t="n">
        <x:v>62.3</x:v>
      </x:c>
      <x:c r="E826" t="n">
        <x:v>0</x:v>
      </x:c>
      <x:c r="F826" t="n">
        <x:v>0</x:v>
      </x:c>
      <x:c r="G826" t="n">
        <x:v>0</x:v>
      </x:c>
      <x:c r="H826" t="n">
        <x:v>0</x:v>
      </x:c>
      <x:c r="I826" t="n">
        <x:v>0</x:v>
      </x:c>
      <x:c r="J826" t="n">
        <x:v>1</x:v>
      </x:c>
      <x:c r="K826" t="n">
        <x:f>SUM(E826:J826)</x:f>
        <x:v>1</x:v>
      </x:c>
      <x:c r="L826" s="163" t="n">
        <x:f>IFERROR(K826/D826,0)</x:f>
        <x:v>0.01605136436597111</x:v>
      </x:c>
      <x:c r="M826" s="160" t="str">
        <x:v>Presence-floor proxy only — 200-city expansion</x:v>
      </x:c>
      <x:c r="N826" s="160" t="str">
        <x:v>Added in the 200-city screening expansion. One-store screening floor only; exact selected-chain count and 5-mile buffer require GIS verification.</x:v>
      </x:c>
      <x:c r="O826" s="160" t="str">
        <x:v>Hidalgo County</x:v>
      </x:c>
    </x:row>
    <x:row r="827">
      <x:c r="A827" t="n">
        <x:v>872</x:v>
      </x:c>
      <x:c r="B827" t="str">
        <x:v>Murfreesboro</x:v>
      </x:c>
      <x:c r="C827" t="str">
        <x:v>TN</x:v>
      </x:c>
      <x:c r="D827" s="161" t="n">
        <x:v>62.9</x:v>
      </x:c>
      <x:c r="E827" t="n">
        <x:v>0</x:v>
      </x:c>
      <x:c r="F827" t="n">
        <x:v>0</x:v>
      </x:c>
      <x:c r="G827" t="n">
        <x:v>0</x:v>
      </x:c>
      <x:c r="H827" t="n">
        <x:v>0</x:v>
      </x:c>
      <x:c r="I827" t="n">
        <x:v>0</x:v>
      </x:c>
      <x:c r="J827" t="n">
        <x:v>1</x:v>
      </x:c>
      <x:c r="K827" t="n">
        <x:f>SUM(E827:J827)</x:f>
        <x:v>1</x:v>
      </x:c>
      <x:c r="L827" s="163" t="n">
        <x:f>IFERROR(K827/D827,0)</x:f>
        <x:v>0.01589825119236884</x:v>
      </x:c>
      <x:c r="M827" s="160" t="str">
        <x:v>Presence-floor proxy only — 200-city expansion</x:v>
      </x:c>
      <x:c r="N827" s="160" t="str">
        <x:v>Added in the 200-city screening expansion. One-store screening floor only; exact selected-chain count and 5-mile buffer require GIS verification.</x:v>
      </x:c>
      <x:c r="O827" s="160" t="str">
        <x:v>Rutherford County</x:v>
      </x:c>
    </x:row>
    <x:row r="828">
      <x:c r="A828" t="n">
        <x:v>873</x:v>
      </x:c>
      <x:c r="B828" t="str">
        <x:v>Broken Arrow</x:v>
      </x:c>
      <x:c r="C828" t="str">
        <x:v>OK</x:v>
      </x:c>
      <x:c r="D828" s="161" t="n">
        <x:v>63</x:v>
      </x:c>
      <x:c r="E828" t="n">
        <x:v>0</x:v>
      </x:c>
      <x:c r="F828" t="n">
        <x:v>0</x:v>
      </x:c>
      <x:c r="G828" t="n">
        <x:v>0</x:v>
      </x:c>
      <x:c r="H828" t="n">
        <x:v>0</x:v>
      </x:c>
      <x:c r="I828" t="n">
        <x:v>0</x:v>
      </x:c>
      <x:c r="J828" t="n">
        <x:v>1</x:v>
      </x:c>
      <x:c r="K828" t="n">
        <x:f>SUM(E828:J828)</x:f>
        <x:v>1</x:v>
      </x:c>
      <x:c r="L828" s="163" t="n">
        <x:f>IFERROR(K828/D828,0)</x:f>
        <x:v>0.015873015873015872</x:v>
      </x:c>
      <x:c r="M828" s="160" t="str">
        <x:v>Presence-floor proxy only — 250-city expansion</x:v>
      </x:c>
      <x:c r="N828" s="160" t="str">
        <x:v>Added in the 250-city screening expansion. One-store screening floor only; exact selected-chain count and 5-mile buffer require GIS verification.</x:v>
      </x:c>
      <x:c r="O828" s="160" t="str">
        <x:v>Tulsa County</x:v>
      </x:c>
    </x:row>
    <x:row r="829">
      <x:c r="A829" t="n">
        <x:v>874</x:v>
      </x:c>
      <x:c r="B829" t="str">
        <x:v>Gainesville</x:v>
      </x:c>
      <x:c r="C829" t="str">
        <x:v>FL</x:v>
      </x:c>
      <x:c r="D829" s="161" t="n">
        <x:v>63.2</x:v>
      </x:c>
      <x:c r="E829" t="n">
        <x:v>0</x:v>
      </x:c>
      <x:c r="F829" t="n">
        <x:v>0</x:v>
      </x:c>
      <x:c r="G829" t="n">
        <x:v>0</x:v>
      </x:c>
      <x:c r="H829" t="n">
        <x:v>0</x:v>
      </x:c>
      <x:c r="I829" t="n">
        <x:v>0</x:v>
      </x:c>
      <x:c r="J829" t="n">
        <x:v>1</x:v>
      </x:c>
      <x:c r="K829" t="n">
        <x:f>SUM(E829:J829)</x:f>
        <x:v>1</x:v>
      </x:c>
      <x:c r="L829" s="163" t="n">
        <x:f>IFERROR(K829/D829,0)</x:f>
        <x:v>0.01582278481012658</x:v>
      </x:c>
      <x:c r="M829" s="160" t="str">
        <x:v>Presence-floor proxy only — 200-city expansion</x:v>
      </x:c>
      <x:c r="N829" s="160" t="str">
        <x:v>Added in the 200-city screening expansion. One-store screening floor only; exact selected-chain count and 5-mile buffer require GIS verification.</x:v>
      </x:c>
      <x:c r="O829" s="160" t="str">
        <x:v>Alachua County</x:v>
      </x:c>
    </x:row>
    <x:row r="830">
      <x:c r="A830" t="n">
        <x:v>875</x:v>
      </x:c>
      <x:c r="B830" t="str">
        <x:v>Greensboro</x:v>
      </x:c>
      <x:c r="C830" t="str">
        <x:v>NC</x:v>
      </x:c>
      <x:c r="D830" s="161" t="n">
        <x:v>126.515</x:v>
      </x:c>
      <x:c r="E830" t="n">
        <x:v>0</x:v>
      </x:c>
      <x:c r="F830" t="n">
        <x:v>0</x:v>
      </x:c>
      <x:c r="G830" t="n">
        <x:v>2</x:v>
      </x:c>
      <x:c r="H830" t="n">
        <x:v>0</x:v>
      </x:c>
      <x:c r="I830" t="n">
        <x:v>0</x:v>
      </x:c>
      <x:c r="J830" t="n">
        <x:v>0</x:v>
      </x:c>
      <x:c r="K830" t="n">
        <x:f>SUM(E830:J830)</x:f>
        <x:v>2</x:v>
      </x:c>
      <x:c r="L830" s="163" t="n">
        <x:f>IFERROR(K830/D830,0)</x:f>
        <x:v>0.015808402165751096</x:v>
      </x:c>
      <x:c r="M830" s="160" t="str">
        <x:v>Confirmed lower bound</x:v>
      </x:c>
      <x:c r="N830" s="160" t="str">
        <x:v>Verified public-directory count for ≥1 major chain; other selected chains and 5-mile spillover omitted.</x:v>
      </x:c>
      <x:c r="O830" s="160" t="str">
        <x:v>Guilford County</x:v>
      </x:c>
    </x:row>
    <x:row r="831">
      <x:c r="A831" t="n">
        <x:v>876</x:v>
      </x:c>
      <x:c r="B831" t="str">
        <x:v>Concord</x:v>
      </x:c>
      <x:c r="C831" t="str">
        <x:v>NC</x:v>
      </x:c>
      <x:c r="D831" s="161" t="n">
        <x:v>63.5</x:v>
      </x:c>
      <x:c r="E831" t="n">
        <x:v>0</x:v>
      </x:c>
      <x:c r="F831" t="n">
        <x:v>0</x:v>
      </x:c>
      <x:c r="G831" t="n">
        <x:v>0</x:v>
      </x:c>
      <x:c r="H831" t="n">
        <x:v>0</x:v>
      </x:c>
      <x:c r="I831" t="n">
        <x:v>0</x:v>
      </x:c>
      <x:c r="J831" t="n">
        <x:v>1</x:v>
      </x:c>
      <x:c r="K831" t="n">
        <x:f>SUM(E831:J831)</x:f>
        <x:v>1</x:v>
      </x:c>
      <x:c r="L831" s="163" t="n">
        <x:f>IFERROR(K831/D831,0)</x:f>
        <x:v>0.015748031496062992</x:v>
      </x:c>
      <x:c r="M831" s="160" t="str">
        <x:v>Presence-floor proxy only — 300-city expansion</x:v>
      </x:c>
      <x:c r="N831" s="160" t="str">
        <x:v>Added in the 300-city screening expansion. One-store screening floor only; exact selected-chain count and 5-mile buffer require GIS verification.</x:v>
      </x:c>
      <x:c r="O831" s="160" t="str">
        <x:v>Cabarrus County</x:v>
      </x:c>
    </x:row>
    <x:row r="832">
      <x:c r="A832" t="n">
        <x:v>877</x:v>
      </x:c>
      <x:c r="B832" t="str">
        <x:v>Concord City</x:v>
      </x:c>
      <x:c r="C832" t="str">
        <x:v>NH</x:v>
      </x:c>
      <x:c r="D832" s="161" t="n">
        <x:v>63.94</x:v>
      </x:c>
      <x:c r="E832" t="n">
        <x:v>0</x:v>
      </x:c>
      <x:c r="F832" t="n">
        <x:v>0</x:v>
      </x:c>
      <x:c r="G832" t="n">
        <x:v>0</x:v>
      </x:c>
      <x:c r="H832" t="n">
        <x:v>0</x:v>
      </x:c>
      <x:c r="I832" t="n">
        <x:v>0</x:v>
      </x:c>
      <x:c r="J832" t="n">
        <x:v>1</x:v>
      </x:c>
      <x:c r="K832" t="n">
        <x:f>SUM(E832:J832)</x:f>
        <x:v>1</x:v>
      </x:c>
      <x:c r="L832" s="163" t="n">
        <x:f>IFERROR(K832/D832,0)</x:f>
        <x:v>0.01563966218329684</x:v>
      </x:c>
      <x:c r="M832" s="160" t="str">
        <x:v>Presence-floor proxy only — 10k+ municipality completion</x:v>
      </x:c>
      <x:c r="N832" s="160" t="str">
        <x:v>Added under the &gt;=50k-county expansion rule: Census Vintage 2025 municipality population &gt;=10,000; general-purpose city-equivalent municipality; direct Census adjacency. Presence-floor proxy only — exact tracked-chain count requires municipal-boundary/GIS verification. Hooksett is V2025 15,346; Bow and other nearby towns remain below 10,000.</x:v>
      </x:c>
      <x:c r="O832" s="160" t="str">
        <x:v>Merrimack County</x:v>
      </x:c>
    </x:row>
    <x:row r="833">
      <x:c r="A833" t="n">
        <x:v>878</x:v>
      </x:c>
      <x:c r="B833" t="str">
        <x:v>Chandler</x:v>
      </x:c>
      <x:c r="C833" t="str">
        <x:v>AZ</x:v>
      </x:c>
      <x:c r="D833" s="161" t="n">
        <x:v>64.413</x:v>
      </x:c>
      <x:c r="E833" t="n">
        <x:v>0</x:v>
      </x:c>
      <x:c r="F833" t="n">
        <x:v>0</x:v>
      </x:c>
      <x:c r="G833" t="n">
        <x:v>0</x:v>
      </x:c>
      <x:c r="H833" t="n">
        <x:v>0</x:v>
      </x:c>
      <x:c r="I833" t="n">
        <x:v>0</x:v>
      </x:c>
      <x:c r="J833" t="n">
        <x:v>1</x:v>
      </x:c>
      <x:c r="K833" t="n">
        <x:f>SUM(E833:J833)</x:f>
        <x:v>1</x:v>
      </x:c>
      <x:c r="L833" s="163" t="n">
        <x:f>IFERROR(K833/D833,0)</x:f>
        <x:v>0.015524816419045845</x:v>
      </x:c>
      <x:c r="M833" s="160" t="str">
        <x:v>Presence-floor proxy only</x:v>
      </x:c>
      <x:c r="N833" s="160" t="str">
        <x:v>One-store screening floor only; exact selected-chain count and 5-mile buffer require GIS verification.</x:v>
      </x:c>
      <x:c r="O833" s="160" t="str">
        <x:v>Maricopa County</x:v>
      </x:c>
    </x:row>
    <x:row r="834">
      <x:c r="A834" t="n">
        <x:v>879</x:v>
      </x:c>
      <x:c r="B834" t="str">
        <x:v>Joliet</x:v>
      </x:c>
      <x:c r="C834" t="str">
        <x:v>IL</x:v>
      </x:c>
      <x:c r="D834" s="161" t="n">
        <x:v>64.5</x:v>
      </x:c>
      <x:c r="E834" t="n">
        <x:v>0</x:v>
      </x:c>
      <x:c r="F834" t="n">
        <x:v>0</x:v>
      </x:c>
      <x:c r="G834" t="n">
        <x:v>0</x:v>
      </x:c>
      <x:c r="H834" t="n">
        <x:v>0</x:v>
      </x:c>
      <x:c r="I834" t="n">
        <x:v>0</x:v>
      </x:c>
      <x:c r="J834" t="n">
        <x:v>1</x:v>
      </x:c>
      <x:c r="K834" t="n">
        <x:f>SUM(E834:J834)</x:f>
        <x:v>1</x:v>
      </x:c>
      <x:c r="L834" s="163" t="n">
        <x:f>IFERROR(K834/D834,0)</x:f>
        <x:v>0.015503875968992248</x:v>
      </x:c>
      <x:c r="M834" s="160" t="str">
        <x:v>Presence-floor proxy only — 200-city expansion</x:v>
      </x:c>
      <x:c r="N834" s="160" t="str">
        <x:v>Added in the 200-city screening expansion. One-store screening floor only; exact selected-chain count and 5-mile buffer require GIS verification.</x:v>
      </x:c>
      <x:c r="O834" s="160" t="str">
        <x:v>Will County</x:v>
      </x:c>
    </x:row>
    <x:row r="835">
      <x:c r="A835" t="n">
        <x:v>880</x:v>
      </x:c>
      <x:c r="B835" t="str">
        <x:v>Rockford</x:v>
      </x:c>
      <x:c r="C835" t="str">
        <x:v>IL</x:v>
      </x:c>
      <x:c r="D835" s="161" t="n">
        <x:v>64.5</x:v>
      </x:c>
      <x:c r="E835" t="n">
        <x:v>0</x:v>
      </x:c>
      <x:c r="F835" t="n">
        <x:v>0</x:v>
      </x:c>
      <x:c r="G835" t="n">
        <x:v>0</x:v>
      </x:c>
      <x:c r="H835" t="n">
        <x:v>0</x:v>
      </x:c>
      <x:c r="I835" t="n">
        <x:v>0</x:v>
      </x:c>
      <x:c r="J835" t="n">
        <x:v>1</x:v>
      </x:c>
      <x:c r="K835" t="n">
        <x:f>SUM(E835:J835)</x:f>
        <x:v>1</x:v>
      </x:c>
      <x:c r="L835" s="163" t="n">
        <x:f>IFERROR(K835/D835,0)</x:f>
        <x:v>0.015503875968992248</x:v>
      </x:c>
      <x:c r="M835" s="160" t="str">
        <x:v>Presence-floor proxy only — 200-city expansion</x:v>
      </x:c>
      <x:c r="N835" s="160" t="str">
        <x:v>Added in the 200-city screening expansion. One-store screening floor only; exact selected-chain count and 5-mile buffer require GIS verification.</x:v>
      </x:c>
      <x:c r="O835" s="160" t="str">
        <x:v>Winnebago County</x:v>
      </x:c>
    </x:row>
    <x:row r="836">
      <x:c r="A836" t="n">
        <x:v>881</x:v>
      </x:c>
      <x:c r="B836" t="str">
        <x:v>Saugerties town</x:v>
      </x:c>
      <x:c r="C836" t="str">
        <x:v>NY</x:v>
      </x:c>
      <x:c r="D836" s="161" t="n">
        <x:v>64.577</x:v>
      </x:c>
      <x:c r="E836" t="n">
        <x:v>0</x:v>
      </x:c>
      <x:c r="F836" t="n">
        <x:v>0</x:v>
      </x:c>
      <x:c r="G836" t="n">
        <x:v>0</x:v>
      </x:c>
      <x:c r="H836" t="n">
        <x:v>0</x:v>
      </x:c>
      <x:c r="I836" t="n">
        <x:v>0</x:v>
      </x:c>
      <x:c r="J836" t="n">
        <x:v>1</x:v>
      </x:c>
      <x:c r="K836" t="n">
        <x:f>SUM(E836:J836)</x:f>
        <x:v>1</x:v>
      </x:c>
      <x:c r="L836" s="163" t="n">
        <x:f>IFERROR(K836/D836,0)</x:f>
        <x:v>0.015485389534973753</x:v>
      </x:c>
      <x:c r="M836" s="160" t="str">
        <x:v>Presence-floor proxy only — 10k+ municipality completion</x:v>
      </x:c>
      <x:c r="N836"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836" s="160" t="str">
        <x:v>Ulster County</x:v>
      </x:c>
    </x:row>
    <x:row r="837">
      <x:c r="A837" t="n">
        <x:v>882</x:v>
      </x:c>
      <x:c r="B837" t="str">
        <x:v>Irvine</x:v>
      </x:c>
      <x:c r="C837" t="str">
        <x:v>CA</x:v>
      </x:c>
      <x:c r="D837" s="161" t="n">
        <x:v>66.106</x:v>
      </x:c>
      <x:c r="E837" t="n">
        <x:v>1</x:v>
      </x:c>
      <x:c r="F837" t="n">
        <x:v>0</x:v>
      </x:c>
      <x:c r="G837" t="n">
        <x:v>0</x:v>
      </x:c>
      <x:c r="H837" t="n">
        <x:v>0</x:v>
      </x:c>
      <x:c r="I837" t="n">
        <x:v>0</x:v>
      </x:c>
      <x:c r="J837" t="n">
        <x:v>0</x:v>
      </x:c>
      <x:c r="K837" t="n">
        <x:f>SUM(E837:J837)</x:f>
        <x:v>1</x:v>
      </x:c>
      <x:c r="L837" s="163" t="n">
        <x:f>IFERROR(K837/D837,0)</x:f>
        <x:v>0.015127219919523191</x:v>
      </x:c>
      <x:c r="M837" s="160" t="str">
        <x:v>Confirmed lower bound</x:v>
      </x:c>
      <x:c r="N837" s="160" t="str">
        <x:v>Verified public-directory count for ≥1 major chain; other selected chains and 5-mile spillover omitted.</x:v>
      </x:c>
      <x:c r="O837" s="160" t="str">
        <x:v>Orange County</x:v>
      </x:c>
    </x:row>
    <x:row r="838">
      <x:c r="A838" t="n">
        <x:v>883</x:v>
      </x:c>
      <x:c r="B838" t="str">
        <x:v>Lakeland</x:v>
      </x:c>
      <x:c r="C838" t="str">
        <x:v>FL</x:v>
      </x:c>
      <x:c r="D838" s="161" t="n">
        <x:v>66.2</x:v>
      </x:c>
      <x:c r="E838" t="n">
        <x:v>0</x:v>
      </x:c>
      <x:c r="F838" t="n">
        <x:v>0</x:v>
      </x:c>
      <x:c r="G838" t="n">
        <x:v>0</x:v>
      </x:c>
      <x:c r="H838" t="n">
        <x:v>0</x:v>
      </x:c>
      <x:c r="I838" t="n">
        <x:v>0</x:v>
      </x:c>
      <x:c r="J838" t="n">
        <x:v>1</x:v>
      </x:c>
      <x:c r="K838" t="n">
        <x:f>SUM(E838:J838)</x:f>
        <x:v>1</x:v>
      </x:c>
      <x:c r="L838" s="163" t="n">
        <x:f>IFERROR(K838/D838,0)</x:f>
        <x:v>0.015105740181268881</x:v>
      </x:c>
      <x:c r="M838" s="160" t="str">
        <x:v>Presence-floor proxy only — 250-city expansion</x:v>
      </x:c>
      <x:c r="N838" s="160" t="str">
        <x:v>Added in the 250-city screening expansion. One-store screening floor only; exact selected-chain count and 5-mile buffer require GIS verification.</x:v>
      </x:c>
      <x:c r="O838" s="160" t="str">
        <x:v>Polk County</x:v>
      </x:c>
    </x:row>
    <x:row r="839">
      <x:c r="A839" t="n">
        <x:v>884</x:v>
      </x:c>
      <x:c r="B839" t="str">
        <x:v>Columbia</x:v>
      </x:c>
      <x:c r="C839" t="str">
        <x:v>MO</x:v>
      </x:c>
      <x:c r="D839" s="161" t="n">
        <x:v>66.5</x:v>
      </x:c>
      <x:c r="E839" t="n">
        <x:v>0</x:v>
      </x:c>
      <x:c r="F839" t="n">
        <x:v>0</x:v>
      </x:c>
      <x:c r="G839" t="n">
        <x:v>0</x:v>
      </x:c>
      <x:c r="H839" t="n">
        <x:v>0</x:v>
      </x:c>
      <x:c r="I839" t="n">
        <x:v>0</x:v>
      </x:c>
      <x:c r="J839" t="n">
        <x:v>1</x:v>
      </x:c>
      <x:c r="K839" t="n">
        <x:f>SUM(E839:J839)</x:f>
        <x:v>1</x:v>
      </x:c>
      <x:c r="L839" s="163" t="n">
        <x:f>IFERROR(K839/D839,0)</x:f>
        <x:v>0.015037593984962405</x:v>
      </x:c>
      <x:c r="M839" s="160" t="str">
        <x:v>Presence-floor proxy only — 250-city expansion</x:v>
      </x:c>
      <x:c r="N839" s="160" t="str">
        <x:v>Added in the 250-city screening expansion. One-store screening floor only; exact selected-chain count and 5-mile buffer require GIS verification.</x:v>
      </x:c>
      <x:c r="O839" s="160" t="str">
        <x:v>Boone County</x:v>
      </x:c>
    </x:row>
    <x:row r="840">
      <x:c r="A840" t="n">
        <x:v>885</x:v>
      </x:c>
      <x:c r="B840" t="str">
        <x:v>Wantage Township</x:v>
      </x:c>
      <x:c r="C840" t="str">
        <x:v>NJ</x:v>
      </x:c>
      <x:c r="D840" s="161" t="n">
        <x:v>66.76</x:v>
      </x:c>
      <x:c r="E840" t="n">
        <x:v>0</x:v>
      </x:c>
      <x:c r="F840" t="n">
        <x:v>0</x:v>
      </x:c>
      <x:c r="G840" t="n">
        <x:v>0</x:v>
      </x:c>
      <x:c r="H840" t="n">
        <x:v>0</x:v>
      </x:c>
      <x:c r="I840" t="n">
        <x:v>0</x:v>
      </x:c>
      <x:c r="J840" t="n">
        <x:v>1</x:v>
      </x:c>
      <x:c r="K840" t="n">
        <x:f>SUM(E840:J840)</x:f>
        <x:v>1</x:v>
      </x:c>
      <x:c r="L840" s="163" t="n">
        <x:f>IFERROR(K840/D840,0)</x:f>
        <x:v>0.014979029358897542</x:v>
      </x:c>
      <x:c r="M840" s="160" t="str">
        <x:v>Presence-floor proxy only — 10k+ municipality completion</x:v>
      </x:c>
      <x:c r="N840"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the latest Census estimates / threshold checks; local specialty-grocery evidence is county-selection support only.</x:v>
      </x:c>
      <x:c r="O840" s="160" t="str">
        <x:v>Sussex County</x:v>
      </x:c>
    </x:row>
    <x:row r="841">
      <x:c r="A841" t="n">
        <x:v>886</x:v>
      </x:c>
      <x:c r="B841" t="str">
        <x:v>McKinney</x:v>
      </x:c>
      <x:c r="C841" t="str">
        <x:v>TX</x:v>
      </x:c>
      <x:c r="D841" s="161" t="n">
        <x:v>67</x:v>
      </x:c>
      <x:c r="E841" t="n">
        <x:v>0</x:v>
      </x:c>
      <x:c r="F841" t="n">
        <x:v>0</x:v>
      </x:c>
      <x:c r="G841" t="n">
        <x:v>0</x:v>
      </x:c>
      <x:c r="H841" t="n">
        <x:v>0</x:v>
      </x:c>
      <x:c r="I841" t="n">
        <x:v>0</x:v>
      </x:c>
      <x:c r="J841" t="n">
        <x:v>1</x:v>
      </x:c>
      <x:c r="K841" t="n">
        <x:f>SUM(E841:J841)</x:f>
        <x:v>1</x:v>
      </x:c>
      <x:c r="L841" s="163" t="n">
        <x:f>IFERROR(K841/D841,0)</x:f>
        <x:v>0.014925373134328358</x:v>
      </x:c>
      <x:c r="M841" s="160" t="str">
        <x:v>Presence-floor proxy only — 200-city expansion</x:v>
      </x:c>
      <x:c r="N841" s="160" t="str">
        <x:v>Added in the 200-city screening expansion. One-store screening floor only; exact selected-chain count and 5-mile buffer require GIS verification.</x:v>
      </x:c>
      <x:c r="O841" s="160" t="str">
        <x:v>Collin County</x:v>
      </x:c>
    </x:row>
    <x:row r="842">
      <x:c r="A842" t="n">
        <x:v>887</x:v>
      </x:c>
      <x:c r="B842" t="str">
        <x:v>Irving</x:v>
      </x:c>
      <x:c r="C842" t="str">
        <x:v>TX</x:v>
      </x:c>
      <x:c r="D842" s="161" t="n">
        <x:v>67.017</x:v>
      </x:c>
      <x:c r="E842" t="n">
        <x:v>1</x:v>
      </x:c>
      <x:c r="F842" t="n">
        <x:v>0</x:v>
      </x:c>
      <x:c r="G842" t="n">
        <x:v>0</x:v>
      </x:c>
      <x:c r="H842" t="n">
        <x:v>0</x:v>
      </x:c>
      <x:c r="I842" t="n">
        <x:v>0</x:v>
      </x:c>
      <x:c r="J842" t="n">
        <x:v>0</x:v>
      </x:c>
      <x:c r="K842" t="n">
        <x:f>SUM(E842:J842)</x:f>
        <x:v>1</x:v>
      </x:c>
      <x:c r="L842" s="163" t="n">
        <x:f>IFERROR(K842/D842,0)</x:f>
        <x:v>0.014921587059999703</x:v>
      </x:c>
      <x:c r="M842" s="160" t="str">
        <x:v>Confirmed lower bound</x:v>
      </x:c>
      <x:c r="N842" s="160" t="str">
        <x:v>Verified public-directory count for ≥1 major chain; other selected chains and 5-mile spillover omitted.</x:v>
      </x:c>
      <x:c r="O842" s="160" t="str">
        <x:v>Dallas County</x:v>
      </x:c>
    </x:row>
    <x:row r="843">
      <x:c r="A843" t="n">
        <x:v>888</x:v>
      </x:c>
      <x:c r="B843" t="str">
        <x:v>Egg Harbor Township</x:v>
      </x:c>
      <x:c r="C843" t="str">
        <x:v>NJ</x:v>
      </x:c>
      <x:c r="D843" s="161" t="n">
        <x:v>67.047</x:v>
      </x:c>
      <x:c r="E843" t="n">
        <x:v>0</x:v>
      </x:c>
      <x:c r="F843" t="n">
        <x:v>0</x:v>
      </x:c>
      <x:c r="G843" t="n">
        <x:v>0</x:v>
      </x:c>
      <x:c r="H843" t="n">
        <x:v>0</x:v>
      </x:c>
      <x:c r="I843" t="n">
        <x:v>0</x:v>
      </x:c>
      <x:c r="J843" t="n">
        <x:v>1</x:v>
      </x:c>
      <x:c r="K843" t="n">
        <x:f>SUM(E843:J843)</x:f>
        <x:v>1</x:v>
      </x:c>
      <x:c r="L843" s="163" t="n">
        <x:f>IFERROR(K843/D843,0)</x:f>
        <x:v>0.014914910435962834</x:v>
      </x:c>
      <x:c r="M843" s="160" t="str">
        <x:v>Presence-floor proxy only — 10k+ municipality completion</x:v>
      </x:c>
      <x:c r="N843"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843" s="160" t="str">
        <x:v>Atlantic County</x:v>
      </x:c>
    </x:row>
    <x:row r="844">
      <x:c r="A844" t="n">
        <x:v>889</x:v>
      </x:c>
      <x:c r="B844" t="str">
        <x:v>Philadelphia</x:v>
      </x:c>
      <x:c r="C844" t="str">
        <x:v>PA</x:v>
      </x:c>
      <x:c r="D844" s="161" t="n">
        <x:v>134.101</x:v>
      </x:c>
      <x:c r="E844" t="n">
        <x:v>2</x:v>
      </x:c>
      <x:c r="F844" t="n">
        <x:v>0</x:v>
      </x:c>
      <x:c r="G844" t="n">
        <x:v>0</x:v>
      </x:c>
      <x:c r="H844" t="n">
        <x:v>0</x:v>
      </x:c>
      <x:c r="I844" t="n">
        <x:v>0</x:v>
      </x:c>
      <x:c r="J844" t="n">
        <x:v>0</x:v>
      </x:c>
      <x:c r="K844" t="n">
        <x:f>SUM(E844:J844)</x:f>
        <x:v>2</x:v>
      </x:c>
      <x:c r="L844" s="163" t="n">
        <x:f>IFERROR(K844/D844,0)</x:f>
        <x:v>0.014914131885668265</x:v>
      </x:c>
      <x:c r="M844" s="160" t="str">
        <x:v>Confirmed lower bound</x:v>
      </x:c>
      <x:c r="N844" s="160" t="str">
        <x:v>Verified public-directory count for ≥1 major chain; other selected chains and 5-mile spillover omitted.</x:v>
      </x:c>
      <x:c r="O844" s="160" t="str">
        <x:v>Philadelphia County</x:v>
      </x:c>
    </x:row>
    <x:row r="845">
      <x:c r="A845" t="n">
        <x:v>890</x:v>
      </x:c>
      <x:c r="B845" t="str">
        <x:v>Riverhead Town</x:v>
      </x:c>
      <x:c r="C845" t="str">
        <x:v>NY</x:v>
      </x:c>
      <x:c r="D845" s="161" t="n">
        <x:v>67.401</x:v>
      </x:c>
      <x:c r="E845" t="n">
        <x:v>0</x:v>
      </x:c>
      <x:c r="F845" t="n">
        <x:v>0</x:v>
      </x:c>
      <x:c r="G845" t="n">
        <x:v>0</x:v>
      </x:c>
      <x:c r="H845" t="n">
        <x:v>0</x:v>
      </x:c>
      <x:c r="I845" t="n">
        <x:v>0</x:v>
      </x:c>
      <x:c r="J845" t="n">
        <x:v>1</x:v>
      </x:c>
      <x:c r="K845" t="n">
        <x:f>SUM(E845:J845)</x:f>
        <x:v>1</x:v>
      </x:c>
      <x:c r="L845" s="163" t="n">
        <x:f>IFERROR(K845/D845,0)</x:f>
        <x:v>0.014836575124998147</x:v>
      </x:c>
      <x:c r="M845" s="160" t="str">
        <x:v>Presence-floor proxy only — 10k+ municipality completion</x:v>
      </x:c>
      <x:c r="N845"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845" s="160" t="str">
        <x:v>Suffolk County</x:v>
      </x:c>
    </x:row>
    <x:row r="846">
      <x:c r="A846" t="n">
        <x:v>891</x:v>
      </x:c>
      <x:c r="B846" t="str">
        <x:v>Unity Township</x:v>
      </x:c>
      <x:c r="C846" t="str">
        <x:v>PA</x:v>
      </x:c>
      <x:c r="D846" s="161" t="n">
        <x:v>67.441</x:v>
      </x:c>
      <x:c r="E846" t="n">
        <x:v>0</x:v>
      </x:c>
      <x:c r="F846" t="n">
        <x:v>0</x:v>
      </x:c>
      <x:c r="G846" t="n">
        <x:v>0</x:v>
      </x:c>
      <x:c r="H846" t="n">
        <x:v>0</x:v>
      </x:c>
      <x:c r="I846" t="n">
        <x:v>0</x:v>
      </x:c>
      <x:c r="J846" t="n">
        <x:v>1</x:v>
      </x:c>
      <x:c r="K846" t="n">
        <x:f>SUM(E846:J846)</x:f>
        <x:v>1</x:v>
      </x:c>
      <x:c r="L846" s="163" t="n">
        <x:f>IFERROR(K846/D846,0)</x:f>
        <x:v>0.014827775388858409</x:v>
      </x:c>
      <x:c r="M846" s="160" t="str">
        <x:v>Presence-floor proxy only — 10k+ municipality completion</x:v>
      </x:c>
      <x:c r="N846"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846" s="160" t="str">
        <x:v>Westmoreland County</x:v>
      </x:c>
    </x:row>
    <x:row r="847">
      <x:c r="A847" t="n">
        <x:v>892</x:v>
      </x:c>
      <x:c r="B847" t="str">
        <x:v>Vernon Township</x:v>
      </x:c>
      <x:c r="C847" t="str">
        <x:v>NJ</x:v>
      </x:c>
      <x:c r="D847" s="161" t="n">
        <x:v>67.523</x:v>
      </x:c>
      <x:c r="E847" t="n">
        <x:v>0</x:v>
      </x:c>
      <x:c r="F847" t="n">
        <x:v>0</x:v>
      </x:c>
      <x:c r="G847" t="n">
        <x:v>0</x:v>
      </x:c>
      <x:c r="H847" t="n">
        <x:v>0</x:v>
      </x:c>
      <x:c r="I847" t="n">
        <x:v>0</x:v>
      </x:c>
      <x:c r="J847" t="n">
        <x:v>1</x:v>
      </x:c>
      <x:c r="K847" t="n">
        <x:f>SUM(E847:J847)</x:f>
        <x:v>1</x:v>
      </x:c>
      <x:c r="L847" s="163" t="n">
        <x:f>IFERROR(K847/D847,0)</x:f>
        <x:v>0.014809768523317982</x:v>
      </x:c>
      <x:c r="M847" s="160" t="str">
        <x:v>Presence-floor proxy only — 10k+ municipality completion</x:v>
      </x:c>
      <x:c r="N847" s="160" t="str">
        <x:v>Added under the &gt;=50k-county expansion rule: Census Vintage 2025 municipality population &gt;=10,000; general-purpose city-equivalent municipality; direct Census adjacency. Presence-floor proxy only — exact tracked-chain count requires municipal-boundary/GIS verification. All four municipalities remain above 10,000 in the latest Census estimates / threshold checks; local specialty-grocery evidence is county-selection support only.</x:v>
      </x:c>
      <x:c r="O847" s="160" t="str">
        <x:v>Sussex County</x:v>
      </x:c>
    </x:row>
    <x:row r="848">
      <x:c r="A848" t="n">
        <x:v>893</x:v>
      </x:c>
      <x:c r="B848" t="str">
        <x:v>Vineland</x:v>
      </x:c>
      <x:c r="C848" t="str">
        <x:v>NJ</x:v>
      </x:c>
      <x:c r="D848" s="161" t="n">
        <x:v>68.39</x:v>
      </x:c>
      <x:c r="E848" t="n">
        <x:v>0</x:v>
      </x:c>
      <x:c r="F848" t="n">
        <x:v>0</x:v>
      </x:c>
      <x:c r="G848" t="n">
        <x:v>0</x:v>
      </x:c>
      <x:c r="H848" t="n">
        <x:v>0</x:v>
      </x:c>
      <x:c r="I848" t="n">
        <x:v>0</x:v>
      </x:c>
      <x:c r="J848" t="n">
        <x:v>1</x:v>
      </x:c>
      <x:c r="K848" t="n">
        <x:f>SUM(E848:J848)</x:f>
        <x:v>1</x:v>
      </x:c>
      <x:c r="L848" s="163" t="n">
        <x:f>IFERROR(K848/D848,0)</x:f>
        <x:v>0.014622020763269484</x:v>
      </x:c>
      <x:c r="M848" s="160" t="str">
        <x:v>Presence-floor proxy only — restricted-state adjacency expansion</x:v>
      </x:c>
      <x:c r="N848" s="160" t="str">
        <x:v>Census V2025 population 62,703. Added for Cumberland County completion; one-store screening floor pending production GIS verification.</x:v>
      </x:c>
      <x:c r="O848" s="160" t="str">
        <x:v>Cumberland County</x:v>
      </x:c>
    </x:row>
    <x:row r="849">
      <x:c r="A849" t="n">
        <x:v>894</x:v>
      </x:c>
      <x:c r="B849" t="str">
        <x:v>Gilbert</x:v>
      </x:c>
      <x:c r="C849" t="str">
        <x:v>AZ</x:v>
      </x:c>
      <x:c r="D849" s="161" t="n">
        <x:v>68.6</x:v>
      </x:c>
      <x:c r="E849" t="n">
        <x:v>0</x:v>
      </x:c>
      <x:c r="F849" t="n">
        <x:v>0</x:v>
      </x:c>
      <x:c r="G849" t="n">
        <x:v>0</x:v>
      </x:c>
      <x:c r="H849" t="n">
        <x:v>0</x:v>
      </x:c>
      <x:c r="I849" t="n">
        <x:v>0</x:v>
      </x:c>
      <x:c r="J849" t="n">
        <x:v>1</x:v>
      </x:c>
      <x:c r="K849" t="n">
        <x:f>SUM(E849:J849)</x:f>
        <x:v>1</x:v>
      </x:c>
      <x:c r="L849" s="163" t="n">
        <x:f>IFERROR(K849/D849,0)</x:f>
        <x:v>0.01457725947521866</x:v>
      </x:c>
      <x:c r="M849" s="160" t="str">
        <x:v>Presence-floor proxy only — 200-city expansion</x:v>
      </x:c>
      <x:c r="N849" s="160" t="str">
        <x:v>Added in the 200-city screening expansion. One-store screening floor only; exact selected-chain count and 5-mile buffer require GIS verification.</x:v>
      </x:c>
      <x:c r="O849" s="160" t="str">
        <x:v>Maricopa County</x:v>
      </x:c>
    </x:row>
    <x:row r="850">
      <x:c r="A850" t="n">
        <x:v>895</x:v>
      </x:c>
      <x:c r="B850" t="str">
        <x:v>Frisco</x:v>
      </x:c>
      <x:c r="C850" t="str">
        <x:v>TX</x:v>
      </x:c>
      <x:c r="D850" s="161" t="n">
        <x:v>68.6</x:v>
      </x:c>
      <x:c r="E850" t="n">
        <x:v>0</x:v>
      </x:c>
      <x:c r="F850" t="n">
        <x:v>0</x:v>
      </x:c>
      <x:c r="G850" t="n">
        <x:v>0</x:v>
      </x:c>
      <x:c r="H850" t="n">
        <x:v>0</x:v>
      </x:c>
      <x:c r="I850" t="n">
        <x:v>0</x:v>
      </x:c>
      <x:c r="J850" t="n">
        <x:v>1</x:v>
      </x:c>
      <x:c r="K850" t="n">
        <x:f>SUM(E850:J850)</x:f>
        <x:v>1</x:v>
      </x:c>
      <x:c r="L850" s="163" t="n">
        <x:f>IFERROR(K850/D850,0)</x:f>
        <x:v>0.01457725947521866</x:v>
      </x:c>
      <x:c r="M850" s="160" t="str">
        <x:v>Presence-floor proxy only — 200-city expansion</x:v>
      </x:c>
      <x:c r="N850" s="160" t="str">
        <x:v>Added in the 200-city screening expansion. One-store screening floor only; exact selected-chain count and 5-mile buffer require GIS verification.</x:v>
      </x:c>
      <x:c r="O850" s="160" t="str">
        <x:v>Collin County</x:v>
      </x:c>
    </x:row>
    <x:row r="851">
      <x:c r="A851" t="n">
        <x:v>896</x:v>
      </x:c>
      <x:c r="B851" t="str">
        <x:v>Spokane</x:v>
      </x:c>
      <x:c r="C851" t="str">
        <x:v>WA</x:v>
      </x:c>
      <x:c r="D851" s="161" t="n">
        <x:v>68.8</x:v>
      </x:c>
      <x:c r="E851" t="n">
        <x:v>0</x:v>
      </x:c>
      <x:c r="F851" t="n">
        <x:v>0</x:v>
      </x:c>
      <x:c r="G851" t="n">
        <x:v>0</x:v>
      </x:c>
      <x:c r="H851" t="n">
        <x:v>0</x:v>
      </x:c>
      <x:c r="I851" t="n">
        <x:v>0</x:v>
      </x:c>
      <x:c r="J851" t="n">
        <x:v>1</x:v>
      </x:c>
      <x:c r="K851" t="n">
        <x:f>SUM(E851:J851)</x:f>
        <x:v>1</x:v>
      </x:c>
      <x:c r="L851" s="163" t="n">
        <x:f>IFERROR(K851/D851,0)</x:f>
        <x:v>0.014534883720930232</x:v>
      </x:c>
      <x:c r="M851" s="160" t="str">
        <x:v>Presence-floor proxy only — 200-city expansion</x:v>
      </x:c>
      <x:c r="N851" s="160" t="str">
        <x:v>Added in the 200-city screening expansion. One-store screening floor only; exact selected-chain count and 5-mile buffer require GIS verification.</x:v>
      </x:c>
      <x:c r="O851" s="160" t="str">
        <x:v>Spokane County</x:v>
      </x:c>
    </x:row>
    <x:row r="852">
      <x:c r="A852" t="n">
        <x:v>897</x:v>
      </x:c>
      <x:c r="B852" t="str">
        <x:v>Newport News</x:v>
      </x:c>
      <x:c r="C852" t="str">
        <x:v>VA</x:v>
      </x:c>
      <x:c r="D852" s="161" t="n">
        <x:v>69</x:v>
      </x:c>
      <x:c r="E852" t="n">
        <x:v>0</x:v>
      </x:c>
      <x:c r="F852" t="n">
        <x:v>0</x:v>
      </x:c>
      <x:c r="G852" t="n">
        <x:v>0</x:v>
      </x:c>
      <x:c r="H852" t="n">
        <x:v>0</x:v>
      </x:c>
      <x:c r="I852" t="n">
        <x:v>0</x:v>
      </x:c>
      <x:c r="J852" t="n">
        <x:v>1</x:v>
      </x:c>
      <x:c r="K852" t="n">
        <x:f>SUM(E852:J852)</x:f>
        <x:v>1</x:v>
      </x:c>
      <x:c r="L852" s="163" t="n">
        <x:f>IFERROR(K852/D852,0)</x:f>
        <x:v>0.014492753623188406</x:v>
      </x:c>
      <x:c r="M852" s="160" t="str">
        <x:v>Presence-floor proxy only — 200-city expansion</x:v>
      </x:c>
      <x:c r="N852" s="160" t="str">
        <x:v>Added in the 200-city screening expansion. One-store screening floor only; exact selected-chain count and 5-mile buffer require GIS verification.</x:v>
      </x:c>
      <x:c r="O852" s="160" t="str">
        <x:v>Newport News city</x:v>
      </x:c>
    </x:row>
    <x:row r="853">
      <x:c r="A853" t="n">
        <x:v>898</x:v>
      </x:c>
      <x:c r="B853" t="str">
        <x:v>Antrim township</x:v>
      </x:c>
      <x:c r="C853" t="str">
        <x:v>PA</x:v>
      </x:c>
      <x:c r="D853" s="161" t="n">
        <x:v>70.09</x:v>
      </x:c>
      <x:c r="E853" t="n">
        <x:v>0</x:v>
      </x:c>
      <x:c r="F853" t="n">
        <x:v>0</x:v>
      </x:c>
      <x:c r="G853" t="n">
        <x:v>0</x:v>
      </x:c>
      <x:c r="H853" t="n">
        <x:v>0</x:v>
      </x:c>
      <x:c r="I853" t="n">
        <x:v>0</x:v>
      </x:c>
      <x:c r="J853" t="n">
        <x:v>1</x:v>
      </x:c>
      <x:c r="K853" t="n">
        <x:f>SUM(E853:J853)</x:f>
        <x:v>1</x:v>
      </x:c>
      <x:c r="L853" s="163" t="n">
        <x:f>IFERROR(K853/D853,0)</x:f>
        <x:v>0.014267370523612497</x:v>
      </x:c>
      <x:c r="M853" s="160" t="str">
        <x:v>Presence-floor proxy only — 10k+ municipality completion</x:v>
      </x:c>
      <x:c r="N853" s="160" t="str">
        <x:v>Added under the &gt;=50k-county expansion rule: Census Vintage 2025 municipality population &gt;=10,000; general-purpose city-equivalent municipality; direct Census adjacency. Presence-floor proxy only — exact tracked-chain count requires municipal-boundary/GIS verification. Jim's Farmers Market / Franklin County farm-market evidence supports county selection but is not mapped into tracked-chain columns.</x:v>
      </x:c>
      <x:c r="O853" s="160" t="str">
        <x:v>Franklin County</x:v>
      </x:c>
    </x:row>
    <x:row r="854">
      <x:c r="A854" t="n">
        <x:v>899</x:v>
      </x:c>
      <x:c r="B854" t="str">
        <x:v>Middle Township</x:v>
      </x:c>
      <x:c r="C854" t="str">
        <x:v>NJ</x:v>
      </x:c>
      <x:c r="D854" s="161" t="n">
        <x:v>70.24</x:v>
      </x:c>
      <x:c r="E854" t="n">
        <x:v>0</x:v>
      </x:c>
      <x:c r="F854" t="n">
        <x:v>0</x:v>
      </x:c>
      <x:c r="G854" t="n">
        <x:v>0</x:v>
      </x:c>
      <x:c r="H854" t="n">
        <x:v>0</x:v>
      </x:c>
      <x:c r="I854" t="n">
        <x:v>0</x:v>
      </x:c>
      <x:c r="J854" t="n">
        <x:v>1</x:v>
      </x:c>
      <x:c r="K854" t="n">
        <x:f>SUM(E854:J854)</x:f>
        <x:v>1</x:v>
      </x:c>
      <x:c r="L854" s="163" t="n">
        <x:f>IFERROR(K854/D854,0)</x:f>
        <x:v>0.014236902050113897</x:v>
      </x:c>
      <x:c r="M854" s="160" t="str">
        <x:v>Presence-floor proxy only — 10k+ municipality completion</x:v>
      </x:c>
      <x:c r="N854" s="160" t="str">
        <x:v>Added under the &gt;=50k-county expansion rule: Census Vintage 2025 municipality population &gt;=10,000; general-purpose city-equivalent municipality; direct Census adjacency. Presence-floor proxy only — exact tracked-chain count requires municipal-boundary/GIS verification. Upper Township is confirmed above 10,000 in Census V2025; Lower, Middle, and Ocean City also remain above the municipal screen.</x:v>
      </x:c>
      <x:c r="O854" s="160" t="str">
        <x:v>Cape May County</x:v>
      </x:c>
    </x:row>
    <x:row r="855">
      <x:c r="A855" t="n">
        <x:v>900</x:v>
      </x:c>
      <x:c r="B855" t="str">
        <x:v>Santa Clarita</x:v>
      </x:c>
      <x:c r="C855" t="str">
        <x:v>CA</x:v>
      </x:c>
      <x:c r="D855" s="161" t="n">
        <x:v>70.8</x:v>
      </x:c>
      <x:c r="E855" t="n">
        <x:v>0</x:v>
      </x:c>
      <x:c r="F855" t="n">
        <x:v>0</x:v>
      </x:c>
      <x:c r="G855" t="n">
        <x:v>0</x:v>
      </x:c>
      <x:c r="H855" t="n">
        <x:v>0</x:v>
      </x:c>
      <x:c r="I855" t="n">
        <x:v>0</x:v>
      </x:c>
      <x:c r="J855" t="n">
        <x:v>1</x:v>
      </x:c>
      <x:c r="K855" t="n">
        <x:f>SUM(E855:J855)</x:f>
        <x:v>1</x:v>
      </x:c>
      <x:c r="L855" s="163" t="n">
        <x:f>IFERROR(K855/D855,0)</x:f>
        <x:v>0.014124293785310734</x:v>
      </x:c>
      <x:c r="M855" s="160" t="str">
        <x:v>Presence-floor proxy only — 200-city expansion</x:v>
      </x:c>
      <x:c r="N855" s="160" t="str">
        <x:v>Added in the 200-city screening expansion. One-store screening floor only; exact selected-chain count and 5-mile buffer require GIS verification.</x:v>
      </x:c>
      <x:c r="O855" s="160" t="str">
        <x:v>Los Angeles County</x:v>
      </x:c>
    </x:row>
    <x:row r="856">
      <x:c r="A856" t="n">
        <x:v>901</x:v>
      </x:c>
      <x:c r="B856" t="str">
        <x:v>Plano</x:v>
      </x:c>
      <x:c r="C856" t="str">
        <x:v>TX</x:v>
      </x:c>
      <x:c r="D856" s="161" t="n">
        <x:v>71.581</x:v>
      </x:c>
      <x:c r="E856" t="n">
        <x:v>1</x:v>
      </x:c>
      <x:c r="F856" t="n">
        <x:v>0</x:v>
      </x:c>
      <x:c r="G856" t="n">
        <x:v>0</x:v>
      </x:c>
      <x:c r="H856" t="n">
        <x:v>0</x:v>
      </x:c>
      <x:c r="I856" t="n">
        <x:v>0</x:v>
      </x:c>
      <x:c r="J856" t="n">
        <x:v>0</x:v>
      </x:c>
      <x:c r="K856" t="n">
        <x:f>SUM(E856:J856)</x:f>
        <x:v>1</x:v>
      </x:c>
      <x:c r="L856" s="163" t="n">
        <x:f>IFERROR(K856/D856,0)</x:f>
        <x:v>0.01397018761961973</x:v>
      </x:c>
      <x:c r="M856" s="160" t="str">
        <x:v>Confirmed lower bound</x:v>
      </x:c>
      <x:c r="N856" s="160" t="str">
        <x:v>Verified public-directory count for ≥1 major chain; other selected chains and 5-mile spillover omitted.</x:v>
      </x:c>
      <x:c r="O856" s="160" t="str">
        <x:v>Collin County</x:v>
      </x:c>
    </x:row>
    <x:row r="857">
      <x:c r="A857" t="n">
        <x:v>902</x:v>
      </x:c>
      <x:c r="B857" t="str">
        <x:v>Conroe</x:v>
      </x:c>
      <x:c r="C857" t="str">
        <x:v>TX</x:v>
      </x:c>
      <x:c r="D857" s="161" t="n">
        <x:v>72</x:v>
      </x:c>
      <x:c r="E857" t="n">
        <x:v>0</x:v>
      </x:c>
      <x:c r="F857" t="n">
        <x:v>0</x:v>
      </x:c>
      <x:c r="G857" t="n">
        <x:v>0</x:v>
      </x:c>
      <x:c r="H857" t="n">
        <x:v>0</x:v>
      </x:c>
      <x:c r="I857" t="n">
        <x:v>0</x:v>
      </x:c>
      <x:c r="J857" t="n">
        <x:v>1</x:v>
      </x:c>
      <x:c r="K857" t="n">
        <x:f>SUM(E857:J857)</x:f>
        <x:v>1</x:v>
      </x:c>
      <x:c r="L857" s="163" t="n">
        <x:f>IFERROR(K857/D857,0)</x:f>
        <x:v>0.013888888888888888</x:v>
      </x:c>
      <x:c r="M857" s="160" t="str">
        <x:v>Presence-floor proxy only — 300-city expansion</x:v>
      </x:c>
      <x:c r="N857" s="160" t="str">
        <x:v>Added in the 300-city screening expansion. One-store screening floor only; exact selected-chain count and 5-mile buffer require GIS verification.</x:v>
      </x:c>
      <x:c r="O857" s="160" t="str">
        <x:v>Montgomery County</x:v>
      </x:c>
    </x:row>
    <x:row r="858">
      <x:c r="A858" t="n">
        <x:v>903</x:v>
      </x:c>
      <x:c r="B858" t="str">
        <x:v>Cedar Rapids</x:v>
      </x:c>
      <x:c r="C858" t="str">
        <x:v>IA</x:v>
      </x:c>
      <x:c r="D858" s="161" t="n">
        <x:v>72.1</x:v>
      </x:c>
      <x:c r="E858" t="n">
        <x:v>0</x:v>
      </x:c>
      <x:c r="F858" t="n">
        <x:v>0</x:v>
      </x:c>
      <x:c r="G858" t="n">
        <x:v>0</x:v>
      </x:c>
      <x:c r="H858" t="n">
        <x:v>0</x:v>
      </x:c>
      <x:c r="I858" t="n">
        <x:v>0</x:v>
      </x:c>
      <x:c r="J858" t="n">
        <x:v>1</x:v>
      </x:c>
      <x:c r="K858" t="n">
        <x:f>SUM(E858:J858)</x:f>
        <x:v>1</x:v>
      </x:c>
      <x:c r="L858" s="163" t="n">
        <x:f>IFERROR(K858/D858,0)</x:f>
        <x:v>0.013869625520110958</x:v>
      </x:c>
      <x:c r="M858" s="160" t="str">
        <x:v>Presence-floor proxy only — 250-city expansion</x:v>
      </x:c>
      <x:c r="N858" s="160" t="str">
        <x:v>Added in the 250-city screening expansion. One-store screening floor only; exact selected-chain count and 5-mile buffer require GIS verification.</x:v>
      </x:c>
      <x:c r="O858" s="160" t="str">
        <x:v>Linn County</x:v>
      </x:c>
    </x:row>
    <x:row r="859">
      <x:c r="A859" t="n">
        <x:v>904</x:v>
      </x:c>
      <x:c r="B859" t="str">
        <x:v>Grand Prairie</x:v>
      </x:c>
      <x:c r="C859" t="str">
        <x:v>TX</x:v>
      </x:c>
      <x:c r="D859" s="161" t="n">
        <x:v>72.6</x:v>
      </x:c>
      <x:c r="E859" t="n">
        <x:v>0</x:v>
      </x:c>
      <x:c r="F859" t="n">
        <x:v>0</x:v>
      </x:c>
      <x:c r="G859" t="n">
        <x:v>0</x:v>
      </x:c>
      <x:c r="H859" t="n">
        <x:v>0</x:v>
      </x:c>
      <x:c r="I859" t="n">
        <x:v>0</x:v>
      </x:c>
      <x:c r="J859" t="n">
        <x:v>1</x:v>
      </x:c>
      <x:c r="K859" t="n">
        <x:f>SUM(E859:J859)</x:f>
        <x:v>1</x:v>
      </x:c>
      <x:c r="L859" s="163" t="n">
        <x:f>IFERROR(K859/D859,0)</x:f>
        <x:v>0.013774104683195593</x:v>
      </x:c>
      <x:c r="M859" s="160" t="str">
        <x:v>Presence-floor proxy only — 200-city expansion</x:v>
      </x:c>
      <x:c r="N859" s="160" t="str">
        <x:v>Added in the 200-city screening expansion. One-store screening floor only; exact selected-chain count and 5-mile buffer require GIS verification.</x:v>
      </x:c>
      <x:c r="O859" s="160" t="str">
        <x:v>Dallas County</x:v>
      </x:c>
    </x:row>
    <x:row r="860">
      <x:c r="A860" t="n">
        <x:v>905</x:v>
      </x:c>
      <x:c r="B860" t="str">
        <x:v>Victorville</x:v>
      </x:c>
      <x:c r="C860" t="str">
        <x:v>CA</x:v>
      </x:c>
      <x:c r="D860" s="161" t="n">
        <x:v>73.7</x:v>
      </x:c>
      <x:c r="E860" t="n">
        <x:v>0</x:v>
      </x:c>
      <x:c r="F860" t="n">
        <x:v>0</x:v>
      </x:c>
      <x:c r="G860" t="n">
        <x:v>0</x:v>
      </x:c>
      <x:c r="H860" t="n">
        <x:v>0</x:v>
      </x:c>
      <x:c r="I860" t="n">
        <x:v>0</x:v>
      </x:c>
      <x:c r="J860" t="n">
        <x:v>1</x:v>
      </x:c>
      <x:c r="K860" t="n">
        <x:f>SUM(E860:J860)</x:f>
        <x:v>1</x:v>
      </x:c>
      <x:c r="L860" s="163" t="n">
        <x:f>IFERROR(K860/D860,0)</x:f>
        <x:v>0.013568521031207597</x:v>
      </x:c>
      <x:c r="M860" s="160" t="str">
        <x:v>Presence-floor proxy only — 250-city expansion</x:v>
      </x:c>
      <x:c r="N860" s="160" t="str">
        <x:v>Added in the 250-city screening expansion. One-store screening floor only; exact selected-chain count and 5-mile buffer require GIS verification.</x:v>
      </x:c>
      <x:c r="O860" s="160" t="str">
        <x:v>San Bernardino County</x:v>
      </x:c>
    </x:row>
    <x:row r="861">
      <x:c r="A861" t="n">
        <x:v>906</x:v>
      </x:c>
      <x:c r="B861" t="str">
        <x:v>East Hampton Town</x:v>
      </x:c>
      <x:c r="C861" t="str">
        <x:v>NY</x:v>
      </x:c>
      <x:c r="D861" s="161" t="n">
        <x:v>74.359</x:v>
      </x:c>
      <x:c r="E861" t="n">
        <x:v>0</x:v>
      </x:c>
      <x:c r="F861" t="n">
        <x:v>0</x:v>
      </x:c>
      <x:c r="G861" t="n">
        <x:v>0</x:v>
      </x:c>
      <x:c r="H861" t="n">
        <x:v>0</x:v>
      </x:c>
      <x:c r="I861" t="n">
        <x:v>0</x:v>
      </x:c>
      <x:c r="J861" t="n">
        <x:v>1</x:v>
      </x:c>
      <x:c r="K861" t="n">
        <x:f>SUM(E861:J861)</x:f>
        <x:v>1</x:v>
      </x:c>
      <x:c r="L861" s="163" t="n">
        <x:f>IFERROR(K861/D861,0)</x:f>
        <x:v>0.01344827122473406</x:v>
      </x:c>
      <x:c r="M861" s="160" t="str">
        <x:v>Presence-floor proxy only — 10k+ municipality completion</x:v>
      </x:c>
      <x:c r="N861"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861" s="160" t="str">
        <x:v>Suffolk County</x:v>
      </x:c>
    </x:row>
    <x:row r="862">
      <x:c r="A862" t="n">
        <x:v>907</x:v>
      </x:c>
      <x:c r="B862" t="str">
        <x:v>Overland Park</x:v>
      </x:c>
      <x:c r="C862" t="str">
        <x:v>KS</x:v>
      </x:c>
      <x:c r="D862" s="161" t="n">
        <x:v>75.2</x:v>
      </x:c>
      <x:c r="E862" t="n">
        <x:v>0</x:v>
      </x:c>
      <x:c r="F862" t="n">
        <x:v>0</x:v>
      </x:c>
      <x:c r="G862" t="n">
        <x:v>0</x:v>
      </x:c>
      <x:c r="H862" t="n">
        <x:v>0</x:v>
      </x:c>
      <x:c r="I862" t="n">
        <x:v>0</x:v>
      </x:c>
      <x:c r="J862" t="n">
        <x:v>1</x:v>
      </x:c>
      <x:c r="K862" t="n">
        <x:f>SUM(E862:J862)</x:f>
        <x:v>1</x:v>
      </x:c>
      <x:c r="L862" s="163" t="n">
        <x:f>IFERROR(K862/D862,0)</x:f>
        <x:v>0.013297872340425532</x:v>
      </x:c>
      <x:c r="M862" s="160" t="str">
        <x:v>Presence-floor proxy only — 200-city expansion</x:v>
      </x:c>
      <x:c r="N862" s="160" t="str">
        <x:v>Added in the 200-city screening expansion. One-store screening floor only; exact selected-chain count and 5-mile buffer require GIS verification.</x:v>
      </x:c>
      <x:c r="O862" s="160" t="str">
        <x:v>Johnson County</x:v>
      </x:c>
    </x:row>
    <x:row r="863">
      <x:c r="A863" t="n">
        <x:v>908</x:v>
      </x:c>
      <x:c r="B863" t="str">
        <x:v>Midland</x:v>
      </x:c>
      <x:c r="C863" t="str">
        <x:v>TX</x:v>
      </x:c>
      <x:c r="D863" s="161" t="n">
        <x:v>75.5</x:v>
      </x:c>
      <x:c r="E863" t="n">
        <x:v>0</x:v>
      </x:c>
      <x:c r="F863" t="n">
        <x:v>0</x:v>
      </x:c>
      <x:c r="G863" t="n">
        <x:v>0</x:v>
      </x:c>
      <x:c r="H863" t="n">
        <x:v>0</x:v>
      </x:c>
      <x:c r="I863" t="n">
        <x:v>0</x:v>
      </x:c>
      <x:c r="J863" t="n">
        <x:v>1</x:v>
      </x:c>
      <x:c r="K863" t="n">
        <x:f>SUM(E863:J863)</x:f>
        <x:v>1</x:v>
      </x:c>
      <x:c r="L863" s="163" t="n">
        <x:f>IFERROR(K863/D863,0)</x:f>
        <x:v>0.013245033112582781</x:v>
      </x:c>
      <x:c r="M863" s="160" t="str">
        <x:v>Presence-floor proxy only — 200-city expansion</x:v>
      </x:c>
      <x:c r="N863" s="160" t="str">
        <x:v>Added in the 200-city screening expansion. One-store screening floor only; exact selected-chain count and 5-mile buffer require GIS verification.</x:v>
      </x:c>
      <x:c r="O863" s="160" t="str">
        <x:v>Midland County</x:v>
      </x:c>
    </x:row>
    <x:row r="864">
      <x:c r="A864" t="n">
        <x:v>909</x:v>
      </x:c>
      <x:c r="B864" t="str">
        <x:v>Hempfield Township</x:v>
      </x:c>
      <x:c r="C864" t="str">
        <x:v>PA</x:v>
      </x:c>
      <x:c r="D864" s="161" t="n">
        <x:v>76.738</x:v>
      </x:c>
      <x:c r="E864" t="n">
        <x:v>0</x:v>
      </x:c>
      <x:c r="F864" t="n">
        <x:v>0</x:v>
      </x:c>
      <x:c r="G864" t="n">
        <x:v>0</x:v>
      </x:c>
      <x:c r="H864" t="n">
        <x:v>0</x:v>
      </x:c>
      <x:c r="I864" t="n">
        <x:v>0</x:v>
      </x:c>
      <x:c r="J864" t="n">
        <x:v>1</x:v>
      </x:c>
      <x:c r="K864" t="n">
        <x:f>SUM(E864:J864)</x:f>
        <x:v>1</x:v>
      </x:c>
      <x:c r="L864" s="163" t="n">
        <x:f>IFERROR(K864/D864,0)</x:f>
        <x:v>0.013031353436367901</x:v>
      </x:c>
      <x:c r="M864" s="160" t="str">
        <x:v>Presence-floor proxy only — 10k+ municipality completion</x:v>
      </x:c>
      <x:c r="N864"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864" s="160" t="str">
        <x:v>Westmoreland County</x:v>
      </x:c>
    </x:row>
    <x:row r="865">
      <x:c r="A865" t="n">
        <x:v>910</x:v>
      </x:c>
      <x:c r="B865" t="str">
        <x:v>Madison</x:v>
      </x:c>
      <x:c r="C865" t="str">
        <x:v>WI</x:v>
      </x:c>
      <x:c r="D865" s="161" t="n">
        <x:v>76.789</x:v>
      </x:c>
      <x:c r="E865" t="n">
        <x:v>0</x:v>
      </x:c>
      <x:c r="F865" t="n">
        <x:v>0</x:v>
      </x:c>
      <x:c r="G865" t="n">
        <x:v>0</x:v>
      </x:c>
      <x:c r="H865" t="n">
        <x:v>0</x:v>
      </x:c>
      <x:c r="I865" t="n">
        <x:v>0</x:v>
      </x:c>
      <x:c r="J865" t="n">
        <x:v>1</x:v>
      </x:c>
      <x:c r="K865" t="n">
        <x:f>SUM(E865:J865)</x:f>
        <x:v>1</x:v>
      </x:c>
      <x:c r="L865" s="163" t="n">
        <x:f>IFERROR(K865/D865,0)</x:f>
        <x:v>0.013022698563596348</x:v>
      </x:c>
      <x:c r="M865" s="160" t="str">
        <x:v>Presence-floor proxy only</x:v>
      </x:c>
      <x:c r="N865" s="160" t="str">
        <x:v>One-store screening floor only; exact selected-chain count and 5-mile buffer require GIS verification.</x:v>
      </x:c>
      <x:c r="O865" s="160" t="str">
        <x:v>Dane County</x:v>
      </x:c>
    </x:row>
    <x:row r="866">
      <x:c r="A866" t="n">
        <x:v>911</x:v>
      </x:c>
      <x:c r="B866" t="str">
        <x:v>Las Cruces</x:v>
      </x:c>
      <x:c r="C866" t="str">
        <x:v>NM</x:v>
      </x:c>
      <x:c r="D866" s="161" t="n">
        <x:v>76.9</x:v>
      </x:c>
      <x:c r="E866" t="n">
        <x:v>0</x:v>
      </x:c>
      <x:c r="F866" t="n">
        <x:v>0</x:v>
      </x:c>
      <x:c r="G866" t="n">
        <x:v>0</x:v>
      </x:c>
      <x:c r="H866" t="n">
        <x:v>0</x:v>
      </x:c>
      <x:c r="I866" t="n">
        <x:v>0</x:v>
      </x:c>
      <x:c r="J866" t="n">
        <x:v>1</x:v>
      </x:c>
      <x:c r="K866" t="n">
        <x:f>SUM(E866:J866)</x:f>
        <x:v>1</x:v>
      </x:c>
      <x:c r="L866" s="163" t="n">
        <x:f>IFERROR(K866/D866,0)</x:f>
        <x:v>0.013003901170351105</x:v>
      </x:c>
      <x:c r="M866" s="160" t="str">
        <x:v>Presence-floor proxy only — 300-city expansion</x:v>
      </x:c>
      <x:c r="N866" s="160" t="str">
        <x:v>Added in the 300-city screening expansion. One-store screening floor only; exact selected-chain count and 5-mile buffer require GIS verification.</x:v>
      </x:c>
      <x:c r="O866" s="160" t="str">
        <x:v>Doña Ana County</x:v>
      </x:c>
    </x:row>
    <x:row r="867">
      <x:c r="A867" t="n">
        <x:v>912</x:v>
      </x:c>
      <x:c r="B867" t="str">
        <x:v>Baton Rouge</x:v>
      </x:c>
      <x:c r="C867" t="str">
        <x:v>LA</x:v>
      </x:c>
      <x:c r="D867" s="161" t="n">
        <x:v>76.947</x:v>
      </x:c>
      <x:c r="E867" t="n">
        <x:v>0</x:v>
      </x:c>
      <x:c r="F867" t="n">
        <x:v>0</x:v>
      </x:c>
      <x:c r="G867" t="n">
        <x:v>0</x:v>
      </x:c>
      <x:c r="H867" t="n">
        <x:v>0</x:v>
      </x:c>
      <x:c r="I867" t="n">
        <x:v>0</x:v>
      </x:c>
      <x:c r="J867" t="n">
        <x:v>1</x:v>
      </x:c>
      <x:c r="K867" t="n">
        <x:f>SUM(E867:J867)</x:f>
        <x:v>1</x:v>
      </x:c>
      <x:c r="L867" s="163" t="n">
        <x:f>IFERROR(K867/D867,0)</x:f>
        <x:v>0.012995958256982078</x:v>
      </x:c>
      <x:c r="M867" s="160" t="str">
        <x:v>Presence-floor proxy only</x:v>
      </x:c>
      <x:c r="N867" s="160" t="str">
        <x:v>One-store screening floor only; exact selected-chain count and 5-mile buffer require GIS verification.</x:v>
      </x:c>
      <x:c r="O867" s="160" t="str">
        <x:v>East Baton Rouge Parish</x:v>
      </x:c>
    </x:row>
    <x:row r="868">
      <x:c r="A868" t="n">
        <x:v>913</x:v>
      </x:c>
      <x:c r="B868" t="str">
        <x:v>Fremont</x:v>
      </x:c>
      <x:c r="C868" t="str">
        <x:v>CA</x:v>
      </x:c>
      <x:c r="D868" s="161" t="n">
        <x:v>77.459</x:v>
      </x:c>
      <x:c r="E868" t="n">
        <x:v>0</x:v>
      </x:c>
      <x:c r="F868" t="n">
        <x:v>0</x:v>
      </x:c>
      <x:c r="G868" t="n">
        <x:v>0</x:v>
      </x:c>
      <x:c r="H868" t="n">
        <x:v>0</x:v>
      </x:c>
      <x:c r="I868" t="n">
        <x:v>0</x:v>
      </x:c>
      <x:c r="J868" t="n">
        <x:v>1</x:v>
      </x:c>
      <x:c r="K868" t="n">
        <x:f>SUM(E868:J868)</x:f>
        <x:v>1</x:v>
      </x:c>
      <x:c r="L868" s="163" t="n">
        <x:f>IFERROR(K868/D868,0)</x:f>
        <x:v>0.012910055642339819</x:v>
      </x:c>
      <x:c r="M868" s="160" t="str">
        <x:v>Presence-floor proxy only</x:v>
      </x:c>
      <x:c r="N868" s="160" t="str">
        <x:v>One-store screening floor only; exact selected-chain count and 5-mile buffer require GIS verification.</x:v>
      </x:c>
      <x:c r="O868" s="160" t="str">
        <x:v>Alameda County</x:v>
      </x:c>
    </x:row>
    <x:row r="869">
      <x:c r="A869" t="n">
        <x:v>914</x:v>
      </x:c>
      <x:c r="B869" t="str">
        <x:v>North Charleston</x:v>
      </x:c>
      <x:c r="C869" t="str">
        <x:v>SC</x:v>
      </x:c>
      <x:c r="D869" s="161" t="n">
        <x:v>77.6</x:v>
      </x:c>
      <x:c r="E869" t="n">
        <x:v>0</x:v>
      </x:c>
      <x:c r="F869" t="n">
        <x:v>0</x:v>
      </x:c>
      <x:c r="G869" t="n">
        <x:v>0</x:v>
      </x:c>
      <x:c r="H869" t="n">
        <x:v>0</x:v>
      </x:c>
      <x:c r="I869" t="n">
        <x:v>0</x:v>
      </x:c>
      <x:c r="J869" t="n">
        <x:v>1</x:v>
      </x:c>
      <x:c r="K869" t="n">
        <x:f>SUM(E869:J869)</x:f>
        <x:v>1</x:v>
      </x:c>
      <x:c r="L869" s="163" t="n">
        <x:f>IFERROR(K869/D869,0)</x:f>
        <x:v>0.012886597938144331</x:v>
      </x:c>
      <x:c r="M869" s="160" t="str">
        <x:v>Presence-floor proxy only — 250-city expansion</x:v>
      </x:c>
      <x:c r="N869" s="160" t="str">
        <x:v>Added in the 250-city screening expansion. One-store screening floor only; exact selected-chain count and 5-mile buffer require GIS verification.</x:v>
      </x:c>
      <x:c r="O869" s="160" t="str">
        <x:v>Charleston County</x:v>
      </x:c>
    </x:row>
    <x:row r="870">
      <x:c r="A870" t="n">
        <x:v>915</x:v>
      </x:c>
      <x:c r="B870" t="str">
        <x:v>Cleveland</x:v>
      </x:c>
      <x:c r="C870" t="str">
        <x:v>OH</x:v>
      </x:c>
      <x:c r="D870" s="161" t="n">
        <x:v>77.697</x:v>
      </x:c>
      <x:c r="E870" t="n">
        <x:v>0</x:v>
      </x:c>
      <x:c r="F870" t="n">
        <x:v>0</x:v>
      </x:c>
      <x:c r="G870" t="n">
        <x:v>0</x:v>
      </x:c>
      <x:c r="H870" t="n">
        <x:v>0</x:v>
      </x:c>
      <x:c r="I870" t="n">
        <x:v>0</x:v>
      </x:c>
      <x:c r="J870" t="n">
        <x:v>1</x:v>
      </x:c>
      <x:c r="K870" t="n">
        <x:f>SUM(E870:J870)</x:f>
        <x:v>1</x:v>
      </x:c>
      <x:c r="L870" s="163" t="n">
        <x:f>IFERROR(K870/D870,0)</x:f>
        <x:v>0.012870509800893213</x:v>
      </x:c>
      <x:c r="M870" s="160" t="str">
        <x:v>Presence-floor proxy only</x:v>
      </x:c>
      <x:c r="N870" s="160" t="str">
        <x:v>One-store screening floor only; exact selected-chain count and 5-mile buffer require GIS verification.</x:v>
      </x:c>
      <x:c r="O870" s="160" t="str">
        <x:v>Cuyahoga County</x:v>
      </x:c>
    </x:row>
    <x:row r="871">
      <x:c r="A871" t="n">
        <x:v>916</x:v>
      </x:c>
      <x:c r="B871" t="str">
        <x:v>Cincinnati</x:v>
      </x:c>
      <x:c r="C871" t="str">
        <x:v>OH</x:v>
      </x:c>
      <x:c r="D871" s="161" t="n">
        <x:v>77.942</x:v>
      </x:c>
      <x:c r="E871" t="n">
        <x:v>0</x:v>
      </x:c>
      <x:c r="F871" t="n">
        <x:v>0</x:v>
      </x:c>
      <x:c r="G871" t="n">
        <x:v>0</x:v>
      </x:c>
      <x:c r="H871" t="n">
        <x:v>1</x:v>
      </x:c>
      <x:c r="I871" t="n">
        <x:v>0</x:v>
      </x:c>
      <x:c r="J871" t="n">
        <x:v>0</x:v>
      </x:c>
      <x:c r="K871" t="n">
        <x:f>SUM(E871:J871)</x:f>
        <x:v>1</x:v>
      </x:c>
      <x:c r="L871" s="163" t="n">
        <x:f>IFERROR(K871/D871,0)</x:f>
        <x:v>0.012830053116419902</x:v>
      </x:c>
      <x:c r="M871" s="160" t="str">
        <x:v>Confirmed lower bound</x:v>
      </x:c>
      <x:c r="N871" s="160" t="str">
        <x:v>Verified public-directory count for ≥1 major chain; other selected chains and 5-mile spillover omitted.</x:v>
      </x:c>
      <x:c r="O871" s="160" t="str">
        <x:v>Hamilton County</x:v>
      </x:c>
    </x:row>
    <x:row r="872">
      <x:c r="A872" t="n">
        <x:v>917</x:v>
      </x:c>
      <x:c r="B872" t="str">
        <x:v>Independence</x:v>
      </x:c>
      <x:c r="C872" t="str">
        <x:v>MO</x:v>
      </x:c>
      <x:c r="D872" s="161" t="n">
        <x:v>78</x:v>
      </x:c>
      <x:c r="E872" t="n">
        <x:v>0</x:v>
      </x:c>
      <x:c r="F872" t="n">
        <x:v>0</x:v>
      </x:c>
      <x:c r="G872" t="n">
        <x:v>0</x:v>
      </x:c>
      <x:c r="H872" t="n">
        <x:v>0</x:v>
      </x:c>
      <x:c r="I872" t="n">
        <x:v>0</x:v>
      </x:c>
      <x:c r="J872" t="n">
        <x:v>1</x:v>
      </x:c>
      <x:c r="K872" t="n">
        <x:f>SUM(E872:J872)</x:f>
        <x:v>1</x:v>
      </x:c>
      <x:c r="L872" s="163" t="n">
        <x:f>IFERROR(K872/D872,0)</x:f>
        <x:v>0.01282051282051282</x:v>
      </x:c>
      <x:c r="M872" s="160" t="str">
        <x:v>Presence-floor proxy only — 300-city expansion</x:v>
      </x:c>
      <x:c r="N872" s="160" t="str">
        <x:v>Added in the 300-city screening expansion. One-store screening floor only; exact selected-chain count and 5-mile buffer require GIS verification.</x:v>
      </x:c>
      <x:c r="O872" s="160" t="str">
        <x:v>Jackson County</x:v>
      </x:c>
    </x:row>
    <x:row r="873">
      <x:c r="A873" t="n">
        <x:v>918</x:v>
      </x:c>
      <x:c r="B873" t="str">
        <x:v>St. George</x:v>
      </x:c>
      <x:c r="C873" t="str">
        <x:v>UT</x:v>
      </x:c>
      <x:c r="D873" s="161" t="n">
        <x:v>78.5</x:v>
      </x:c>
      <x:c r="E873" t="n">
        <x:v>0</x:v>
      </x:c>
      <x:c r="F873" t="n">
        <x:v>0</x:v>
      </x:c>
      <x:c r="G873" t="n">
        <x:v>0</x:v>
      </x:c>
      <x:c r="H873" t="n">
        <x:v>0</x:v>
      </x:c>
      <x:c r="I873" t="n">
        <x:v>0</x:v>
      </x:c>
      <x:c r="J873" t="n">
        <x:v>1</x:v>
      </x:c>
      <x:c r="K873" t="n">
        <x:f>SUM(E873:J873)</x:f>
        <x:v>1</x:v>
      </x:c>
      <x:c r="L873" s="163" t="n">
        <x:f>IFERROR(K873/D873,0)</x:f>
        <x:v>0.012738853503184714</x:v>
      </x:c>
      <x:c r="M873" s="160" t="str">
        <x:v>Presence-floor proxy only — 300-city expansion</x:v>
      </x:c>
      <x:c r="N873" s="160" t="str">
        <x:v>Added in the 300-city screening expansion. One-store screening floor only; exact selected-chain count and 5-mile buffer require GIS verification.</x:v>
      </x:c>
      <x:c r="O873" s="160" t="str">
        <x:v>Washington County</x:v>
      </x:c>
    </x:row>
    <x:row r="874">
      <x:c r="A874" t="n">
        <x:v>919</x:v>
      </x:c>
      <x:c r="B874" t="str">
        <x:v>Sioux Falls</x:v>
      </x:c>
      <x:c r="C874" t="str">
        <x:v>SD</x:v>
      </x:c>
      <x:c r="D874" s="161" t="n">
        <x:v>79.1</x:v>
      </x:c>
      <x:c r="E874" t="n">
        <x:v>0</x:v>
      </x:c>
      <x:c r="F874" t="n">
        <x:v>0</x:v>
      </x:c>
      <x:c r="G874" t="n">
        <x:v>0</x:v>
      </x:c>
      <x:c r="H874" t="n">
        <x:v>0</x:v>
      </x:c>
      <x:c r="I874" t="n">
        <x:v>0</x:v>
      </x:c>
      <x:c r="J874" t="n">
        <x:v>1</x:v>
      </x:c>
      <x:c r="K874" t="n">
        <x:f>SUM(E874:J874)</x:f>
        <x:v>1</x:v>
      </x:c>
      <x:c r="L874" s="163" t="n">
        <x:f>IFERROR(K874/D874,0)</x:f>
        <x:v>0.012642225031605564</x:v>
      </x:c>
      <x:c r="M874" s="160" t="str">
        <x:v>Presence-floor proxy only — 200-city expansion</x:v>
      </x:c>
      <x:c r="N874" s="160" t="str">
        <x:v>Added in the 200-city screening expansion. One-store screening floor only; exact selected-chain count and 5-mile buffer require GIS verification.</x:v>
      </x:c>
      <x:c r="O874" s="160" t="str">
        <x:v>Minnehaha County</x:v>
      </x:c>
    </x:row>
    <x:row r="875">
      <x:c r="A875" t="n">
        <x:v>920</x:v>
      </x:c>
      <x:c r="B875" t="str">
        <x:v>Toledo</x:v>
      </x:c>
      <x:c r="C875" t="str">
        <x:v>OH</x:v>
      </x:c>
      <x:c r="D875" s="161" t="n">
        <x:v>80.692</x:v>
      </x:c>
      <x:c r="E875" t="n">
        <x:v>0</x:v>
      </x:c>
      <x:c r="F875" t="n">
        <x:v>0</x:v>
      </x:c>
      <x:c r="G875" t="n">
        <x:v>0</x:v>
      </x:c>
      <x:c r="H875" t="n">
        <x:v>0</x:v>
      </x:c>
      <x:c r="I875" t="n">
        <x:v>0</x:v>
      </x:c>
      <x:c r="J875" t="n">
        <x:v>1</x:v>
      </x:c>
      <x:c r="K875" t="n">
        <x:f>SUM(E875:J875)</x:f>
        <x:v>1</x:v>
      </x:c>
      <x:c r="L875" s="163" t="n">
        <x:f>IFERROR(K875/D875,0)</x:f>
        <x:v>0.012392802260447134</x:v>
      </x:c>
      <x:c r="M875" s="160" t="str">
        <x:v>Presence-floor proxy only</x:v>
      </x:c>
      <x:c r="N875" s="160" t="str">
        <x:v>One-store screening floor only; exact selected-chain count and 5-mile buffer require GIS verification.</x:v>
      </x:c>
      <x:c r="O875" s="160" t="str">
        <x:v>Lucas County</x:v>
      </x:c>
    </x:row>
    <x:row r="876">
      <x:c r="A876" t="n">
        <x:v>921</x:v>
      </x:c>
      <x:c r="B876" t="str">
        <x:v>Baltimore</x:v>
      </x:c>
      <x:c r="C876" t="str">
        <x:v>MD</x:v>
      </x:c>
      <x:c r="D876" s="161" t="n">
        <x:v>80.944</x:v>
      </x:c>
      <x:c r="E876" t="n">
        <x:v>1</x:v>
      </x:c>
      <x:c r="F876" t="n">
        <x:v>0</x:v>
      </x:c>
      <x:c r="G876" t="n">
        <x:v>0</x:v>
      </x:c>
      <x:c r="H876" t="n">
        <x:v>0</x:v>
      </x:c>
      <x:c r="I876" t="n">
        <x:v>0</x:v>
      </x:c>
      <x:c r="J876" t="n">
        <x:v>0</x:v>
      </x:c>
      <x:c r="K876" t="n">
        <x:f>SUM(E876:J876)</x:f>
        <x:v>1</x:v>
      </x:c>
      <x:c r="L876" s="163" t="n">
        <x:f>IFERROR(K876/D876,0)</x:f>
        <x:v>0.012354220201620874</x:v>
      </x:c>
      <x:c r="M876" s="160" t="str">
        <x:v>Confirmed lower bound</x:v>
      </x:c>
      <x:c r="N876" s="160" t="str">
        <x:v>Verified public-directory count for ≥1 major chain; other selected chains and 5-mile spillover omitted.</x:v>
      </x:c>
      <x:c r="O876" s="160" t="str">
        <x:v>Baltimore city</x:v>
      </x:c>
    </x:row>
    <x:row r="877">
      <x:c r="A877" t="n">
        <x:v>922</x:v>
      </x:c>
      <x:c r="B877" t="str">
        <x:v>Riverside</x:v>
      </x:c>
      <x:c r="C877" t="str">
        <x:v>CA</x:v>
      </x:c>
      <x:c r="D877" s="161" t="n">
        <x:v>81.14</x:v>
      </x:c>
      <x:c r="E877" t="n">
        <x:v>0</x:v>
      </x:c>
      <x:c r="F877" t="n">
        <x:v>0</x:v>
      </x:c>
      <x:c r="G877" t="n">
        <x:v>0</x:v>
      </x:c>
      <x:c r="H877" t="n">
        <x:v>0</x:v>
      </x:c>
      <x:c r="I877" t="n">
        <x:v>0</x:v>
      </x:c>
      <x:c r="J877" t="n">
        <x:v>1</x:v>
      </x:c>
      <x:c r="K877" t="n">
        <x:f>SUM(E877:J877)</x:f>
        <x:v>1</x:v>
      </x:c>
      <x:c r="L877" s="163" t="n">
        <x:f>IFERROR(K877/D877,0)</x:f>
        <x:v>0.012324377618930243</x:v>
      </x:c>
      <x:c r="M877" s="160" t="str">
        <x:v>Presence-floor proxy only</x:v>
      </x:c>
      <x:c r="N877" s="160" t="str">
        <x:v>One-store screening floor only; exact selected-chain count and 5-mile buffer require GIS verification.</x:v>
      </x:c>
      <x:c r="O877" s="160" t="str">
        <x:v>Riverside County</x:v>
      </x:c>
    </x:row>
    <x:row r="878">
      <x:c r="A878" t="n">
        <x:v>923</x:v>
      </x:c>
      <x:c r="B878" t="str">
        <x:v>Springfield</x:v>
      </x:c>
      <x:c r="C878" t="str">
        <x:v>MO</x:v>
      </x:c>
      <x:c r="D878" s="161" t="n">
        <x:v>82.4</x:v>
      </x:c>
      <x:c r="E878" t="n">
        <x:v>0</x:v>
      </x:c>
      <x:c r="F878" t="n">
        <x:v>0</x:v>
      </x:c>
      <x:c r="G878" t="n">
        <x:v>0</x:v>
      </x:c>
      <x:c r="H878" t="n">
        <x:v>0</x:v>
      </x:c>
      <x:c r="I878" t="n">
        <x:v>0</x:v>
      </x:c>
      <x:c r="J878" t="n">
        <x:v>1</x:v>
      </x:c>
      <x:c r="K878" t="n">
        <x:f>SUM(E878:J878)</x:f>
        <x:v>1</x:v>
      </x:c>
      <x:c r="L878" s="163" t="n">
        <x:f>IFERROR(K878/D878,0)</x:f>
        <x:v>0.012135922330097087</x:v>
      </x:c>
      <x:c r="M878" s="160" t="str">
        <x:v>Presence-floor proxy only — 200-city expansion</x:v>
      </x:c>
      <x:c r="N878" s="160" t="str">
        <x:v>Added in the 200-city screening expansion. One-store screening floor only; exact selected-chain count and 5-mile buffer require GIS verification.</x:v>
      </x:c>
      <x:c r="O878" s="160" t="str">
        <x:v>Greene County</x:v>
      </x:c>
    </x:row>
    <x:row r="879">
      <x:c r="A879" t="n">
        <x:v>924</x:v>
      </x:c>
      <x:c r="B879" t="str">
        <x:v>Beaumont</x:v>
      </x:c>
      <x:c r="C879" t="str">
        <x:v>TX</x:v>
      </x:c>
      <x:c r="D879" s="161" t="n">
        <x:v>82.5</x:v>
      </x:c>
      <x:c r="E879" t="n">
        <x:v>0</x:v>
      </x:c>
      <x:c r="F879" t="n">
        <x:v>0</x:v>
      </x:c>
      <x:c r="G879" t="n">
        <x:v>0</x:v>
      </x:c>
      <x:c r="H879" t="n">
        <x:v>0</x:v>
      </x:c>
      <x:c r="I879" t="n">
        <x:v>0</x:v>
      </x:c>
      <x:c r="J879" t="n">
        <x:v>1</x:v>
      </x:c>
      <x:c r="K879" t="n">
        <x:f>SUM(E879:J879)</x:f>
        <x:v>1</x:v>
      </x:c>
      <x:c r="L879" s="163" t="n">
        <x:f>IFERROR(K879/D879,0)</x:f>
        <x:v>0.012121212121212121</x:v>
      </x:c>
      <x:c r="M879" s="160" t="str">
        <x:v>Presence-floor proxy only — 300-city expansion</x:v>
      </x:c>
      <x:c r="N879" s="160" t="str">
        <x:v>Added in the 300-city screening expansion. One-store screening floor only; exact selected-chain count and 5-mile buffer require GIS verification.</x:v>
      </x:c>
      <x:c r="O879" s="160" t="str">
        <x:v>Jefferson County</x:v>
      </x:c>
    </x:row>
    <x:row r="880">
      <x:c r="A880" t="n">
        <x:v>925</x:v>
      </x:c>
      <x:c r="B880" t="str">
        <x:v>Virginia Beach</x:v>
      </x:c>
      <x:c r="C880" t="str">
        <x:v>VA</x:v>
      </x:c>
      <x:c r="D880" s="161" t="n">
        <x:v>249.016</x:v>
      </x:c>
      <x:c r="E880" t="n">
        <x:v>1</x:v>
      </x:c>
      <x:c r="F880" t="n">
        <x:v>0</x:v>
      </x:c>
      <x:c r="G880" t="n">
        <x:v>2</x:v>
      </x:c>
      <x:c r="H880" t="n">
        <x:v>0</x:v>
      </x:c>
      <x:c r="I880" t="n">
        <x:v>0</x:v>
      </x:c>
      <x:c r="J880" t="n">
        <x:v>0</x:v>
      </x:c>
      <x:c r="K880" t="n">
        <x:f>SUM(E880:J880)</x:f>
        <x:v>3</x:v>
      </x:c>
      <x:c r="L880" s="163" t="n">
        <x:f>IFERROR(K880/D880,0)</x:f>
        <x:v>0.01204741863976612</x:v>
      </x:c>
      <x:c r="M880" s="160" t="str">
        <x:v>Confirmed lower bound</x:v>
      </x:c>
      <x:c r="N880" s="160" t="str">
        <x:v>Verified public-directory count for ≥1 major chain; other selected chains and 5-mile spillover omitted.</x:v>
      </x:c>
      <x:c r="O880" s="160" t="str">
        <x:v>Virginia Beach city</x:v>
      </x:c>
    </x:row>
    <x:row r="881">
      <x:c r="A881" t="n">
        <x:v>926</x:v>
      </x:c>
      <x:c r="B881" t="str">
        <x:v>Seattle</x:v>
      </x:c>
      <x:c r="C881" t="str">
        <x:v>WA</x:v>
      </x:c>
      <x:c r="D881" s="161" t="n">
        <x:v>83.943</x:v>
      </x:c>
      <x:c r="E881" t="n">
        <x:v>0</x:v>
      </x:c>
      <x:c r="F881" t="n">
        <x:v>0</x:v>
      </x:c>
      <x:c r="G881" t="n">
        <x:v>0</x:v>
      </x:c>
      <x:c r="H881" t="n">
        <x:v>0</x:v>
      </x:c>
      <x:c r="I881" t="n">
        <x:v>0</x:v>
      </x:c>
      <x:c r="J881" t="n">
        <x:v>1</x:v>
      </x:c>
      <x:c r="K881" t="n">
        <x:f>SUM(E881:J881)</x:f>
        <x:v>1</x:v>
      </x:c>
      <x:c r="L881" s="163" t="n">
        <x:f>IFERROR(K881/D881,0)</x:f>
        <x:v>0.011912845621433592</x:v>
      </x:c>
      <x:c r="M881" s="160" t="str">
        <x:v>Presence-floor proxy only</x:v>
      </x:c>
      <x:c r="N881" s="160" t="str">
        <x:v>One-store screening floor only; exact selected-chain count and 5-mile buffer require GIS verification.</x:v>
      </x:c>
      <x:c r="O881" s="160" t="str">
        <x:v>King County</x:v>
      </x:c>
    </x:row>
    <x:row r="882">
      <x:c r="A882" t="n">
        <x:v>927</x:v>
      </x:c>
      <x:c r="B882" t="str">
        <x:v>New Orleans</x:v>
      </x:c>
      <x:c r="C882" t="str">
        <x:v>LA</x:v>
      </x:c>
      <x:c r="D882" s="161" t="n">
        <x:v>169.423</x:v>
      </x:c>
      <x:c r="E882" t="n">
        <x:v>2</x:v>
      </x:c>
      <x:c r="F882" t="n">
        <x:v>0</x:v>
      </x:c>
      <x:c r="G882" t="n">
        <x:v>0</x:v>
      </x:c>
      <x:c r="H882" t="n">
        <x:v>0</x:v>
      </x:c>
      <x:c r="I882" t="n">
        <x:v>0</x:v>
      </x:c>
      <x:c r="J882" t="n">
        <x:v>0</x:v>
      </x:c>
      <x:c r="K882" t="n">
        <x:f>SUM(E882:J882)</x:f>
        <x:v>2</x:v>
      </x:c>
      <x:c r="L882" s="163" t="n">
        <x:f>IFERROR(K882/D882,0)</x:f>
        <x:v>0.011804772669590315</x:v>
      </x:c>
      <x:c r="M882" s="160" t="str">
        <x:v>Confirmed lower bound</x:v>
      </x:c>
      <x:c r="N882" s="160" t="str">
        <x:v>Verified public-directory count for ≥1 major chain; other selected chains and 5-mile spillover omitted.</x:v>
      </x:c>
      <x:c r="O882" s="160" t="str">
        <x:v>Orleans Parish</x:v>
      </x:c>
    </x:row>
    <x:row r="883">
      <x:c r="A883" t="n">
        <x:v>928</x:v>
      </x:c>
      <x:c r="B883" t="str">
        <x:v>El Paso</x:v>
      </x:c>
      <x:c r="C883" t="str">
        <x:v>TX</x:v>
      </x:c>
      <x:c r="D883" s="161" t="n">
        <x:v>255.235</x:v>
      </x:c>
      <x:c r="E883" t="n">
        <x:v>0</x:v>
      </x:c>
      <x:c r="F883" t="n">
        <x:v>3</x:v>
      </x:c>
      <x:c r="G883" t="n">
        <x:v>0</x:v>
      </x:c>
      <x:c r="H883" t="n">
        <x:v>0</x:v>
      </x:c>
      <x:c r="I883" t="n">
        <x:v>0</x:v>
      </x:c>
      <x:c r="J883" t="n">
        <x:v>0</x:v>
      </x:c>
      <x:c r="K883" t="n">
        <x:f>SUM(E883:J883)</x:f>
        <x:v>3</x:v>
      </x:c>
      <x:c r="L883" s="163" t="n">
        <x:f>IFERROR(K883/D883,0)</x:f>
        <x:v>0.011753873880933257</x:v>
      </x:c>
      <x:c r="M883" s="160" t="str">
        <x:v>Confirmed lower bound</x:v>
      </x:c>
      <x:c r="N883" s="160" t="str">
        <x:v>Verified public-directory count for ≥1 major chain; other selected chains and 5-mile spillover omitted.</x:v>
      </x:c>
      <x:c r="O883" s="160" t="str">
        <x:v>El Paso County</x:v>
      </x:c>
    </x:row>
    <x:row r="884">
      <x:c r="A884" t="n">
        <x:v>929</x:v>
      </x:c>
      <x:c r="B884" t="str">
        <x:v>South Fulton</x:v>
      </x:c>
      <x:c r="C884" t="str">
        <x:v>GA</x:v>
      </x:c>
      <x:c r="D884" s="161" t="n">
        <x:v>85.2</x:v>
      </x:c>
      <x:c r="E884" t="n">
        <x:v>0</x:v>
      </x:c>
      <x:c r="F884" t="n">
        <x:v>0</x:v>
      </x:c>
      <x:c r="G884" t="n">
        <x:v>0</x:v>
      </x:c>
      <x:c r="H884" t="n">
        <x:v>0</x:v>
      </x:c>
      <x:c r="I884" t="n">
        <x:v>0</x:v>
      </x:c>
      <x:c r="J884" t="n">
        <x:v>1</x:v>
      </x:c>
      <x:c r="K884" t="n">
        <x:f>SUM(E884:J884)</x:f>
        <x:v>1</x:v>
      </x:c>
      <x:c r="L884" s="163" t="n">
        <x:f>IFERROR(K884/D884,0)</x:f>
        <x:v>0.011737089201877934</x:v>
      </x:c>
      <x:c r="M884" s="160" t="str">
        <x:v>Presence-floor proxy only — 300-city expansion</x:v>
      </x:c>
      <x:c r="N884" s="160" t="str">
        <x:v>Added in the 300-city screening expansion. One-store screening floor only; exact selected-chain count and 5-mile buffer require GIS verification.</x:v>
      </x:c>
      <x:c r="O884" s="160" t="str">
        <x:v>Fulton County</x:v>
      </x:c>
    </x:row>
    <x:row r="885">
      <x:c r="A885" t="n">
        <x:v>930</x:v>
      </x:c>
      <x:c r="B885" t="str">
        <x:v>Boise</x:v>
      </x:c>
      <x:c r="C885" t="str">
        <x:v>ID</x:v>
      </x:c>
      <x:c r="D885" s="161" t="n">
        <x:v>86.101</x:v>
      </x:c>
      <x:c r="E885" t="n">
        <x:v>0</x:v>
      </x:c>
      <x:c r="F885" t="n">
        <x:v>0</x:v>
      </x:c>
      <x:c r="G885" t="n">
        <x:v>0</x:v>
      </x:c>
      <x:c r="H885" t="n">
        <x:v>0</x:v>
      </x:c>
      <x:c r="I885" t="n">
        <x:v>0</x:v>
      </x:c>
      <x:c r="J885" t="n">
        <x:v>1</x:v>
      </x:c>
      <x:c r="K885" t="n">
        <x:f>SUM(E885:J885)</x:f>
        <x:v>1</x:v>
      </x:c>
      <x:c r="L885" s="163" t="n">
        <x:f>IFERROR(K885/D885,0)</x:f>
        <x:v>0.01161426696554047</x:v>
      </x:c>
      <x:c r="M885" s="160" t="str">
        <x:v>Presence-floor proxy only</x:v>
      </x:c>
      <x:c r="N885" s="160" t="str">
        <x:v>One-store screening floor only; exact selected-chain count and 5-mile buffer require GIS verification.</x:v>
      </x:c>
      <x:c r="O885" s="160" t="str">
        <x:v>Ada County</x:v>
      </x:c>
    </x:row>
    <x:row r="886">
      <x:c r="A886" t="n">
        <x:v>931</x:v>
      </x:c>
      <x:c r="B886" t="str">
        <x:v>Palm Bay</x:v>
      </x:c>
      <x:c r="C886" t="str">
        <x:v>FL</x:v>
      </x:c>
      <x:c r="D886" s="161" t="n">
        <x:v>86.4</x:v>
      </x:c>
      <x:c r="E886" t="n">
        <x:v>0</x:v>
      </x:c>
      <x:c r="F886" t="n">
        <x:v>0</x:v>
      </x:c>
      <x:c r="G886" t="n">
        <x:v>0</x:v>
      </x:c>
      <x:c r="H886" t="n">
        <x:v>0</x:v>
      </x:c>
      <x:c r="I886" t="n">
        <x:v>0</x:v>
      </x:c>
      <x:c r="J886" t="n">
        <x:v>1</x:v>
      </x:c>
      <x:c r="K886" t="n">
        <x:f>SUM(E886:J886)</x:f>
        <x:v>1</x:v>
      </x:c>
      <x:c r="L886" s="163" t="n">
        <x:f>IFERROR(K886/D886,0)</x:f>
        <x:v>0.011574074074074073</x:v>
      </x:c>
      <x:c r="M886" s="160" t="str">
        <x:v>Presence-floor proxy only — 200-city expansion</x:v>
      </x:c>
      <x:c r="N886" s="160" t="str">
        <x:v>Added in the 200-city screening expansion. One-store screening floor only; exact selected-chain count and 5-mile buffer require GIS verification.</x:v>
      </x:c>
      <x:c r="O886" s="160" t="str">
        <x:v>Brevard County</x:v>
      </x:c>
    </x:row>
    <x:row r="887">
      <x:c r="A887" t="n">
        <x:v>932</x:v>
      </x:c>
      <x:c r="B887" t="str">
        <x:v>Des Moines</x:v>
      </x:c>
      <x:c r="C887" t="str">
        <x:v>IA</x:v>
      </x:c>
      <x:c r="D887" s="161" t="n">
        <x:v>88.2</x:v>
      </x:c>
      <x:c r="E887" t="n">
        <x:v>0</x:v>
      </x:c>
      <x:c r="F887" t="n">
        <x:v>0</x:v>
      </x:c>
      <x:c r="G887" t="n">
        <x:v>0</x:v>
      </x:c>
      <x:c r="H887" t="n">
        <x:v>0</x:v>
      </x:c>
      <x:c r="I887" t="n">
        <x:v>0</x:v>
      </x:c>
      <x:c r="J887" t="n">
        <x:v>1</x:v>
      </x:c>
      <x:c r="K887" t="n">
        <x:f>SUM(E887:J887)</x:f>
        <x:v>1</x:v>
      </x:c>
      <x:c r="L887" s="163" t="n">
        <x:f>IFERROR(K887/D887,0)</x:f>
        <x:v>0.011337868480725623</x:v>
      </x:c>
      <x:c r="M887" s="160" t="str">
        <x:v>Presence-floor proxy only — 200-city expansion</x:v>
      </x:c>
      <x:c r="N887" s="160" t="str">
        <x:v>Added in the 200-city screening expansion. One-store screening floor only; exact selected-chain count and 5-mile buffer require GIS verification.</x:v>
      </x:c>
      <x:c r="O887" s="160" t="str">
        <x:v>Polk County</x:v>
      </x:c>
    </x:row>
    <x:row r="888">
      <x:c r="A888" t="n">
        <x:v>933</x:v>
      </x:c>
      <x:c r="B888" t="str">
        <x:v>Galloway Township</x:v>
      </x:c>
      <x:c r="C888" t="str">
        <x:v>NJ</x:v>
      </x:c>
      <x:c r="D888" s="161" t="n">
        <x:v>88.668</x:v>
      </x:c>
      <x:c r="E888" t="n">
        <x:v>0</x:v>
      </x:c>
      <x:c r="F888" t="n">
        <x:v>0</x:v>
      </x:c>
      <x:c r="G888" t="n">
        <x:v>0</x:v>
      </x:c>
      <x:c r="H888" t="n">
        <x:v>0</x:v>
      </x:c>
      <x:c r="I888" t="n">
        <x:v>0</x:v>
      </x:c>
      <x:c r="J888" t="n">
        <x:v>1</x:v>
      </x:c>
      <x:c r="K888" t="n">
        <x:f>SUM(E888:J888)</x:f>
        <x:v>1</x:v>
      </x:c>
      <x:c r="L888" s="163" t="n">
        <x:f>IFERROR(K888/D888,0)</x:f>
        <x:v>0.011278025894347453</x:v>
      </x:c>
      <x:c r="M888" s="160" t="str">
        <x:v>Presence-floor proxy only — 10k+ municipality completion</x:v>
      </x:c>
      <x:c r="N888"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888" s="160" t="str">
        <x:v>Atlantic County</x:v>
      </x:c>
    </x:row>
    <x:row r="889">
      <x:c r="A889" t="n">
        <x:v>934</x:v>
      </x:c>
      <x:c r="B889" t="str">
        <x:v>Waco</x:v>
      </x:c>
      <x:c r="C889" t="str">
        <x:v>TX</x:v>
      </x:c>
      <x:c r="D889" s="161" t="n">
        <x:v>88.7</x:v>
      </x:c>
      <x:c r="E889" t="n">
        <x:v>0</x:v>
      </x:c>
      <x:c r="F889" t="n">
        <x:v>0</x:v>
      </x:c>
      <x:c r="G889" t="n">
        <x:v>0</x:v>
      </x:c>
      <x:c r="H889" t="n">
        <x:v>0</x:v>
      </x:c>
      <x:c r="I889" t="n">
        <x:v>0</x:v>
      </x:c>
      <x:c r="J889" t="n">
        <x:v>1</x:v>
      </x:c>
      <x:c r="K889" t="n">
        <x:f>SUM(E889:J889)</x:f>
        <x:v>1</x:v>
      </x:c>
      <x:c r="L889" s="163" t="n">
        <x:f>IFERROR(K889/D889,0)</x:f>
        <x:v>0.011273957158962795</x:v>
      </x:c>
      <x:c r="M889" s="160" t="str">
        <x:v>Presence-floor proxy only — 200-city expansion</x:v>
      </x:c>
      <x:c r="N889" s="160" t="str">
        <x:v>Added in the 200-city screening expansion. One-store screening floor only; exact selected-chain count and 5-mile buffer require GIS verification.</x:v>
      </x:c>
      <x:c r="O889" s="160" t="str">
        <x:v>McLennan County</x:v>
      </x:c>
    </x:row>
    <x:row r="890">
      <x:c r="A890" t="n">
        <x:v>935</x:v>
      </x:c>
      <x:c r="B890" t="str">
        <x:v>Lincoln</x:v>
      </x:c>
      <x:c r="C890" t="str">
        <x:v>NE</x:v>
      </x:c>
      <x:c r="D890" s="161" t="n">
        <x:v>89.114</x:v>
      </x:c>
      <x:c r="E890" t="n">
        <x:v>0</x:v>
      </x:c>
      <x:c r="F890" t="n">
        <x:v>0</x:v>
      </x:c>
      <x:c r="G890" t="n">
        <x:v>0</x:v>
      </x:c>
      <x:c r="H890" t="n">
        <x:v>0</x:v>
      </x:c>
      <x:c r="I890" t="n">
        <x:v>0</x:v>
      </x:c>
      <x:c r="J890" t="n">
        <x:v>1</x:v>
      </x:c>
      <x:c r="K890" t="n">
        <x:f>SUM(E890:J890)</x:f>
        <x:v>1</x:v>
      </x:c>
      <x:c r="L890" s="163" t="n">
        <x:f>IFERROR(K890/D890,0)</x:f>
        <x:v>0.01122158134524317</x:v>
      </x:c>
      <x:c r="M890" s="160" t="str">
        <x:v>Presence-floor proxy only</x:v>
      </x:c>
      <x:c r="N890" s="160" t="str">
        <x:v>One-store screening floor only; exact selected-chain count and 5-mile buffer require GIS verification.</x:v>
      </x:c>
      <x:c r="O890" s="160" t="str">
        <x:v>Lancaster County</x:v>
      </x:c>
    </x:row>
    <x:row r="891">
      <x:c r="A891" t="n">
        <x:v>937</x:v>
      </x:c>
      <x:c r="B891" t="str">
        <x:v>Albuquerque</x:v>
      </x:c>
      <x:c r="C891" t="str">
        <x:v>NM</x:v>
      </x:c>
      <x:c r="D891" s="161" t="n">
        <x:v>187.73</x:v>
      </x:c>
      <x:c r="E891" t="n">
        <x:v>2</x:v>
      </x:c>
      <x:c r="F891" t="n">
        <x:v>0</x:v>
      </x:c>
      <x:c r="G891" t="n">
        <x:v>0</x:v>
      </x:c>
      <x:c r="H891" t="n">
        <x:v>0</x:v>
      </x:c>
      <x:c r="I891" t="n">
        <x:v>0</x:v>
      </x:c>
      <x:c r="J891" t="n">
        <x:v>0</x:v>
      </x:c>
      <x:c r="K891" t="n">
        <x:f>SUM(E891:J891)</x:f>
        <x:v>2</x:v>
      </x:c>
      <x:c r="L891" s="163" t="n">
        <x:f>IFERROR(K891/D891,0)</x:f>
        <x:v>0.010653598252809888</x:v>
      </x:c>
      <x:c r="M891" s="160" t="str">
        <x:v>Confirmed lower bound</x:v>
      </x:c>
      <x:c r="N891" s="160" t="str">
        <x:v>Verified public-directory count for ≥1 major chain; other selected chains and 5-mile spillover omitted.</x:v>
      </x:c>
      <x:c r="O891" s="160" t="str">
        <x:v>Bernalillo County</x:v>
      </x:c>
    </x:row>
    <x:row r="892">
      <x:c r="A892" t="n">
        <x:v>938</x:v>
      </x:c>
      <x:c r="B892" t="str">
        <x:v>Huntington Town</x:v>
      </x:c>
      <x:c r="C892" t="str">
        <x:v>NY</x:v>
      </x:c>
      <x:c r="D892" s="161" t="n">
        <x:v>94.039</x:v>
      </x:c>
      <x:c r="E892" t="n">
        <x:v>0</x:v>
      </x:c>
      <x:c r="F892" t="n">
        <x:v>0</x:v>
      </x:c>
      <x:c r="G892" t="n">
        <x:v>0</x:v>
      </x:c>
      <x:c r="H892" t="n">
        <x:v>0</x:v>
      </x:c>
      <x:c r="I892" t="n">
        <x:v>0</x:v>
      </x:c>
      <x:c r="J892" t="n">
        <x:v>1</x:v>
      </x:c>
      <x:c r="K892" t="n">
        <x:f>SUM(E892:J892)</x:f>
        <x:v>1</x:v>
      </x:c>
      <x:c r="L892" s="163" t="n">
        <x:f>IFERROR(K892/D892,0)</x:f>
        <x:v>0.010633885940939397</x:v>
      </x:c>
      <x:c r="M892" s="160" t="str">
        <x:v>Presence-floor proxy only — 10k+ municipality completion</x:v>
      </x:c>
      <x:c r="N892"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892" s="160" t="str">
        <x:v>Suffolk County</x:v>
      </x:c>
    </x:row>
    <x:row r="893">
      <x:c r="A893" t="n">
        <x:v>939</x:v>
      </x:c>
      <x:c r="B893" t="str">
        <x:v>Lancaster</x:v>
      </x:c>
      <x:c r="C893" t="str">
        <x:v>CA</x:v>
      </x:c>
      <x:c r="D893" s="161" t="n">
        <x:v>94.3</x:v>
      </x:c>
      <x:c r="E893" t="n">
        <x:v>0</x:v>
      </x:c>
      <x:c r="F893" t="n">
        <x:v>0</x:v>
      </x:c>
      <x:c r="G893" t="n">
        <x:v>0</x:v>
      </x:c>
      <x:c r="H893" t="n">
        <x:v>0</x:v>
      </x:c>
      <x:c r="I893" t="n">
        <x:v>0</x:v>
      </x:c>
      <x:c r="J893" t="n">
        <x:v>1</x:v>
      </x:c>
      <x:c r="K893" t="n">
        <x:f>SUM(E893:J893)</x:f>
        <x:v>1</x:v>
      </x:c>
      <x:c r="L893" s="163" t="n">
        <x:f>IFERROR(K893/D893,0)</x:f>
        <x:v>0.010604453870625663</x:v>
      </x:c>
      <x:c r="M893" s="160" t="str">
        <x:v>Presence-floor proxy only — 200-city expansion</x:v>
      </x:c>
      <x:c r="N893" s="160" t="str">
        <x:v>Added in the 200-city screening expansion. One-store screening floor only; exact selected-chain count and 5-mile buffer require GIS verification.</x:v>
      </x:c>
      <x:c r="O893" s="160" t="str">
        <x:v>Los Angeles County</x:v>
      </x:c>
    </x:row>
    <x:row r="894">
      <x:c r="A894" t="n">
        <x:v>940</x:v>
      </x:c>
      <x:c r="B894" t="str">
        <x:v>Palm Coast</x:v>
      </x:c>
      <x:c r="C894" t="str">
        <x:v>FL</x:v>
      </x:c>
      <x:c r="D894" s="161" t="n">
        <x:v>95.4</x:v>
      </x:c>
      <x:c r="E894" t="n">
        <x:v>0</x:v>
      </x:c>
      <x:c r="F894" t="n">
        <x:v>0</x:v>
      </x:c>
      <x:c r="G894" t="n">
        <x:v>0</x:v>
      </x:c>
      <x:c r="H894" t="n">
        <x:v>0</x:v>
      </x:c>
      <x:c r="I894" t="n">
        <x:v>0</x:v>
      </x:c>
      <x:c r="J894" t="n">
        <x:v>1</x:v>
      </x:c>
      <x:c r="K894" t="n">
        <x:f>SUM(E894:J894)</x:f>
        <x:v>1</x:v>
      </x:c>
      <x:c r="L894" s="163" t="n">
        <x:f>IFERROR(K894/D894,0)</x:f>
        <x:v>0.010482180293501047</x:v>
      </x:c>
      <x:c r="M894" s="160" t="str">
        <x:v>Presence-floor proxy only — 300-city expansion</x:v>
      </x:c>
      <x:c r="N894" s="160" t="str">
        <x:v>Added in the 300-city screening expansion. One-store screening floor only; exact selected-chain count and 5-mile buffer require GIS verification.</x:v>
      </x:c>
      <x:c r="O894" s="160" t="str">
        <x:v>Flagler County</x:v>
      </x:c>
    </x:row>
    <x:row r="895">
      <x:c r="A895" t="n">
        <x:v>941</x:v>
      </x:c>
      <x:c r="B895" t="str">
        <x:v>Derry Township</x:v>
      </x:c>
      <x:c r="C895" t="str">
        <x:v>PA</x:v>
      </x:c>
      <x:c r="D895" s="161" t="n">
        <x:v>95.571</x:v>
      </x:c>
      <x:c r="E895" t="n">
        <x:v>0</x:v>
      </x:c>
      <x:c r="F895" t="n">
        <x:v>0</x:v>
      </x:c>
      <x:c r="G895" t="n">
        <x:v>0</x:v>
      </x:c>
      <x:c r="H895" t="n">
        <x:v>0</x:v>
      </x:c>
      <x:c r="I895" t="n">
        <x:v>0</x:v>
      </x:c>
      <x:c r="J895" t="n">
        <x:v>1</x:v>
      </x:c>
      <x:c r="K895" t="n">
        <x:f>SUM(E895:J895)</x:f>
        <x:v>1</x:v>
      </x:c>
      <x:c r="L895" s="163" t="n">
        <x:f>IFERROR(K895/D895,0)</x:f>
        <x:v>0.010463425097571439</x:v>
      </x:c>
      <x:c r="M895" s="160" t="str">
        <x:v>Presence-floor proxy only — 10k+ municipality completion</x:v>
      </x:c>
      <x:c r="N895" s="160" t="str">
        <x:v>Added under the documented ≥300k county fallback: Census Vintage 2025 municipality population ≥10,000; general-purpose city-equivalent municipality; direct Census adjacency. Presence-floor proxy only — exact tracked-chain count requires municipal-boundary/GIS verification. Mount Pleasant Township is excluded because its Census Vintage 2025 estimate is below 10,000.</x:v>
      </x:c>
      <x:c r="O895" s="160" t="str">
        <x:v>Westmoreland County</x:v>
      </x:c>
    </x:row>
    <x:row r="896">
      <x:c r="A896" t="n">
        <x:v>942</x:v>
      </x:c>
      <x:c r="B896" t="str">
        <x:v>Arlington</x:v>
      </x:c>
      <x:c r="C896" t="str">
        <x:v>TX</x:v>
      </x:c>
      <x:c r="D896" s="161" t="n">
        <x:v>95.882</x:v>
      </x:c>
      <x:c r="E896" t="n">
        <x:v>0</x:v>
      </x:c>
      <x:c r="F896" t="n">
        <x:v>0</x:v>
      </x:c>
      <x:c r="G896" t="n">
        <x:v>0</x:v>
      </x:c>
      <x:c r="H896" t="n">
        <x:v>0</x:v>
      </x:c>
      <x:c r="I896" t="n">
        <x:v>0</x:v>
      </x:c>
      <x:c r="J896" t="n">
        <x:v>1</x:v>
      </x:c>
      <x:c r="K896" t="n">
        <x:f>SUM(E896:J896)</x:f>
        <x:v>1</x:v>
      </x:c>
      <x:c r="L896" s="163" t="n">
        <x:f>IFERROR(K896/D896,0)</x:f>
        <x:v>0.010429486243507645</x:v>
      </x:c>
      <x:c r="M896" s="160" t="str">
        <x:v>Presence-floor proxy only</x:v>
      </x:c>
      <x:c r="N896" s="160" t="str">
        <x:v>One-store screening floor only; exact selected-chain count and 5-mile buffer require GIS verification.</x:v>
      </x:c>
      <x:c r="O896" s="160" t="str">
        <x:v>Tarrant County</x:v>
      </x:c>
    </x:row>
    <x:row r="897">
      <x:c r="A897" t="n">
        <x:v>943</x:v>
      </x:c>
      <x:c r="B897" t="str">
        <x:v>Milwaukee</x:v>
      </x:c>
      <x:c r="C897" t="str">
        <x:v>WI</x:v>
      </x:c>
      <x:c r="D897" s="161" t="n">
        <x:v>96.122</x:v>
      </x:c>
      <x:c r="E897" t="n">
        <x:v>1</x:v>
      </x:c>
      <x:c r="F897" t="n">
        <x:v>0</x:v>
      </x:c>
      <x:c r="G897" t="n">
        <x:v>0</x:v>
      </x:c>
      <x:c r="H897" t="n">
        <x:v>0</x:v>
      </x:c>
      <x:c r="I897" t="n">
        <x:v>0</x:v>
      </x:c>
      <x:c r="J897" t="n">
        <x:v>0</x:v>
      </x:c>
      <x:c r="K897" t="n">
        <x:f>SUM(E897:J897)</x:f>
        <x:v>1</x:v>
      </x:c>
      <x:c r="L897" s="163" t="n">
        <x:f>IFERROR(K897/D897,0)</x:f>
        <x:v>0.010403445621189738</x:v>
      </x:c>
      <x:c r="M897" s="160" t="str">
        <x:v>Confirmed lower bound</x:v>
      </x:c>
      <x:c r="N897" s="160" t="str">
        <x:v>Verified public-directory count for ≥1 major chain; other selected chains and 5-mile spillover omitted.</x:v>
      </x:c>
      <x:c r="O897" s="160" t="str">
        <x:v>Milwaukee County</x:v>
      </x:c>
    </x:row>
    <x:row r="898">
      <x:c r="A898" t="n">
        <x:v>944</x:v>
      </x:c>
      <x:c r="B898" t="str">
        <x:v>Denton</x:v>
      </x:c>
      <x:c r="C898" t="str">
        <x:v>TX</x:v>
      </x:c>
      <x:c r="D898" s="161" t="n">
        <x:v>96.4</x:v>
      </x:c>
      <x:c r="E898" t="n">
        <x:v>0</x:v>
      </x:c>
      <x:c r="F898" t="n">
        <x:v>0</x:v>
      </x:c>
      <x:c r="G898" t="n">
        <x:v>0</x:v>
      </x:c>
      <x:c r="H898" t="n">
        <x:v>0</x:v>
      </x:c>
      <x:c r="I898" t="n">
        <x:v>0</x:v>
      </x:c>
      <x:c r="J898" t="n">
        <x:v>1</x:v>
      </x:c>
      <x:c r="K898" t="n">
        <x:f>SUM(E898:J898)</x:f>
        <x:v>1</x:v>
      </x:c>
      <x:c r="L898" s="163" t="n">
        <x:f>IFERROR(K898/D898,0)</x:f>
        <x:v>0.01037344398340249</x:v>
      </x:c>
      <x:c r="M898" s="160" t="str">
        <x:v>Presence-floor proxy only — 200-city expansion</x:v>
      </x:c>
      <x:c r="N898" s="160" t="str">
        <x:v>Added in the 200-city screening expansion. One-store screening floor only; exact selected-chain count and 5-mile buffer require GIS verification.</x:v>
      </x:c>
      <x:c r="O898" s="160" t="str">
        <x:v>Denton County</x:v>
      </x:c>
    </x:row>
    <x:row r="899">
      <x:c r="A899" t="n">
        <x:v>945</x:v>
      </x:c>
      <x:c r="B899" t="str">
        <x:v>Sacramento</x:v>
      </x:c>
      <x:c r="C899" t="str">
        <x:v>CA</x:v>
      </x:c>
      <x:c r="D899" s="161" t="n">
        <x:v>97.915</x:v>
      </x:c>
      <x:c r="E899" t="n">
        <x:v>0</x:v>
      </x:c>
      <x:c r="F899" t="n">
        <x:v>0</x:v>
      </x:c>
      <x:c r="G899" t="n">
        <x:v>0</x:v>
      </x:c>
      <x:c r="H899" t="n">
        <x:v>0</x:v>
      </x:c>
      <x:c r="I899" t="n">
        <x:v>0</x:v>
      </x:c>
      <x:c r="J899" t="n">
        <x:v>1</x:v>
      </x:c>
      <x:c r="K899" t="n">
        <x:f>SUM(E899:J899)</x:f>
        <x:v>1</x:v>
      </x:c>
      <x:c r="L899" s="163" t="n">
        <x:f>IFERROR(K899/D899,0)</x:f>
        <x:v>0.010212939794719909</x:v>
      </x:c>
      <x:c r="M899" s="160" t="str">
        <x:v>Presence-floor proxy only</x:v>
      </x:c>
      <x:c r="N899" s="160" t="str">
        <x:v>One-store screening floor only; exact selected-chain count and 5-mile buffer require GIS verification.</x:v>
      </x:c>
      <x:c r="O899" s="160" t="str">
        <x:v>Sacramento County</x:v>
      </x:c>
    </x:row>
    <x:row r="900">
      <x:c r="A900" t="n">
        <x:v>946</x:v>
      </x:c>
      <x:c r="B900" t="str">
        <x:v>Knoxville</x:v>
      </x:c>
      <x:c r="C900" t="str">
        <x:v>TN</x:v>
      </x:c>
      <x:c r="D900" s="161" t="n">
        <x:v>98.7</x:v>
      </x:c>
      <x:c r="E900" t="n">
        <x:v>0</x:v>
      </x:c>
      <x:c r="F900" t="n">
        <x:v>0</x:v>
      </x:c>
      <x:c r="G900" t="n">
        <x:v>0</x:v>
      </x:c>
      <x:c r="H900" t="n">
        <x:v>0</x:v>
      </x:c>
      <x:c r="I900" t="n">
        <x:v>0</x:v>
      </x:c>
      <x:c r="J900" t="n">
        <x:v>1</x:v>
      </x:c>
      <x:c r="K900" t="n">
        <x:f>SUM(E900:J900)</x:f>
        <x:v>1</x:v>
      </x:c>
      <x:c r="L900" s="163" t="n">
        <x:f>IFERROR(K900/D900,0)</x:f>
        <x:v>0.010131712259371834</x:v>
      </x:c>
      <x:c r="M900" s="160" t="str">
        <x:v>Presence-floor proxy only — 200-city expansion</x:v>
      </x:c>
      <x:c r="N900" s="160" t="str">
        <x:v>Added in the 200-city screening expansion. One-store screening floor only; exact selected-chain count and 5-mile buffer require GIS verification.</x:v>
      </x:c>
      <x:c r="O900" s="160" t="str">
        <x:v>Knox County</x:v>
      </x:c>
    </x:row>
    <x:row r="901">
      <x:c r="A901" t="n">
        <x:v>947</x:v>
      </x:c>
      <x:c r="B901" t="str">
        <x:v>Clarksville</x:v>
      </x:c>
      <x:c r="C901" t="str">
        <x:v>TN</x:v>
      </x:c>
      <x:c r="D901" s="161" t="n">
        <x:v>99.4</x:v>
      </x:c>
      <x:c r="E901" t="n">
        <x:v>0</x:v>
      </x:c>
      <x:c r="F901" t="n">
        <x:v>0</x:v>
      </x:c>
      <x:c r="G901" t="n">
        <x:v>0</x:v>
      </x:c>
      <x:c r="H901" t="n">
        <x:v>0</x:v>
      </x:c>
      <x:c r="I901" t="n">
        <x:v>0</x:v>
      </x:c>
      <x:c r="J901" t="n">
        <x:v>1</x:v>
      </x:c>
      <x:c r="K901" t="n">
        <x:f>SUM(E901:J901)</x:f>
        <x:v>1</x:v>
      </x:c>
      <x:c r="L901" s="163" t="n">
        <x:f>IFERROR(K901/D901,0)</x:f>
        <x:v>0.01006036217303823</x:v>
      </x:c>
      <x:c r="M901" s="160" t="str">
        <x:v>Presence-floor proxy only — 200-city expansion</x:v>
      </x:c>
      <x:c r="N901" s="160" t="str">
        <x:v>Added in the 200-city screening expansion. One-store screening floor only; exact selected-chain count and 5-mile buffer require GIS verification.</x:v>
      </x:c>
      <x:c r="O901" s="160" t="str">
        <x:v>Montgomery County</x:v>
      </x:c>
    </x:row>
    <x:row r="902">
      <x:c r="A902" t="n">
        <x:v>948</x:v>
      </x:c>
      <x:c r="B902" t="str">
        <x:v>Tallahassee</x:v>
      </x:c>
      <x:c r="C902" t="str">
        <x:v>FL</x:v>
      </x:c>
      <x:c r="D902" s="161" t="n">
        <x:v>100.9</x:v>
      </x:c>
      <x:c r="E902" t="n">
        <x:v>0</x:v>
      </x:c>
      <x:c r="F902" t="n">
        <x:v>0</x:v>
      </x:c>
      <x:c r="G902" t="n">
        <x:v>0</x:v>
      </x:c>
      <x:c r="H902" t="n">
        <x:v>0</x:v>
      </x:c>
      <x:c r="I902" t="n">
        <x:v>0</x:v>
      </x:c>
      <x:c r="J902" t="n">
        <x:v>1</x:v>
      </x:c>
      <x:c r="K902" t="n">
        <x:f>SUM(E902:J902)</x:f>
        <x:v>1</x:v>
      </x:c>
      <x:c r="L902" s="163" t="n">
        <x:f>IFERROR(K902/D902,0)</x:f>
        <x:v>0.009910802775024777</x:v>
      </x:c>
      <x:c r="M902" s="160" t="str">
        <x:v>Presence-floor proxy only — 200-city expansion</x:v>
      </x:c>
      <x:c r="N902" s="160" t="str">
        <x:v>Added in the 200-city screening expansion. One-store screening floor only; exact selected-chain count and 5-mile buffer require GIS verification.</x:v>
      </x:c>
      <x:c r="O902" s="160" t="str">
        <x:v>Leon County</x:v>
      </x:c>
    </x:row>
    <x:row r="903">
      <x:c r="A903" t="n">
        <x:v>949</x:v>
      </x:c>
      <x:c r="B903" t="str">
        <x:v>Warwick Town</x:v>
      </x:c>
      <x:c r="C903" t="str">
        <x:v>NY</x:v>
      </x:c>
      <x:c r="D903" s="161" t="n">
        <x:v>101.296</x:v>
      </x:c>
      <x:c r="E903" t="n">
        <x:v>0</x:v>
      </x:c>
      <x:c r="F903" t="n">
        <x:v>0</x:v>
      </x:c>
      <x:c r="G903" t="n">
        <x:v>0</x:v>
      </x:c>
      <x:c r="H903" t="n">
        <x:v>0</x:v>
      </x:c>
      <x:c r="I903" t="n">
        <x:v>0</x:v>
      </x:c>
      <x:c r="J903" t="n">
        <x:v>1</x:v>
      </x:c>
      <x:c r="K903" t="n">
        <x:f>SUM(E903:J903)</x:f>
        <x:v>1</x:v>
      </x:c>
      <x:c r="L903" s="163" t="n">
        <x:f>IFERROR(K903/D903,0)</x:f>
        <x:v>0.009872058126678249</x:v>
      </x:c>
      <x:c r="M903" s="160" t="str">
        <x:v>Presence-floor proxy only — 10k+ municipality completion</x:v>
      </x:c>
      <x:c r="N903" s="160" t="str">
        <x:v>Added under the 2026-09-14 next-five rule: Census Vintage 2025 municipality population &gt;=10,000; general-purpose city-equivalent municipality; county population floor relaxed from &gt;=500,000 to &gt;=300,000 because the &gt;=500,000 unrepresented pool was exhausted. Presence-floor proxy only — exact tracked-chain count requires municipal-boundary/GIS verification. New York nested villages are excluded to preserve the non-overlapping cities + towns convention. Adams Fairacre Farms provides county specialty-grocery evidence.</x:v>
      </x:c>
      <x:c r="O903" s="160" t="str">
        <x:v>Orange County</x:v>
      </x:c>
    </x:row>
    <x:row r="904">
      <x:c r="A904" t="n">
        <x:v>950</x:v>
      </x:c>
      <x:c r="B904" t="str">
        <x:v>North Las Vegas</x:v>
      </x:c>
      <x:c r="C904" t="str">
        <x:v>NV</x:v>
      </x:c>
      <x:c r="D904" s="161" t="n">
        <x:v>101.345</x:v>
      </x:c>
      <x:c r="E904" t="n">
        <x:v>0</x:v>
      </x:c>
      <x:c r="F904" t="n">
        <x:v>0</x:v>
      </x:c>
      <x:c r="G904" t="n">
        <x:v>0</x:v>
      </x:c>
      <x:c r="H904" t="n">
        <x:v>0</x:v>
      </x:c>
      <x:c r="I904" t="n">
        <x:v>0</x:v>
      </x:c>
      <x:c r="J904" t="n">
        <x:v>1</x:v>
      </x:c>
      <x:c r="K904" t="n">
        <x:f>SUM(E904:J904)</x:f>
        <x:v>1</x:v>
      </x:c>
      <x:c r="L904" s="163" t="n">
        <x:f>IFERROR(K904/D904,0)</x:f>
        <x:v>0.009867285016527703</x:v>
      </x:c>
      <x:c r="M904" s="160" t="str">
        <x:v>Presence-floor proxy only</x:v>
      </x:c>
      <x:c r="N904" s="160" t="str">
        <x:v>One-store screening floor only; exact selected-chain count and 5-mile buffer require GIS verification.</x:v>
      </x:c>
      <x:c r="O904" s="160" t="str">
        <x:v>Clark County</x:v>
      </x:c>
    </x:row>
    <x:row r="905">
      <x:c r="A905" t="n">
        <x:v>951</x:v>
      </x:c>
      <x:c r="B905" t="str">
        <x:v>Amarillo</x:v>
      </x:c>
      <x:c r="C905" t="str">
        <x:v>TX</x:v>
      </x:c>
      <x:c r="D905" s="161" t="n">
        <x:v>102.3</x:v>
      </x:c>
      <x:c r="E905" t="n">
        <x:v>0</x:v>
      </x:c>
      <x:c r="F905" t="n">
        <x:v>0</x:v>
      </x:c>
      <x:c r="G905" t="n">
        <x:v>0</x:v>
      </x:c>
      <x:c r="H905" t="n">
        <x:v>0</x:v>
      </x:c>
      <x:c r="I905" t="n">
        <x:v>0</x:v>
      </x:c>
      <x:c r="J905" t="n">
        <x:v>1</x:v>
      </x:c>
      <x:c r="K905" t="n">
        <x:f>SUM(E905:J905)</x:f>
        <x:v>1</x:v>
      </x:c>
      <x:c r="L905" s="163" t="n">
        <x:f>IFERROR(K905/D905,0)</x:f>
        <x:v>0.009775171065493646</x:v>
      </x:c>
      <x:c r="M905" s="160" t="str">
        <x:v>Presence-floor proxy only — 200-city expansion</x:v>
      </x:c>
      <x:c r="N905" s="160" t="str">
        <x:v>Added in the 200-city screening expansion. One-store screening floor only; exact selected-chain count and 5-mile buffer require GIS verification.</x:v>
      </x:c>
      <x:c r="O905" s="160" t="str">
        <x:v>Potter County</x:v>
      </x:c>
    </x:row>
    <x:row r="906">
      <x:c r="A906" t="n">
        <x:v>952</x:v>
      </x:c>
      <x:c r="B906" t="str">
        <x:v>Reno</x:v>
      </x:c>
      <x:c r="C906" t="str">
        <x:v>NV</x:v>
      </x:c>
      <x:c r="D906" s="161" t="n">
        <x:v>103.009</x:v>
      </x:c>
      <x:c r="E906" t="n">
        <x:v>0</x:v>
      </x:c>
      <x:c r="F906" t="n">
        <x:v>0</x:v>
      </x:c>
      <x:c r="G906" t="n">
        <x:v>0</x:v>
      </x:c>
      <x:c r="H906" t="n">
        <x:v>0</x:v>
      </x:c>
      <x:c r="I906" t="n">
        <x:v>0</x:v>
      </x:c>
      <x:c r="J906" t="n">
        <x:v>1</x:v>
      </x:c>
      <x:c r="K906" t="n">
        <x:f>SUM(E906:J906)</x:f>
        <x:v>1</x:v>
      </x:c>
      <x:c r="L906" s="163" t="n">
        <x:f>IFERROR(K906/D906,0)</x:f>
        <x:v>0.009707889601879448</x:v>
      </x:c>
      <x:c r="M906" s="160" t="str">
        <x:v>Presence-floor proxy only</x:v>
      </x:c>
      <x:c r="N906" s="160" t="str">
        <x:v>One-store screening floor only; exact selected-chain count and 5-mile buffer require GIS verification.</x:v>
      </x:c>
      <x:c r="O906" s="160" t="str">
        <x:v>Washoe County</x:v>
      </x:c>
    </x:row>
    <x:row r="907">
      <x:c r="A907" t="n">
        <x:v>953</x:v>
      </x:c>
      <x:c r="B907" t="str">
        <x:v>Islip Town</x:v>
      </x:c>
      <x:c r="C907" t="str">
        <x:v>NY</x:v>
      </x:c>
      <x:c r="D907" s="161" t="n">
        <x:v>103.204</x:v>
      </x:c>
      <x:c r="E907" t="n">
        <x:v>0</x:v>
      </x:c>
      <x:c r="F907" t="n">
        <x:v>0</x:v>
      </x:c>
      <x:c r="G907" t="n">
        <x:v>0</x:v>
      </x:c>
      <x:c r="H907" t="n">
        <x:v>0</x:v>
      </x:c>
      <x:c r="I907" t="n">
        <x:v>0</x:v>
      </x:c>
      <x:c r="J907" t="n">
        <x:v>1</x:v>
      </x:c>
      <x:c r="K907" t="n">
        <x:f>SUM(E907:J907)</x:f>
        <x:v>1</x:v>
      </x:c>
      <x:c r="L907" s="163" t="n">
        <x:f>IFERROR(K907/D907,0)</x:f>
        <x:v>0.009689546916786172</x:v>
      </x:c>
      <x:c r="M907" s="160" t="str">
        <x:v>Presence-floor proxy only — 10k+ municipality completion</x:v>
      </x:c>
      <x:c r="N907"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907" s="160" t="str">
        <x:v>Suffolk County</x:v>
      </x:c>
    </x:row>
    <x:row r="908">
      <x:c r="A908" t="n">
        <x:v>954</x:v>
      </x:c>
      <x:c r="B908" t="str">
        <x:v>Rio Rancho</x:v>
      </x:c>
      <x:c r="C908" t="str">
        <x:v>NM</x:v>
      </x:c>
      <x:c r="D908" s="161" t="n">
        <x:v>103.4</x:v>
      </x:c>
      <x:c r="E908" t="n">
        <x:v>0</x:v>
      </x:c>
      <x:c r="F908" t="n">
        <x:v>0</x:v>
      </x:c>
      <x:c r="G908" t="n">
        <x:v>0</x:v>
      </x:c>
      <x:c r="H908" t="n">
        <x:v>0</x:v>
      </x:c>
      <x:c r="I908" t="n">
        <x:v>0</x:v>
      </x:c>
      <x:c r="J908" t="n">
        <x:v>1</x:v>
      </x:c>
      <x:c r="K908" t="n">
        <x:f>SUM(E908:J908)</x:f>
        <x:v>1</x:v>
      </x:c>
      <x:c r="L908" s="163" t="n">
        <x:f>IFERROR(K908/D908,0)</x:f>
        <x:v>0.00967117988394584</x:v>
      </x:c>
      <x:c r="M908" s="160" t="str">
        <x:v>Presence-floor proxy only — 300-city expansion</x:v>
      </x:c>
      <x:c r="N908" s="160" t="str">
        <x:v>Added in the 300-city screening expansion. One-store screening floor only; exact selected-chain count and 5-mile buffer require GIS verification.</x:v>
      </x:c>
      <x:c r="O908" s="160" t="str">
        <x:v>Sandoval County</x:v>
      </x:c>
    </x:row>
    <x:row r="909">
      <x:c r="A909" t="n">
        <x:v>955</x:v>
      </x:c>
      <x:c r="B909" t="str">
        <x:v>Oyster Bay Town</x:v>
      </x:c>
      <x:c r="C909" t="str">
        <x:v>NY</x:v>
      </x:c>
      <x:c r="D909" s="161" t="n">
        <x:v>103.61</x:v>
      </x:c>
      <x:c r="E909" t="n">
        <x:v>0</x:v>
      </x:c>
      <x:c r="F909" t="n">
        <x:v>0</x:v>
      </x:c>
      <x:c r="G909" t="n">
        <x:v>0</x:v>
      </x:c>
      <x:c r="H909" t="n">
        <x:v>0</x:v>
      </x:c>
      <x:c r="I909" t="n">
        <x:v>0</x:v>
      </x:c>
      <x:c r="J909" t="n">
        <x:v>1</x:v>
      </x:c>
      <x:c r="K909" t="n">
        <x:f>SUM(E909:J909)</x:f>
        <x:v>1</x:v>
      </x:c>
      <x:c r="L909" s="163" t="n">
        <x:f>IFERROR(K909/D909,0)</x:f>
        <x:v>0.009651578033008397</x:v>
      </x:c>
      <x:c r="M909" s="160" t="str">
        <x:v>Presence-floor proxy only — 10k+ municipality completion</x:v>
      </x:c>
      <x:c r="N909"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cities + towns avoids overlapping municipal units.</x:v>
      </x:c>
      <x:c r="O909" s="160" t="str">
        <x:v>Nassau County</x:v>
      </x:c>
    </x:row>
    <x:row r="910">
      <x:c r="A910" t="n">
        <x:v>956</x:v>
      </x:c>
      <x:c r="B910" t="str">
        <x:v>Cape Coral</x:v>
      </x:c>
      <x:c r="C910" t="str">
        <x:v>FL</x:v>
      </x:c>
      <x:c r="D910" s="161" t="n">
        <x:v>106</x:v>
      </x:c>
      <x:c r="E910" t="n">
        <x:v>0</x:v>
      </x:c>
      <x:c r="F910" t="n">
        <x:v>0</x:v>
      </x:c>
      <x:c r="G910" t="n">
        <x:v>0</x:v>
      </x:c>
      <x:c r="H910" t="n">
        <x:v>0</x:v>
      </x:c>
      <x:c r="I910" t="n">
        <x:v>0</x:v>
      </x:c>
      <x:c r="J910" t="n">
        <x:v>1</x:v>
      </x:c>
      <x:c r="K910" t="n">
        <x:f>SUM(E910:J910)</x:f>
        <x:v>1</x:v>
      </x:c>
      <x:c r="L910" s="163" t="n">
        <x:f>IFERROR(K910/D910,0)</x:f>
        <x:v>0.009433962264150943</x:v>
      </x:c>
      <x:c r="M910" s="160" t="str">
        <x:v>Presence-floor proxy only — 200-city expansion</x:v>
      </x:c>
      <x:c r="N910" s="160" t="str">
        <x:v>Added in the 200-city screening expansion. One-store screening floor only; exact selected-chain count and 5-mile buffer require GIS verification.</x:v>
      </x:c>
      <x:c r="O910" s="160" t="str">
        <x:v>Lee County</x:v>
      </x:c>
    </x:row>
    <x:row r="911">
      <x:c r="A911" t="n">
        <x:v>957</x:v>
      </x:c>
      <x:c r="B911" t="str">
        <x:v>Palmdale</x:v>
      </x:c>
      <x:c r="C911" t="str">
        <x:v>CA</x:v>
      </x:c>
      <x:c r="D911" s="161" t="n">
        <x:v>106.1</x:v>
      </x:c>
      <x:c r="E911" t="n">
        <x:v>0</x:v>
      </x:c>
      <x:c r="F911" t="n">
        <x:v>0</x:v>
      </x:c>
      <x:c r="G911" t="n">
        <x:v>0</x:v>
      </x:c>
      <x:c r="H911" t="n">
        <x:v>0</x:v>
      </x:c>
      <x:c r="I911" t="n">
        <x:v>0</x:v>
      </x:c>
      <x:c r="J911" t="n">
        <x:v>1</x:v>
      </x:c>
      <x:c r="K911" t="n">
        <x:f>SUM(E911:J911)</x:f>
        <x:v>1</x:v>
      </x:c>
      <x:c r="L911" s="163" t="n">
        <x:f>IFERROR(K911/D911,0)</x:f>
        <x:v>0.009425070688030161</x:v>
      </x:c>
      <x:c r="M911" s="160" t="str">
        <x:v>Presence-floor proxy only — 200-city expansion</x:v>
      </x:c>
      <x:c r="N911" s="160" t="str">
        <x:v>Added in the 200-city screening expansion. One-store screening floor only; exact selected-chain count and 5-mile buffer require GIS verification.</x:v>
      </x:c>
      <x:c r="O911" s="160" t="str">
        <x:v>Los Angeles County</x:v>
      </x:c>
    </x:row>
    <x:row r="912">
      <x:c r="A912" t="n">
        <x:v>958</x:v>
      </x:c>
      <x:c r="B912" t="str">
        <x:v>Abilene</x:v>
      </x:c>
      <x:c r="C912" t="str">
        <x:v>TX</x:v>
      </x:c>
      <x:c r="D912" s="161" t="n">
        <x:v>106.7</x:v>
      </x:c>
      <x:c r="E912" t="n">
        <x:v>0</x:v>
      </x:c>
      <x:c r="F912" t="n">
        <x:v>0</x:v>
      </x:c>
      <x:c r="G912" t="n">
        <x:v>0</x:v>
      </x:c>
      <x:c r="H912" t="n">
        <x:v>0</x:v>
      </x:c>
      <x:c r="I912" t="n">
        <x:v>0</x:v>
      </x:c>
      <x:c r="J912" t="n">
        <x:v>1</x:v>
      </x:c>
      <x:c r="K912" t="n">
        <x:f>SUM(E912:J912)</x:f>
        <x:v>1</x:v>
      </x:c>
      <x:c r="L912" s="163" t="n">
        <x:f>IFERROR(K912/D912,0)</x:f>
        <x:v>0.00937207122774133</x:v>
      </x:c>
      <x:c r="M912" s="160" t="str">
        <x:v>Presence-floor proxy only — 250-city expansion</x:v>
      </x:c>
      <x:c r="N912" s="160" t="str">
        <x:v>Added in the 250-city screening expansion. One-store screening floor only; exact selected-chain count and 5-mile buffer require GIS verification.</x:v>
      </x:c>
      <x:c r="O912" s="160" t="str">
        <x:v>Taylor County</x:v>
      </x:c>
    </x:row>
    <x:row r="913">
      <x:c r="A913" t="n">
        <x:v>959</x:v>
      </x:c>
      <x:c r="B913" t="str">
        <x:v>Savannah</x:v>
      </x:c>
      <x:c r="C913" t="str">
        <x:v>GA</x:v>
      </x:c>
      <x:c r="D913" s="161" t="n">
        <x:v>106.8</x:v>
      </x:c>
      <x:c r="E913" t="n">
        <x:v>0</x:v>
      </x:c>
      <x:c r="F913" t="n">
        <x:v>0</x:v>
      </x:c>
      <x:c r="G913" t="n">
        <x:v>0</x:v>
      </x:c>
      <x:c r="H913" t="n">
        <x:v>0</x:v>
      </x:c>
      <x:c r="I913" t="n">
        <x:v>0</x:v>
      </x:c>
      <x:c r="J913" t="n">
        <x:v>1</x:v>
      </x:c>
      <x:c r="K913" t="n">
        <x:f>SUM(E913:J913)</x:f>
        <x:v>1</x:v>
      </x:c>
      <x:c r="L913" s="163" t="n">
        <x:f>IFERROR(K913/D913,0)</x:f>
        <x:v>0.009363295880149813</x:v>
      </x:c>
      <x:c r="M913" s="160" t="str">
        <x:v>Presence-floor proxy only — 200-city expansion</x:v>
      </x:c>
      <x:c r="N913" s="160" t="str">
        <x:v>Added in the 200-city screening expansion. One-store screening floor only; exact selected-chain count and 5-mile buffer require GIS verification.</x:v>
      </x:c>
      <x:c r="O913" s="160" t="str">
        <x:v>Chatham County</x:v>
      </x:c>
    </x:row>
    <x:row r="914">
      <x:c r="A914" t="n">
        <x:v>960</x:v>
      </x:c>
      <x:c r="B914" t="str">
        <x:v>Durham</x:v>
      </x:c>
      <x:c r="C914" t="str">
        <x:v>NC</x:v>
      </x:c>
      <x:c r="D914" s="161" t="n">
        <x:v>107.37</x:v>
      </x:c>
      <x:c r="E914" t="n">
        <x:v>0</x:v>
      </x:c>
      <x:c r="F914" t="n">
        <x:v>0</x:v>
      </x:c>
      <x:c r="G914" t="n">
        <x:v>0</x:v>
      </x:c>
      <x:c r="H914" t="n">
        <x:v>0</x:v>
      </x:c>
      <x:c r="I914" t="n">
        <x:v>0</x:v>
      </x:c>
      <x:c r="J914" t="n">
        <x:v>1</x:v>
      </x:c>
      <x:c r="K914" t="n">
        <x:f>SUM(E914:J914)</x:f>
        <x:v>1</x:v>
      </x:c>
      <x:c r="L914" s="163" t="n">
        <x:f>IFERROR(K914/D914,0)</x:f>
        <x:v>0.009313588525658936</x:v>
      </x:c>
      <x:c r="M914" s="160" t="str">
        <x:v>Presence-floor proxy only</x:v>
      </x:c>
      <x:c r="N914" s="160" t="str">
        <x:v>One-store screening floor only; exact selected-chain count and 5-mile buffer require GIS verification.</x:v>
      </x:c>
      <x:c r="O914" s="160" t="str">
        <x:v>Durham County</x:v>
      </x:c>
    </x:row>
    <x:row r="915">
      <x:c r="A915" t="n">
        <x:v>961</x:v>
      </x:c>
      <x:c r="B915" t="str">
        <x:v>Henderson</x:v>
      </x:c>
      <x:c r="C915" t="str">
        <x:v>NV</x:v>
      </x:c>
      <x:c r="D915" s="161" t="n">
        <x:v>107.732</x:v>
      </x:c>
      <x:c r="E915" t="n">
        <x:v>1</x:v>
      </x:c>
      <x:c r="F915" t="n">
        <x:v>0</x:v>
      </x:c>
      <x:c r="G915" t="n">
        <x:v>0</x:v>
      </x:c>
      <x:c r="H915" t="n">
        <x:v>0</x:v>
      </x:c>
      <x:c r="I915" t="n">
        <x:v>0</x:v>
      </x:c>
      <x:c r="J915" t="n">
        <x:v>0</x:v>
      </x:c>
      <x:c r="K915" t="n">
        <x:f>SUM(E915:J915)</x:f>
        <x:v>1</x:v>
      </x:c>
      <x:c r="L915" s="163" t="n">
        <x:f>IFERROR(K915/D915,0)</x:f>
        <x:v>0.009282293097686852</x:v>
      </x:c>
      <x:c r="M915" s="160" t="str">
        <x:v>Confirmed lower bound</x:v>
      </x:c>
      <x:c r="N915" s="160" t="str">
        <x:v>Verified public-directory count for ≥1 major chain; other selected chains and 5-mile spillover omitted.</x:v>
      </x:c>
      <x:c r="O915" s="160" t="str">
        <x:v>Clark County</x:v>
      </x:c>
    </x:row>
    <x:row r="916">
      <x:c r="A916" t="n">
        <x:v>962</x:v>
      </x:c>
      <x:c r="B916" t="str">
        <x:v>Shreveport</x:v>
      </x:c>
      <x:c r="C916" t="str">
        <x:v>LA</x:v>
      </x:c>
      <x:c r="D916" s="161" t="n">
        <x:v>107.8</x:v>
      </x:c>
      <x:c r="E916" t="n">
        <x:v>0</x:v>
      </x:c>
      <x:c r="F916" t="n">
        <x:v>0</x:v>
      </x:c>
      <x:c r="G916" t="n">
        <x:v>0</x:v>
      </x:c>
      <x:c r="H916" t="n">
        <x:v>0</x:v>
      </x:c>
      <x:c r="I916" t="n">
        <x:v>0</x:v>
      </x:c>
      <x:c r="J916" t="n">
        <x:v>1</x:v>
      </x:c>
      <x:c r="K916" t="n">
        <x:f>SUM(E916:J916)</x:f>
        <x:v>1</x:v>
      </x:c>
      <x:c r="L916" s="163" t="n">
        <x:f>IFERROR(K916/D916,0)</x:f>
        <x:v>0.00927643784786642</x:v>
      </x:c>
      <x:c r="M916" s="160" t="str">
        <x:v>Presence-floor proxy only — 200-city expansion</x:v>
      </x:c>
      <x:c r="N916" s="160" t="str">
        <x:v>Added in the 200-city screening expansion. One-store screening floor only; exact selected-chain count and 5-mile buffer require GIS verification.</x:v>
      </x:c>
      <x:c r="O916" s="160" t="str">
        <x:v>Caddo Parish</x:v>
      </x:c>
    </x:row>
    <x:row r="917">
      <x:c r="A917" t="n">
        <x:v>963</x:v>
      </x:c>
      <x:c r="B917" t="str">
        <x:v>Surprise</x:v>
      </x:c>
      <x:c r="C917" t="str">
        <x:v>AZ</x:v>
      </x:c>
      <x:c r="D917" s="161" t="n">
        <x:v>110.3</x:v>
      </x:c>
      <x:c r="E917" t="n">
        <x:v>0</x:v>
      </x:c>
      <x:c r="F917" t="n">
        <x:v>0</x:v>
      </x:c>
      <x:c r="G917" t="n">
        <x:v>0</x:v>
      </x:c>
      <x:c r="H917" t="n">
        <x:v>0</x:v>
      </x:c>
      <x:c r="I917" t="n">
        <x:v>0</x:v>
      </x:c>
      <x:c r="J917" t="n">
        <x:v>1</x:v>
      </x:c>
      <x:c r="K917" t="n">
        <x:f>SUM(E917:J917)</x:f>
        <x:v>1</x:v>
      </x:c>
      <x:c r="L917" s="163" t="n">
        <x:f>IFERROR(K917/D917,0)</x:f>
        <x:v>0.009066183136899365</x:v>
      </x:c>
      <x:c r="M917" s="160" t="str">
        <x:v>Presence-floor proxy only — 200-city expansion</x:v>
      </x:c>
      <x:c r="N917" s="160" t="str">
        <x:v>Added in the 200-city screening expansion. One-store screening floor only; exact selected-chain count and 5-mile buffer require GIS verification.</x:v>
      </x:c>
      <x:c r="O917" s="160" t="str">
        <x:v>Maricopa County</x:v>
      </x:c>
    </x:row>
    <x:row r="918">
      <x:c r="A918" t="n">
        <x:v>964</x:v>
      </x:c>
      <x:c r="B918" t="str">
        <x:v>Salt Lake City</x:v>
      </x:c>
      <x:c r="C918" t="str">
        <x:v>UT</x:v>
      </x:c>
      <x:c r="D918" s="161" t="n">
        <x:v>110.3</x:v>
      </x:c>
      <x:c r="E918" t="n">
        <x:v>0</x:v>
      </x:c>
      <x:c r="F918" t="n">
        <x:v>0</x:v>
      </x:c>
      <x:c r="G918" t="n">
        <x:v>0</x:v>
      </x:c>
      <x:c r="H918" t="n">
        <x:v>0</x:v>
      </x:c>
      <x:c r="I918" t="n">
        <x:v>0</x:v>
      </x:c>
      <x:c r="J918" t="n">
        <x:v>1</x:v>
      </x:c>
      <x:c r="K918" t="n">
        <x:f>SUM(E918:J918)</x:f>
        <x:v>1</x:v>
      </x:c>
      <x:c r="L918" s="163" t="n">
        <x:f>IFERROR(K918/D918,0)</x:f>
        <x:v>0.009066183136899365</x:v>
      </x:c>
      <x:c r="M918" s="160" t="str">
        <x:v>Presence-floor proxy only — 200-city expansion</x:v>
      </x:c>
      <x:c r="N918" s="160" t="str">
        <x:v>Added in the 200-city screening expansion. One-store screening floor only; exact selected-chain count and 5-mile buffer require GIS verification.</x:v>
      </x:c>
      <x:c r="O918" s="160" t="str">
        <x:v>Salt Lake County</x:v>
      </x:c>
    </x:row>
    <x:row r="919">
      <x:c r="A919" t="n">
        <x:v>965</x:v>
      </x:c>
      <x:c r="B919" t="str">
        <x:v>Fort Wayne</x:v>
      </x:c>
      <x:c r="C919" t="str">
        <x:v>IN</x:v>
      </x:c>
      <x:c r="D919" s="161" t="n">
        <x:v>110.618</x:v>
      </x:c>
      <x:c r="E919" t="n">
        <x:v>0</x:v>
      </x:c>
      <x:c r="F919" t="n">
        <x:v>0</x:v>
      </x:c>
      <x:c r="G919" t="n">
        <x:v>0</x:v>
      </x:c>
      <x:c r="H919" t="n">
        <x:v>0</x:v>
      </x:c>
      <x:c r="I919" t="n">
        <x:v>0</x:v>
      </x:c>
      <x:c r="J919" t="n">
        <x:v>1</x:v>
      </x:c>
      <x:c r="K919" t="n">
        <x:f>SUM(E919:J919)</x:f>
        <x:v>1</x:v>
      </x:c>
      <x:c r="L919" s="163" t="n">
        <x:f>IFERROR(K919/D919,0)</x:f>
        <x:v>0.009040120052794302</x:v>
      </x:c>
      <x:c r="M919" s="160" t="str">
        <x:v>Presence-floor proxy only</x:v>
      </x:c>
      <x:c r="N919" s="160" t="str">
        <x:v>One-store screening floor only; exact selected-chain count and 5-mile buffer require GIS verification.</x:v>
      </x:c>
      <x:c r="O919" s="160" t="str">
        <x:v>Allen County</x:v>
      </x:c>
    </x:row>
    <x:row r="920">
      <x:c r="A920" t="n">
        <x:v>966</x:v>
      </x:c>
      <x:c r="B920" t="str">
        <x:v>Hamilton Township</x:v>
      </x:c>
      <x:c r="C920" t="str">
        <x:v>NJ</x:v>
      </x:c>
      <x:c r="D920" s="161" t="n">
        <x:v>110.895</x:v>
      </x:c>
      <x:c r="E920" t="n">
        <x:v>0</x:v>
      </x:c>
      <x:c r="F920" t="n">
        <x:v>0</x:v>
      </x:c>
      <x:c r="G920" t="n">
        <x:v>0</x:v>
      </x:c>
      <x:c r="H920" t="n">
        <x:v>0</x:v>
      </x:c>
      <x:c r="I920" t="n">
        <x:v>0</x:v>
      </x:c>
      <x:c r="J920" t="n">
        <x:v>1</x:v>
      </x:c>
      <x:c r="K920" t="n">
        <x:f>SUM(E920:J920)</x:f>
        <x:v>1</x:v>
      </x:c>
      <x:c r="L920" s="163" t="n">
        <x:f>IFERROR(K920/D920,0)</x:f>
        <x:v>0.009017539113575905</x:v>
      </x:c>
      <x:c r="M920" s="160" t="str">
        <x:v>Presence-floor proxy only — 10k+ municipality completion</x:v>
      </x:c>
      <x:c r="N920" s="160" t="str">
        <x:v>Added under the 2026-09-15 county-expansion rule: Census Vintage 2025 municipality population &gt;=10,000; general-purpose city-equivalent municipality; county population &gt;=50,000; direct Census adjacency. Presence-floor proxy only — exact tracked-chain count requires municipal-boundary/GIS verification. Bagliani's Market in Hammonton provides specialty-grocery selection evidence but is not one of the five tracked chains.</x:v>
      </x:c>
      <x:c r="O920" s="160" t="str">
        <x:v>Atlantic County</x:v>
      </x:c>
    </x:row>
    <x:row r="921">
      <x:c r="A921" t="n">
        <x:v>967</x:v>
      </x:c>
      <x:c r="B921" t="str">
        <x:v>Jackson</x:v>
      </x:c>
      <x:c r="C921" t="str">
        <x:v>MS</x:v>
      </x:c>
      <x:c r="D921" s="161" t="n">
        <x:v>111.7</x:v>
      </x:c>
      <x:c r="E921" t="n">
        <x:v>0</x:v>
      </x:c>
      <x:c r="F921" t="n">
        <x:v>0</x:v>
      </x:c>
      <x:c r="G921" t="n">
        <x:v>0</x:v>
      </x:c>
      <x:c r="H921" t="n">
        <x:v>0</x:v>
      </x:c>
      <x:c r="I921" t="n">
        <x:v>0</x:v>
      </x:c>
      <x:c r="J921" t="n">
        <x:v>1</x:v>
      </x:c>
      <x:c r="K921" t="n">
        <x:f>SUM(E921:J921)</x:f>
        <x:v>1</x:v>
      </x:c>
      <x:c r="L921" s="163" t="n">
        <x:f>IFERROR(K921/D921,0)</x:f>
        <x:v>0.008952551477170993</x:v>
      </x:c>
      <x:c r="M921" s="160" t="str">
        <x:v>Presence-floor proxy only — 250-city expansion</x:v>
      </x:c>
      <x:c r="N921" s="160" t="str">
        <x:v>Added in the 250-city screening expansion. One-store screening floor only; exact selected-chain count and 5-mile buffer require GIS verification.</x:v>
      </x:c>
      <x:c r="O921" s="160" t="str">
        <x:v>Hinds County</x:v>
      </x:c>
    </x:row>
    <x:row r="922">
      <x:c r="A922" t="n">
        <x:v>968</x:v>
      </x:c>
      <x:c r="B922" t="str">
        <x:v>Fresno</x:v>
      </x:c>
      <x:c r="C922" t="str">
        <x:v>CA</x:v>
      </x:c>
      <x:c r="D922" s="161" t="n">
        <x:v>111.957</x:v>
      </x:c>
      <x:c r="E922" t="n">
        <x:v>0</x:v>
      </x:c>
      <x:c r="F922" t="n">
        <x:v>0</x:v>
      </x:c>
      <x:c r="G922" t="n">
        <x:v>0</x:v>
      </x:c>
      <x:c r="H922" t="n">
        <x:v>0</x:v>
      </x:c>
      <x:c r="I922" t="n">
        <x:v>0</x:v>
      </x:c>
      <x:c r="J922" t="n">
        <x:v>1</x:v>
      </x:c>
      <x:c r="K922" t="n">
        <x:f>SUM(E922:J922)</x:f>
        <x:v>1</x:v>
      </x:c>
      <x:c r="L922" s="163" t="n">
        <x:f>IFERROR(K922/D922,0)</x:f>
        <x:v>0.008932000678832052</x:v>
      </x:c>
      <x:c r="M922" s="160" t="str">
        <x:v>Presence-floor proxy only</x:v>
      </x:c>
      <x:c r="N922" s="160" t="str">
        <x:v>One-store screening floor only; exact selected-chain count and 5-mile buffer require GIS verification.</x:v>
      </x:c>
      <x:c r="O922" s="160" t="str">
        <x:v>Fresno County</x:v>
      </x:c>
    </x:row>
    <x:row r="923">
      <x:c r="A923" t="n">
        <x:v>969</x:v>
      </x:c>
      <x:c r="B923" t="str">
        <x:v>Casa Grande</x:v>
      </x:c>
      <x:c r="C923" t="str">
        <x:v>AZ</x:v>
      </x:c>
      <x:c r="D923" s="161" t="n">
        <x:v>114.239</x:v>
      </x:c>
      <x:c r="E923" t="n">
        <x:v>0</x:v>
      </x:c>
      <x:c r="F923" t="n">
        <x:v>0</x:v>
      </x:c>
      <x:c r="G923" t="n">
        <x:v>0</x:v>
      </x:c>
      <x:c r="H923" t="n">
        <x:v>0</x:v>
      </x:c>
      <x:c r="I923" t="n">
        <x:v>0</x:v>
      </x:c>
      <x:c r="J923" t="n">
        <x:v>1</x:v>
      </x:c>
      <x:c r="K923" t="n">
        <x:f>SUM(E923:J923)</x:f>
        <x:v>1</x:v>
      </x:c>
      <x:c r="L923" s="163" t="n">
        <x:f>IFERROR(K923/D923,0)</x:f>
        <x:v>0.008753578025017725</x:v>
      </x:c>
      <x:c r="M923" s="160" t="str">
        <x:v>Presence-floor proxy only — adjacent-county completion</x:v>
      </x:c>
      <x:c r="N923" s="160" t="str">
        <x:v>Added to complete ≥50,000 incorporated-place coverage in selected adjacent county. One-store screening floor; exact tracked-chain count requires GIS verification.</x:v>
      </x:c>
      <x:c r="O923" s="160" t="str">
        <x:v>Pinal County</x:v>
      </x:c>
    </x:row>
    <x:row r="924">
      <x:c r="A924" t="n">
        <x:v>970</x:v>
      </x:c>
      <x:c r="B924" t="str">
        <x:v>Charleston</x:v>
      </x:c>
      <x:c r="C924" t="str">
        <x:v>SC</x:v>
      </x:c>
      <x:c r="D924" s="161" t="n">
        <x:v>114.8</x:v>
      </x:c>
      <x:c r="E924" t="n">
        <x:v>0</x:v>
      </x:c>
      <x:c r="F924" t="n">
        <x:v>0</x:v>
      </x:c>
      <x:c r="G924" t="n">
        <x:v>0</x:v>
      </x:c>
      <x:c r="H924" t="n">
        <x:v>0</x:v>
      </x:c>
      <x:c r="I924" t="n">
        <x:v>0</x:v>
      </x:c>
      <x:c r="J924" t="n">
        <x:v>1</x:v>
      </x:c>
      <x:c r="K924" t="n">
        <x:f>SUM(E924:J924)</x:f>
        <x:v>1</x:v>
      </x:c>
      <x:c r="L924" s="163" t="n">
        <x:f>IFERROR(K924/D924,0)</x:f>
        <x:v>0.008710801393728223</x:v>
      </x:c>
      <x:c r="M924" s="160" t="str">
        <x:v>Presence-floor proxy only — 200-city expansion</x:v>
      </x:c>
      <x:c r="N924" s="160" t="str">
        <x:v>Added in the 200-city screening expansion. One-store screening floor only; exact selected-chain count and 5-mile buffer require GIS verification.</x:v>
      </x:c>
      <x:c r="O924" s="160" t="str">
        <x:v>Charleston County</x:v>
      </x:c>
    </x:row>
    <x:row r="925">
      <x:c r="A925" t="n">
        <x:v>971</x:v>
      </x:c>
      <x:c r="B925" t="str">
        <x:v>Athens</x:v>
      </x:c>
      <x:c r="C925" t="str">
        <x:v>GA</x:v>
      </x:c>
      <x:c r="D925" s="161" t="n">
        <x:v>116.3</x:v>
      </x:c>
      <x:c r="E925" t="n">
        <x:v>0</x:v>
      </x:c>
      <x:c r="F925" t="n">
        <x:v>0</x:v>
      </x:c>
      <x:c r="G925" t="n">
        <x:v>0</x:v>
      </x:c>
      <x:c r="H925" t="n">
        <x:v>0</x:v>
      </x:c>
      <x:c r="I925" t="n">
        <x:v>0</x:v>
      </x:c>
      <x:c r="J925" t="n">
        <x:v>1</x:v>
      </x:c>
      <x:c r="K925" t="n">
        <x:f>SUM(E925:J925)</x:f>
        <x:v>1</x:v>
      </x:c>
      <x:c r="L925" s="163" t="n">
        <x:f>IFERROR(K925/D925,0)</x:f>
        <x:v>0.008598452278589854</x:v>
      </x:c>
      <x:c r="M925" s="160" t="str">
        <x:v>Presence-floor proxy only — 250-city expansion</x:v>
      </x:c>
      <x:c r="N925" s="160" t="str">
        <x:v>Added in the 250-city screening expansion. One-store screening floor only; exact selected-chain count and 5-mile buffer require GIS verification.</x:v>
      </x:c>
      <x:c r="O925" s="160" t="str">
        <x:v>Clarke County</x:v>
      </x:c>
    </x:row>
    <x:row r="926">
      <x:c r="A926" t="n">
        <x:v>972</x:v>
      </x:c>
      <x:c r="B926" t="str">
        <x:v>Hempstead Town</x:v>
      </x:c>
      <x:c r="C926" t="str">
        <x:v>NY</x:v>
      </x:c>
      <x:c r="D926" s="161" t="n">
        <x:v>118.516</x:v>
      </x:c>
      <x:c r="E926" t="n">
        <x:v>0</x:v>
      </x:c>
      <x:c r="F926" t="n">
        <x:v>0</x:v>
      </x:c>
      <x:c r="G926" t="n">
        <x:v>0</x:v>
      </x:c>
      <x:c r="H926" t="n">
        <x:v>0</x:v>
      </x:c>
      <x:c r="I926" t="n">
        <x:v>0</x:v>
      </x:c>
      <x:c r="J926" t="n">
        <x:v>1</x:v>
      </x:c>
      <x:c r="K926" t="n">
        <x:f>SUM(E926:J926)</x:f>
        <x:v>1</x:v>
      </x:c>
      <x:c r="L926" s="163" t="n">
        <x:f>IFERROR(K926/D926,0)</x:f>
        <x:v>0.00843767930068514</x:v>
      </x:c>
      <x:c r="M926" s="160" t="str">
        <x:v>Presence-floor proxy only — 10k+ municipality completion</x:v>
      </x:c>
      <x:c r="N926"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cities + towns avoids overlapping municipal units.</x:v>
      </x:c>
      <x:c r="O926" s="160" t="str">
        <x:v>Nassau County</x:v>
      </x:c>
    </x:row>
    <x:row r="927">
      <x:c r="A927" t="n">
        <x:v>973</x:v>
      </x:c>
      <x:c r="B927" t="str">
        <x:v>Port St. Lucie</x:v>
      </x:c>
      <x:c r="C927" t="str">
        <x:v>FL</x:v>
      </x:c>
      <x:c r="D927" s="161" t="n">
        <x:v>119.2</x:v>
      </x:c>
      <x:c r="E927" t="n">
        <x:v>0</x:v>
      </x:c>
      <x:c r="F927" t="n">
        <x:v>0</x:v>
      </x:c>
      <x:c r="G927" t="n">
        <x:v>0</x:v>
      </x:c>
      <x:c r="H927" t="n">
        <x:v>0</x:v>
      </x:c>
      <x:c r="I927" t="n">
        <x:v>0</x:v>
      </x:c>
      <x:c r="J927" t="n">
        <x:v>1</x:v>
      </x:c>
      <x:c r="K927" t="n">
        <x:f>SUM(E927:J927)</x:f>
        <x:v>1</x:v>
      </x:c>
      <x:c r="L927" s="163" t="n">
        <x:f>IFERROR(K927/D927,0)</x:f>
        <x:v>0.008389261744966443</x:v>
      </x:c>
      <x:c r="M927" s="160" t="str">
        <x:v>Presence-floor proxy only — 200-city expansion</x:v>
      </x:c>
      <x:c r="N927" s="160" t="str">
        <x:v>Added in the 200-city screening expansion. One-store screening floor only; exact selected-chain count and 5-mile buffer require GIS verification.</x:v>
      </x:c>
      <x:c r="O927" s="160" t="str">
        <x:v>St. Lucie County</x:v>
      </x:c>
    </x:row>
    <x:row r="928">
      <x:c r="A928" t="n">
        <x:v>974</x:v>
      </x:c>
      <x:c r="B928" t="str">
        <x:v>Houston</x:v>
      </x:c>
      <x:c r="C928" t="str">
        <x:v>TX</x:v>
      </x:c>
      <x:c r="D928" s="161" t="n">
        <x:v>599.589</x:v>
      </x:c>
      <x:c r="E928" t="n">
        <x:v>5</x:v>
      </x:c>
      <x:c r="F928" t="n">
        <x:v>0</x:v>
      </x:c>
      <x:c r="G928" t="n">
        <x:v>0</x:v>
      </x:c>
      <x:c r="H928" t="n">
        <x:v>0</x:v>
      </x:c>
      <x:c r="I928" t="n">
        <x:v>0</x:v>
      </x:c>
      <x:c r="J928" t="n">
        <x:v>0</x:v>
      </x:c>
      <x:c r="K928" t="n">
        <x:f>SUM(E928:J928)</x:f>
        <x:v>5</x:v>
      </x:c>
      <x:c r="L928" s="163" t="n">
        <x:f>IFERROR(K928/D928,0)</x:f>
        <x:v>0.008339045579555327</x:v>
      </x:c>
      <x:c r="M928" s="160" t="str">
        <x:v>Confirmed lower bound</x:v>
      </x:c>
      <x:c r="N928" s="160" t="str">
        <x:v>Verified public-directory count for ≥1 major chain; other selected chains and 5-mile spillover omitted.</x:v>
      </x:c>
      <x:c r="O928" s="160" t="str">
        <x:v>Harris County</x:v>
      </x:c>
    </x:row>
    <x:row r="929">
      <x:c r="A929" t="n">
        <x:v>975</x:v>
      </x:c>
      <x:c r="B929" t="str">
        <x:v>Little Rock</x:v>
      </x:c>
      <x:c r="C929" t="str">
        <x:v>AR</x:v>
      </x:c>
      <x:c r="D929" s="161" t="n">
        <x:v>120</x:v>
      </x:c>
      <x:c r="E929" t="n">
        <x:v>0</x:v>
      </x:c>
      <x:c r="F929" t="n">
        <x:v>0</x:v>
      </x:c>
      <x:c r="G929" t="n">
        <x:v>0</x:v>
      </x:c>
      <x:c r="H929" t="n">
        <x:v>0</x:v>
      </x:c>
      <x:c r="I929" t="n">
        <x:v>0</x:v>
      </x:c>
      <x:c r="J929" t="n">
        <x:v>1</x:v>
      </x:c>
      <x:c r="K929" t="n">
        <x:f>SUM(E929:J929)</x:f>
        <x:v>1</x:v>
      </x:c>
      <x:c r="L929" s="163" t="n">
        <x:f>IFERROR(K929/D929,0)</x:f>
        <x:v>0.008333333333333333</x:v>
      </x:c>
      <x:c r="M929" s="160" t="str">
        <x:v>Presence-floor proxy only — 200-city expansion</x:v>
      </x:c>
      <x:c r="N929" s="160" t="str">
        <x:v>Added in the 200-city screening expansion. One-store screening floor only; exact selected-chain count and 5-mile buffer require GIS verification.</x:v>
      </x:c>
      <x:c r="O929" s="160" t="str">
        <x:v>Pulaski County</x:v>
      </x:c>
    </x:row>
    <x:row r="930">
      <x:c r="A930" t="n">
        <x:v>976</x:v>
      </x:c>
      <x:c r="B930" t="str">
        <x:v>Lubbock</x:v>
      </x:c>
      <x:c r="C930" t="str">
        <x:v>TX</x:v>
      </x:c>
      <x:c r="D930" s="161" t="n">
        <x:v>122.41</x:v>
      </x:c>
      <x:c r="E930" t="n">
        <x:v>0</x:v>
      </x:c>
      <x:c r="F930" t="n">
        <x:v>0</x:v>
      </x:c>
      <x:c r="G930" t="n">
        <x:v>0</x:v>
      </x:c>
      <x:c r="H930" t="n">
        <x:v>0</x:v>
      </x:c>
      <x:c r="I930" t="n">
        <x:v>0</x:v>
      </x:c>
      <x:c r="J930" t="n">
        <x:v>1</x:v>
      </x:c>
      <x:c r="K930" t="n">
        <x:f>SUM(E930:J930)</x:f>
        <x:v>1</x:v>
      </x:c>
      <x:c r="L930" s="163" t="n">
        <x:f>IFERROR(K930/D930,0)</x:f>
        <x:v>0.00816926721673066</x:v>
      </x:c>
      <x:c r="M930" s="160" t="str">
        <x:v>Presence-floor proxy only</x:v>
      </x:c>
      <x:c r="N930" s="160" t="str">
        <x:v>One-store screening floor only; exact selected-chain count and 5-mile buffer require GIS verification.</x:v>
      </x:c>
      <x:c r="O930" s="160" t="str">
        <x:v>Lubbock County</x:v>
      </x:c>
    </x:row>
    <x:row r="931">
      <x:c r="A931" t="n">
        <x:v>977</x:v>
      </x:c>
      <x:c r="B931" t="str">
        <x:v>Kansas City</x:v>
      </x:c>
      <x:c r="C931" t="str">
        <x:v>KS</x:v>
      </x:c>
      <x:c r="D931" s="161" t="n">
        <x:v>124.7</x:v>
      </x:c>
      <x:c r="E931" t="n">
        <x:v>0</x:v>
      </x:c>
      <x:c r="F931" t="n">
        <x:v>0</x:v>
      </x:c>
      <x:c r="G931" t="n">
        <x:v>0</x:v>
      </x:c>
      <x:c r="H931" t="n">
        <x:v>0</x:v>
      </x:c>
      <x:c r="I931" t="n">
        <x:v>0</x:v>
      </x:c>
      <x:c r="J931" t="n">
        <x:v>1</x:v>
      </x:c>
      <x:c r="K931" t="n">
        <x:f>SUM(E931:J931)</x:f>
        <x:v>1</x:v>
      </x:c>
      <x:c r="L931" s="163" t="n">
        <x:f>IFERROR(K931/D931,0)</x:f>
        <x:v>0.00801924619085806</x:v>
      </x:c>
      <x:c r="M931" s="160" t="str">
        <x:v>Presence-floor proxy only — 200-city expansion</x:v>
      </x:c>
      <x:c r="N931" s="160" t="str">
        <x:v>Added in the 200-city screening expansion. One-store screening floor only; exact selected-chain count and 5-mile buffer require GIS verification.</x:v>
      </x:c>
      <x:c r="O931" s="160" t="str">
        <x:v>Wyandotte County</x:v>
      </x:c>
    </x:row>
    <x:row r="932">
      <x:c r="A932" t="n">
        <x:v>978</x:v>
      </x:c>
      <x:c r="B932" t="str">
        <x:v>Omaha</x:v>
      </x:c>
      <x:c r="C932" t="str">
        <x:v>NE</x:v>
      </x:c>
      <x:c r="D932" s="161" t="n">
        <x:v>127.088</x:v>
      </x:c>
      <x:c r="E932" t="n">
        <x:v>1</x:v>
      </x:c>
      <x:c r="F932" t="n">
        <x:v>0</x:v>
      </x:c>
      <x:c r="G932" t="n">
        <x:v>0</x:v>
      </x:c>
      <x:c r="H932" t="n">
        <x:v>0</x:v>
      </x:c>
      <x:c r="I932" t="n">
        <x:v>0</x:v>
      </x:c>
      <x:c r="J932" t="n">
        <x:v>0</x:v>
      </x:c>
      <x:c r="K932" t="n">
        <x:f>SUM(E932:J932)</x:f>
        <x:v>1</x:v>
      </x:c>
      <x:c r="L932" s="163" t="n">
        <x:f>IFERROR(K932/D932,0)</x:f>
        <x:v>0.007868563515044695</x:v>
      </x:c>
      <x:c r="M932" s="160" t="str">
        <x:v>Confirmed lower bound</x:v>
      </x:c>
      <x:c r="N932" s="160" t="str">
        <x:v>Verified public-directory count for ≥1 major chain; other selected chains and 5-mile spillover omitted.</x:v>
      </x:c>
      <x:c r="O932" s="160" t="str">
        <x:v>Douglas County</x:v>
      </x:c>
    </x:row>
    <x:row r="933">
      <x:c r="A933" t="n">
        <x:v>979</x:v>
      </x:c>
      <x:c r="B933" t="str">
        <x:v>Wawarsing town</x:v>
      </x:c>
      <x:c r="C933" t="str">
        <x:v>NY</x:v>
      </x:c>
      <x:c r="D933" s="161" t="n">
        <x:v>130.506</x:v>
      </x:c>
      <x:c r="E933" t="n">
        <x:v>0</x:v>
      </x:c>
      <x:c r="F933" t="n">
        <x:v>0</x:v>
      </x:c>
      <x:c r="G933" t="n">
        <x:v>0</x:v>
      </x:c>
      <x:c r="H933" t="n">
        <x:v>0</x:v>
      </x:c>
      <x:c r="I933" t="n">
        <x:v>0</x:v>
      </x:c>
      <x:c r="J933" t="n">
        <x:v>1</x:v>
      </x:c>
      <x:c r="K933" t="n">
        <x:f>SUM(E933:J933)</x:f>
        <x:v>1</x:v>
      </x:c>
      <x:c r="L933" s="163" t="n">
        <x:f>IFERROR(K933/D933,0)</x:f>
        <x:v>0.007662482950975434</x:v>
      </x:c>
      <x:c r="M933" s="160" t="str">
        <x:v>Presence-floor proxy only — 10k+ municipality completion</x:v>
      </x:c>
      <x:c r="N933" s="160" t="str">
        <x:v>Added under the &gt;=50k-county expansion rule: Census Vintage 2025 municipality population &gt;=10,000; general-purpose city-equivalent municipality; direct Census adjacency. Presence-floor proxy only — exact tracked-chain count requires municipal-boundary/GIS verification. New York villages are excluded under the established non-overlapping cities + towns convention. Adams Fairacre Farms Kingston is county-selection evidence only.</x:v>
      </x:c>
      <x:c r="O933" s="160" t="str">
        <x:v>Ulster County</x:v>
      </x:c>
    </x:row>
    <x:row r="934">
      <x:c r="A934" t="n">
        <x:v>980</x:v>
      </x:c>
      <x:c r="B934" t="str">
        <x:v>Winston-Salem</x:v>
      </x:c>
      <x:c r="C934" t="str">
        <x:v>NC</x:v>
      </x:c>
      <x:c r="D934" s="161" t="n">
        <x:v>132.449</x:v>
      </x:c>
      <x:c r="E934" t="n">
        <x:v>0</x:v>
      </x:c>
      <x:c r="F934" t="n">
        <x:v>0</x:v>
      </x:c>
      <x:c r="G934" t="n">
        <x:v>0</x:v>
      </x:c>
      <x:c r="H934" t="n">
        <x:v>0</x:v>
      </x:c>
      <x:c r="I934" t="n">
        <x:v>0</x:v>
      </x:c>
      <x:c r="J934" t="n">
        <x:v>1</x:v>
      </x:c>
      <x:c r="K934" t="n">
        <x:f>SUM(E934:J934)</x:f>
        <x:v>1</x:v>
      </x:c>
      <x:c r="L934" s="163" t="n">
        <x:f>IFERROR(K934/D934,0)</x:f>
        <x:v>0.007550075878262576</x:v>
      </x:c>
      <x:c r="M934" s="160" t="str">
        <x:v>Presence-floor proxy only</x:v>
      </x:c>
      <x:c r="N934" s="160" t="str">
        <x:v>One-store screening floor only; exact selected-chain count and 5-mile buffer require GIS verification.</x:v>
      </x:c>
      <x:c r="O934" s="160" t="str">
        <x:v>Forsyth County</x:v>
      </x:c>
    </x:row>
    <x:row r="935">
      <x:c r="A935" t="n">
        <x:v>981</x:v>
      </x:c>
      <x:c r="B935" t="str">
        <x:v>Portland</x:v>
      </x:c>
      <x:c r="C935" t="str">
        <x:v>OR</x:v>
      </x:c>
      <x:c r="D935" s="161" t="n">
        <x:v>133.427</x:v>
      </x:c>
      <x:c r="E935" t="n">
        <x:v>0</x:v>
      </x:c>
      <x:c r="F935" t="n">
        <x:v>0</x:v>
      </x:c>
      <x:c r="G935" t="n">
        <x:v>0</x:v>
      </x:c>
      <x:c r="H935" t="n">
        <x:v>0</x:v>
      </x:c>
      <x:c r="I935" t="n">
        <x:v>0</x:v>
      </x:c>
      <x:c r="J935" t="n">
        <x:v>1</x:v>
      </x:c>
      <x:c r="K935" t="n">
        <x:f>SUM(E935:J935)</x:f>
        <x:v>1</x:v>
      </x:c>
      <x:c r="L935" s="163" t="n">
        <x:f>IFERROR(K935/D935,0)</x:f>
        <x:v>0.007494734948698539</x:v>
      </x:c>
      <x:c r="M935" s="160" t="str">
        <x:v>Presence-floor proxy only</x:v>
      </x:c>
      <x:c r="N935" s="160" t="str">
        <x:v>One-store screening floor only; exact selected-chain count and 5-mile buffer require GIS verification.</x:v>
      </x:c>
      <x:c r="O935" s="160" t="str">
        <x:v>Multnomah County</x:v>
      </x:c>
    </x:row>
    <x:row r="936">
      <x:c r="A936" t="n">
        <x:v>982</x:v>
      </x:c>
      <x:c r="B936" t="str">
        <x:v>Mesa</x:v>
      </x:c>
      <x:c r="C936" t="str">
        <x:v>AZ</x:v>
      </x:c>
      <x:c r="D936" s="161" t="n">
        <x:v>136.452</x:v>
      </x:c>
      <x:c r="E936" t="n">
        <x:v>0</x:v>
      </x:c>
      <x:c r="F936" t="n">
        <x:v>0</x:v>
      </x:c>
      <x:c r="G936" t="n">
        <x:v>0</x:v>
      </x:c>
      <x:c r="H936" t="n">
        <x:v>0</x:v>
      </x:c>
      <x:c r="I936" t="n">
        <x:v>0</x:v>
      </x:c>
      <x:c r="J936" t="n">
        <x:v>1</x:v>
      </x:c>
      <x:c r="K936" t="n">
        <x:f>SUM(E936:J936)</x:f>
        <x:v>1</x:v>
      </x:c>
      <x:c r="L936" s="163" t="n">
        <x:f>IFERROR(K936/D936,0)</x:f>
        <x:v>0.007328584410635242</x:v>
      </x:c>
      <x:c r="M936" s="160" t="str">
        <x:v>Presence-floor proxy only</x:v>
      </x:c>
      <x:c r="N936" s="160" t="str">
        <x:v>One-store screening floor only; exact selected-chain count and 5-mile buffer require GIS verification.</x:v>
      </x:c>
      <x:c r="O936" s="160" t="str">
        <x:v>Maricopa County</x:v>
      </x:c>
    </x:row>
    <x:row r="937">
      <x:c r="A937" t="n">
        <x:v>983</x:v>
      </x:c>
      <x:c r="B937" t="str">
        <x:v>Columbia</x:v>
      </x:c>
      <x:c r="C937" t="str">
        <x:v>SC</x:v>
      </x:c>
      <x:c r="D937" s="161" t="n">
        <x:v>136.8</x:v>
      </x:c>
      <x:c r="E937" t="n">
        <x:v>0</x:v>
      </x:c>
      <x:c r="F937" t="n">
        <x:v>0</x:v>
      </x:c>
      <x:c r="G937" t="n">
        <x:v>0</x:v>
      </x:c>
      <x:c r="H937" t="n">
        <x:v>0</x:v>
      </x:c>
      <x:c r="I937" t="n">
        <x:v>0</x:v>
      </x:c>
      <x:c r="J937" t="n">
        <x:v>1</x:v>
      </x:c>
      <x:c r="K937" t="n">
        <x:f>SUM(E937:J937)</x:f>
        <x:v>1</x:v>
      </x:c>
      <x:c r="L937" s="163" t="n">
        <x:f>IFERROR(K937/D937,0)</x:f>
        <x:v>0.007309941520467836</x:v>
      </x:c>
      <x:c r="M937" s="160" t="str">
        <x:v>Presence-floor proxy only — 200-city expansion</x:v>
      </x:c>
      <x:c r="N937" s="160" t="str">
        <x:v>Added in the 200-city screening expansion. One-store screening floor only; exact selected-chain count and 5-mile buffer require GIS verification.</x:v>
      </x:c>
      <x:c r="O937" s="160" t="str">
        <x:v>Richland County</x:v>
      </x:c>
    </x:row>
    <x:row r="938">
      <x:c r="A938" t="n">
        <x:v>984</x:v>
      </x:c>
      <x:c r="B938" t="str">
        <x:v>Detroit</x:v>
      </x:c>
      <x:c r="C938" t="str">
        <x:v>MI</x:v>
      </x:c>
      <x:c r="D938" s="161" t="n">
        <x:v>138.75</x:v>
      </x:c>
      <x:c r="E938" t="n">
        <x:v>0</x:v>
      </x:c>
      <x:c r="F938" t="n">
        <x:v>0</x:v>
      </x:c>
      <x:c r="G938" t="n">
        <x:v>0</x:v>
      </x:c>
      <x:c r="H938" t="n">
        <x:v>0</x:v>
      </x:c>
      <x:c r="I938" t="n">
        <x:v>0</x:v>
      </x:c>
      <x:c r="J938" t="n">
        <x:v>1</x:v>
      </x:c>
      <x:c r="K938" t="n">
        <x:f>SUM(E938:J938)</x:f>
        <x:v>1</x:v>
      </x:c>
      <x:c r="L938" s="163" t="n">
        <x:f>IFERROR(K938/D938,0)</x:f>
        <x:v>0.007207207207207207</x:v>
      </x:c>
      <x:c r="M938" s="160" t="str">
        <x:v>Presence-floor proxy only</x:v>
      </x:c>
      <x:c r="N938" s="160" t="str">
        <x:v>One-store screening floor only; exact selected-chain count and 5-mile buffer require GIS verification.</x:v>
      </x:c>
      <x:c r="O938" s="160" t="str">
        <x:v>Wayne County</x:v>
      </x:c>
    </x:row>
    <x:row r="939">
      <x:c r="A939" t="n">
        <x:v>985</x:v>
      </x:c>
      <x:c r="B939" t="str">
        <x:v>Southampton Town</x:v>
      </x:c>
      <x:c r="C939" t="str">
        <x:v>NY</x:v>
      </x:c>
      <x:c r="D939" s="161" t="n">
        <x:v>138.853</x:v>
      </x:c>
      <x:c r="E939" t="n">
        <x:v>0</x:v>
      </x:c>
      <x:c r="F939" t="n">
        <x:v>0</x:v>
      </x:c>
      <x:c r="G939" t="n">
        <x:v>0</x:v>
      </x:c>
      <x:c r="H939" t="n">
        <x:v>0</x:v>
      </x:c>
      <x:c r="I939" t="n">
        <x:v>0</x:v>
      </x:c>
      <x:c r="J939" t="n">
        <x:v>1</x:v>
      </x:c>
      <x:c r="K939" t="n">
        <x:f>SUM(E939:J939)</x:f>
        <x:v>1</x:v>
      </x:c>
      <x:c r="L939" s="163" t="n">
        <x:f>IFERROR(K939/D939,0)</x:f>
        <x:v>0.007201860960872289</x:v>
      </x:c>
      <x:c r="M939" s="160" t="str">
        <x:v>Presence-floor proxy only — 10k+ municipality completion</x:v>
      </x:c>
      <x:c r="N939"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939" s="160" t="str">
        <x:v>Suffolk County</x:v>
      </x:c>
    </x:row>
    <x:row r="940">
      <x:c r="A940" t="n">
        <x:v>986</x:v>
      </x:c>
      <x:c r="B940" t="str">
        <x:v>Mobile</x:v>
      </x:c>
      <x:c r="C940" t="str">
        <x:v>AL</x:v>
      </x:c>
      <x:c r="D940" s="161" t="n">
        <x:v>139.5</x:v>
      </x:c>
      <x:c r="E940" t="n">
        <x:v>0</x:v>
      </x:c>
      <x:c r="F940" t="n">
        <x:v>0</x:v>
      </x:c>
      <x:c r="G940" t="n">
        <x:v>0</x:v>
      </x:c>
      <x:c r="H940" t="n">
        <x:v>0</x:v>
      </x:c>
      <x:c r="I940" t="n">
        <x:v>0</x:v>
      </x:c>
      <x:c r="J940" t="n">
        <x:v>1</x:v>
      </x:c>
      <x:c r="K940" t="n">
        <x:f>SUM(E940:J940)</x:f>
        <x:v>1</x:v>
      </x:c>
      <x:c r="L940" s="163" t="n">
        <x:f>IFERROR(K940/D940,0)</x:f>
        <x:v>0.007168458781362007</x:v>
      </x:c>
      <x:c r="M940" s="160" t="str">
        <x:v>Presence-floor proxy only — 200-city expansion</x:v>
      </x:c>
      <x:c r="N940" s="160" t="str">
        <x:v>Added in the 200-city screening expansion. One-store screening floor only; exact selected-chain count and 5-mile buffer require GIS verification.</x:v>
      </x:c>
      <x:c r="O940" s="160" t="str">
        <x:v>Mobile County</x:v>
      </x:c>
    </x:row>
    <x:row r="941">
      <x:c r="A941" t="n">
        <x:v>987</x:v>
      </x:c>
      <x:c r="B941" t="str">
        <x:v>Bakersfield</x:v>
      </x:c>
      <x:c r="C941" t="str">
        <x:v>CA</x:v>
      </x:c>
      <x:c r="D941" s="161" t="n">
        <x:v>142.164</x:v>
      </x:c>
      <x:c r="E941" t="n">
        <x:v>0</x:v>
      </x:c>
      <x:c r="F941" t="n">
        <x:v>0</x:v>
      </x:c>
      <x:c r="G941" t="n">
        <x:v>0</x:v>
      </x:c>
      <x:c r="H941" t="n">
        <x:v>0</x:v>
      </x:c>
      <x:c r="I941" t="n">
        <x:v>0</x:v>
      </x:c>
      <x:c r="J941" t="n">
        <x:v>1</x:v>
      </x:c>
      <x:c r="K941" t="n">
        <x:f>SUM(E941:J941)</x:f>
        <x:v>1</x:v>
      </x:c>
      <x:c r="L941" s="163" t="n">
        <x:f>IFERROR(K941/D941,0)</x:f>
        <x:v>0.0070341295968036925</x:v>
      </x:c>
      <x:c r="M941" s="160" t="str">
        <x:v>Presence-floor proxy only</x:v>
      </x:c>
      <x:c r="N941" s="160" t="str">
        <x:v>One-store screening floor only; exact selected-chain count and 5-mile buffer require GIS verification.</x:v>
      </x:c>
      <x:c r="O941" s="160" t="str">
        <x:v>Kern County</x:v>
      </x:c>
    </x:row>
    <x:row r="942">
      <x:c r="A942" t="n">
        <x:v>988</x:v>
      </x:c>
      <x:c r="B942" t="str">
        <x:v>Chattanooga</x:v>
      </x:c>
      <x:c r="C942" t="str">
        <x:v>TN</x:v>
      </x:c>
      <x:c r="D942" s="161" t="n">
        <x:v>142.4</x:v>
      </x:c>
      <x:c r="E942" t="n">
        <x:v>0</x:v>
      </x:c>
      <x:c r="F942" t="n">
        <x:v>0</x:v>
      </x:c>
      <x:c r="G942" t="n">
        <x:v>0</x:v>
      </x:c>
      <x:c r="H942" t="n">
        <x:v>0</x:v>
      </x:c>
      <x:c r="I942" t="n">
        <x:v>0</x:v>
      </x:c>
      <x:c r="J942" t="n">
        <x:v>1</x:v>
      </x:c>
      <x:c r="K942" t="n">
        <x:f>SUM(E942:J942)</x:f>
        <x:v>1</x:v>
      </x:c>
      <x:c r="L942" s="163" t="n">
        <x:f>IFERROR(K942/D942,0)</x:f>
        <x:v>0.007022471910112359</x:v>
      </x:c>
      <x:c r="M942" s="160" t="str">
        <x:v>Presence-floor proxy only — 200-city expansion</x:v>
      </x:c>
      <x:c r="N942" s="160" t="str">
        <x:v>Added in the 200-city screening expansion. One-store screening floor only; exact selected-chain count and 5-mile buffer require GIS verification.</x:v>
      </x:c>
      <x:c r="O942" s="160" t="str">
        <x:v>Hamilton County</x:v>
      </x:c>
    </x:row>
    <x:row r="943">
      <x:c r="A943" t="n">
        <x:v>989</x:v>
      </x:c>
      <x:c r="B943" t="str">
        <x:v>Raleigh</x:v>
      </x:c>
      <x:c r="C943" t="str">
        <x:v>NC</x:v>
      </x:c>
      <x:c r="D943" s="161" t="n">
        <x:v>142.903</x:v>
      </x:c>
      <x:c r="E943" t="n">
        <x:v>0</x:v>
      </x:c>
      <x:c r="F943" t="n">
        <x:v>0</x:v>
      </x:c>
      <x:c r="G943" t="n">
        <x:v>0</x:v>
      </x:c>
      <x:c r="H943" t="n">
        <x:v>0</x:v>
      </x:c>
      <x:c r="I943" t="n">
        <x:v>0</x:v>
      </x:c>
      <x:c r="J943" t="n">
        <x:v>1</x:v>
      </x:c>
      <x:c r="K943" t="n">
        <x:f>SUM(E943:J943)</x:f>
        <x:v>1</x:v>
      </x:c>
      <x:c r="L943" s="163" t="n">
        <x:f>IFERROR(K943/D943,0)</x:f>
        <x:v>0.0069977537210555414</x:v>
      </x:c>
      <x:c r="M943" s="160" t="str">
        <x:v>Presence-floor proxy only</x:v>
      </x:c>
      <x:c r="N943" s="160" t="str">
        <x:v>One-store screening floor only; exact selected-chain count and 5-mile buffer require GIS verification.</x:v>
      </x:c>
      <x:c r="O943" s="160" t="str">
        <x:v>Wake County</x:v>
      </x:c>
    </x:row>
    <x:row r="944">
      <x:c r="A944" t="n">
        <x:v>990</x:v>
      </x:c>
      <x:c r="B944" t="str">
        <x:v>Birmingham</x:v>
      </x:c>
      <x:c r="C944" t="str">
        <x:v>AL</x:v>
      </x:c>
      <x:c r="D944" s="161" t="n">
        <x:v>146.067</x:v>
      </x:c>
      <x:c r="E944" t="n">
        <x:v>1</x:v>
      </x:c>
      <x:c r="F944" t="n">
        <x:v>0</x:v>
      </x:c>
      <x:c r="G944" t="n">
        <x:v>0</x:v>
      </x:c>
      <x:c r="H944" t="n">
        <x:v>0</x:v>
      </x:c>
      <x:c r="I944" t="n">
        <x:v>0</x:v>
      </x:c>
      <x:c r="J944" t="n">
        <x:v>0</x:v>
      </x:c>
      <x:c r="K944" t="n">
        <x:f>SUM(E944:J944)</x:f>
        <x:v>1</x:v>
      </x:c>
      <x:c r="L944" s="163" t="n">
        <x:f>IFERROR(K944/D944,0)</x:f>
        <x:v>0.006846173331416404</x:v>
      </x:c>
      <x:c r="M944" s="160" t="str">
        <x:v>Confirmed lower bound</x:v>
      </x:c>
      <x:c r="N944" s="160" t="str">
        <x:v>Verified public-directory count for ≥1 major chain; other selected chains and 5-mile spillover omitted.</x:v>
      </x:c>
      <x:c r="O944" s="160" t="str">
        <x:v>Jefferson County</x:v>
      </x:c>
    </x:row>
    <x:row r="945">
      <x:c r="A945" t="n">
        <x:v>991</x:v>
      </x:c>
      <x:c r="B945" t="str">
        <x:v>Fayetteville</x:v>
      </x:c>
      <x:c r="C945" t="str">
        <x:v>NC</x:v>
      </x:c>
      <x:c r="D945" s="161" t="n">
        <x:v>148.3</x:v>
      </x:c>
      <x:c r="E945" t="n">
        <x:v>0</x:v>
      </x:c>
      <x:c r="F945" t="n">
        <x:v>0</x:v>
      </x:c>
      <x:c r="G945" t="n">
        <x:v>0</x:v>
      </x:c>
      <x:c r="H945" t="n">
        <x:v>0</x:v>
      </x:c>
      <x:c r="I945" t="n">
        <x:v>0</x:v>
      </x:c>
      <x:c r="J945" t="n">
        <x:v>1</x:v>
      </x:c>
      <x:c r="K945" t="n">
        <x:f>SUM(E945:J945)</x:f>
        <x:v>1</x:v>
      </x:c>
      <x:c r="L945" s="163" t="n">
        <x:f>IFERROR(K945/D945,0)</x:f>
        <x:v>0.006743088334457181</x:v>
      </x:c>
      <x:c r="M945" s="160" t="str">
        <x:v>Presence-floor proxy only — 200-city expansion</x:v>
      </x:c>
      <x:c r="N945" s="160" t="str">
        <x:v>Added in the 200-city screening expansion. One-store screening floor only; exact selected-chain count and 5-mile buffer require GIS verification.</x:v>
      </x:c>
      <x:c r="O945" s="160" t="str">
        <x:v>Cumberland County</x:v>
      </x:c>
    </x:row>
    <x:row r="946">
      <x:c r="A946" t="n">
        <x:v>992</x:v>
      </x:c>
      <x:c r="B946" t="str">
        <x:v>Denver</x:v>
      </x:c>
      <x:c r="C946" t="str">
        <x:v>CO</x:v>
      </x:c>
      <x:c r="D946" s="161" t="n">
        <x:v>153</x:v>
      </x:c>
      <x:c r="E946" t="n">
        <x:v>0</x:v>
      </x:c>
      <x:c r="F946" t="n">
        <x:v>0</x:v>
      </x:c>
      <x:c r="G946" t="n">
        <x:v>0</x:v>
      </x:c>
      <x:c r="H946" t="n">
        <x:v>0</x:v>
      </x:c>
      <x:c r="I946" t="n">
        <x:v>0</x:v>
      </x:c>
      <x:c r="J946" t="n">
        <x:v>1</x:v>
      </x:c>
      <x:c r="K946" t="n">
        <x:f>SUM(E946:J946)</x:f>
        <x:v>1</x:v>
      </x:c>
      <x:c r="L946" s="163" t="n">
        <x:f>IFERROR(K946/D946,0)</x:f>
        <x:v>0.006535947712418301</x:v>
      </x:c>
      <x:c r="M946" s="160" t="str">
        <x:v>Presence-floor proxy only</x:v>
      </x:c>
      <x:c r="N946" s="160" t="str">
        <x:v>One-store screening floor only; exact selected-chain count and 5-mile buffer require GIS verification.</x:v>
      </x:c>
      <x:c r="O946" s="160" t="str">
        <x:v>Denver County</x:v>
      </x:c>
    </x:row>
    <x:row r="947">
      <x:c r="A947" t="n">
        <x:v>993</x:v>
      </x:c>
      <x:c r="B947" t="str">
        <x:v>Aurora</x:v>
      </x:c>
      <x:c r="C947" t="str">
        <x:v>CO</x:v>
      </x:c>
      <x:c r="D947" s="161" t="n">
        <x:v>154.734</x:v>
      </x:c>
      <x:c r="E947" t="n">
        <x:v>0</x:v>
      </x:c>
      <x:c r="F947" t="n">
        <x:v>0</x:v>
      </x:c>
      <x:c r="G947" t="n">
        <x:v>0</x:v>
      </x:c>
      <x:c r="H947" t="n">
        <x:v>0</x:v>
      </x:c>
      <x:c r="I947" t="n">
        <x:v>0</x:v>
      </x:c>
      <x:c r="J947" t="n">
        <x:v>1</x:v>
      </x:c>
      <x:c r="K947" t="n">
        <x:f>SUM(E947:J947)</x:f>
        <x:v>1</x:v>
      </x:c>
      <x:c r="L947" s="163" t="n">
        <x:f>IFERROR(K947/D947,0)</x:f>
        <x:v>0.006462703736735301</x:v>
      </x:c>
      <x:c r="M947" s="160" t="str">
        <x:v>Presence-floor proxy only</x:v>
      </x:c>
      <x:c r="N947" s="160" t="str">
        <x:v>One-store screening floor only; exact selected-chain count and 5-mile buffer require GIS verification.</x:v>
      </x:c>
      <x:c r="O947" s="160" t="str">
        <x:v>Arapahoe County</x:v>
      </x:c>
    </x:row>
    <x:row r="948">
      <x:c r="A948" t="n">
        <x:v>994</x:v>
      </x:c>
      <x:c r="B948" t="str">
        <x:v>Wichita</x:v>
      </x:c>
      <x:c r="C948" t="str">
        <x:v>KS</x:v>
      </x:c>
      <x:c r="D948" s="161" t="n">
        <x:v>159.295</x:v>
      </x:c>
      <x:c r="E948" t="n">
        <x:v>0</x:v>
      </x:c>
      <x:c r="F948" t="n">
        <x:v>0</x:v>
      </x:c>
      <x:c r="G948" t="n">
        <x:v>0</x:v>
      </x:c>
      <x:c r="H948" t="n">
        <x:v>0</x:v>
      </x:c>
      <x:c r="I948" t="n">
        <x:v>0</x:v>
      </x:c>
      <x:c r="J948" t="n">
        <x:v>1</x:v>
      </x:c>
      <x:c r="K948" t="n">
        <x:f>SUM(E948:J948)</x:f>
        <x:v>1</x:v>
      </x:c>
      <x:c r="L948" s="163" t="n">
        <x:f>IFERROR(K948/D948,0)</x:f>
        <x:v>0.0062776609435324406</x:v>
      </x:c>
      <x:c r="M948" s="160" t="str">
        <x:v>Presence-floor proxy only</x:v>
      </x:c>
      <x:c r="N948" s="160" t="str">
        <x:v>One-store screening floor only; exact selected-chain count and 5-mile buffer require GIS verification.</x:v>
      </x:c>
      <x:c r="O948" s="160" t="str">
        <x:v>Sedgwick County</x:v>
      </x:c>
    </x:row>
    <x:row r="949">
      <x:c r="A949" t="n">
        <x:v>995</x:v>
      </x:c>
      <x:c r="B949" t="str">
        <x:v>Montgomery</x:v>
      </x:c>
      <x:c r="C949" t="str">
        <x:v>AL</x:v>
      </x:c>
      <x:c r="D949" s="161" t="n">
        <x:v>159.9</x:v>
      </x:c>
      <x:c r="E949" t="n">
        <x:v>0</x:v>
      </x:c>
      <x:c r="F949" t="n">
        <x:v>0</x:v>
      </x:c>
      <x:c r="G949" t="n">
        <x:v>0</x:v>
      </x:c>
      <x:c r="H949" t="n">
        <x:v>0</x:v>
      </x:c>
      <x:c r="I949" t="n">
        <x:v>0</x:v>
      </x:c>
      <x:c r="J949" t="n">
        <x:v>1</x:v>
      </x:c>
      <x:c r="K949" t="n">
        <x:f>SUM(E949:J949)</x:f>
        <x:v>1</x:v>
      </x:c>
      <x:c r="L949" s="163" t="n">
        <x:f>IFERROR(K949/D949,0)</x:f>
        <x:v>0.006253908692933083</x:v>
      </x:c>
      <x:c r="M949" s="160" t="str">
        <x:v>Presence-floor proxy only — 200-city expansion</x:v>
      </x:c>
      <x:c r="N949" s="160" t="str">
        <x:v>Added in the 200-city screening expansion. One-store screening floor only; exact selected-chain count and 5-mile buffer require GIS verification.</x:v>
      </x:c>
      <x:c r="O949" s="160" t="str">
        <x:v>Montgomery County</x:v>
      </x:c>
    </x:row>
    <x:row r="950">
      <x:c r="A950" t="n">
        <x:v>996</x:v>
      </x:c>
      <x:c r="B950" t="str">
        <x:v>Corpus Christi</x:v>
      </x:c>
      <x:c r="C950" t="str">
        <x:v>TX</x:v>
      </x:c>
      <x:c r="D950" s="161" t="n">
        <x:v>160.612</x:v>
      </x:c>
      <x:c r="E950" t="n">
        <x:v>0</x:v>
      </x:c>
      <x:c r="F950" t="n">
        <x:v>0</x:v>
      </x:c>
      <x:c r="G950" t="n">
        <x:v>0</x:v>
      </x:c>
      <x:c r="H950" t="n">
        <x:v>0</x:v>
      </x:c>
      <x:c r="I950" t="n">
        <x:v>0</x:v>
      </x:c>
      <x:c r="J950" t="n">
        <x:v>1</x:v>
      </x:c>
      <x:c r="K950" t="n">
        <x:f>SUM(E950:J950)</x:f>
        <x:v>1</x:v>
      </x:c>
      <x:c r="L950" s="163" t="n">
        <x:f>IFERROR(K950/D950,0)</x:f>
        <x:v>0.006226184842975618</x:v>
      </x:c>
      <x:c r="M950" s="160" t="str">
        <x:v>Presence-floor proxy only</x:v>
      </x:c>
      <x:c r="N950" s="160" t="str">
        <x:v>One-store screening floor only; exact selected-chain count and 5-mile buffer require GIS verification.</x:v>
      </x:c>
      <x:c r="O950" s="160" t="str">
        <x:v>Nueces County</x:v>
      </x:c>
    </x:row>
    <x:row r="951">
      <x:c r="A951" t="n">
        <x:v>997</x:v>
      </x:c>
      <x:c r="B951" t="str">
        <x:v>Peoria</x:v>
      </x:c>
      <x:c r="C951" t="str">
        <x:v>AZ</x:v>
      </x:c>
      <x:c r="D951" s="161" t="n">
        <x:v>176.1</x:v>
      </x:c>
      <x:c r="E951" t="n">
        <x:v>0</x:v>
      </x:c>
      <x:c r="F951" t="n">
        <x:v>0</x:v>
      </x:c>
      <x:c r="G951" t="n">
        <x:v>0</x:v>
      </x:c>
      <x:c r="H951" t="n">
        <x:v>0</x:v>
      </x:c>
      <x:c r="I951" t="n">
        <x:v>0</x:v>
      </x:c>
      <x:c r="J951" t="n">
        <x:v>1</x:v>
      </x:c>
      <x:c r="K951" t="n">
        <x:f>SUM(E951:J951)</x:f>
        <x:v>1</x:v>
      </x:c>
      <x:c r="L951" s="163" t="n">
        <x:f>IFERROR(K951/D951,0)</x:f>
        <x:v>0.0056785917092561046</x:v>
      </x:c>
      <x:c r="M951" s="160" t="str">
        <x:v>Presence-floor proxy only — 200-city expansion</x:v>
      </x:c>
      <x:c r="N951" s="160" t="str">
        <x:v>Added in the 200-city screening expansion. One-store screening floor only; exact selected-chain count and 5-mile buffer require GIS verification.</x:v>
      </x:c>
      <x:c r="O951" s="160" t="str">
        <x:v>Maricopa County</x:v>
      </x:c>
    </x:row>
    <x:row r="952">
      <x:c r="A952" t="n">
        <x:v>998</x:v>
      </x:c>
      <x:c r="B952" t="str">
        <x:v>Norman</x:v>
      </x:c>
      <x:c r="C952" t="str">
        <x:v>OK</x:v>
      </x:c>
      <x:c r="D952" s="161" t="n">
        <x:v>178.8</x:v>
      </x:c>
      <x:c r="E952" t="n">
        <x:v>0</x:v>
      </x:c>
      <x:c r="F952" t="n">
        <x:v>0</x:v>
      </x:c>
      <x:c r="G952" t="n">
        <x:v>0</x:v>
      </x:c>
      <x:c r="H952" t="n">
        <x:v>0</x:v>
      </x:c>
      <x:c r="I952" t="n">
        <x:v>0</x:v>
      </x:c>
      <x:c r="J952" t="n">
        <x:v>1</x:v>
      </x:c>
      <x:c r="K952" t="n">
        <x:f>SUM(E952:J952)</x:f>
        <x:v>1</x:v>
      </x:c>
      <x:c r="L952" s="163" t="n">
        <x:f>IFERROR(K952/D952,0)</x:f>
        <x:v>0.005592841163310961</x:v>
      </x:c>
      <x:c r="M952" s="160" t="str">
        <x:v>Presence-floor proxy only — 250-city expansion</x:v>
      </x:c>
      <x:c r="N952" s="160" t="str">
        <x:v>Added in the 250-city screening expansion. One-store screening floor only; exact selected-chain count and 5-mile buffer require GIS verification.</x:v>
      </x:c>
      <x:c r="O952" s="160" t="str">
        <x:v>Cleveland County</x:v>
      </x:c>
    </x:row>
    <x:row r="953">
      <x:c r="A953" t="n">
        <x:v>999</x:v>
      </x:c>
      <x:c r="B953" t="str">
        <x:v>Scottsdale</x:v>
      </x:c>
      <x:c r="C953" t="str">
        <x:v>AZ</x:v>
      </x:c>
      <x:c r="D953" s="161" t="n">
        <x:v>183.92</x:v>
      </x:c>
      <x:c r="E953" t="n">
        <x:v>0</x:v>
      </x:c>
      <x:c r="F953" t="n">
        <x:v>0</x:v>
      </x:c>
      <x:c r="G953" t="n">
        <x:v>0</x:v>
      </x:c>
      <x:c r="H953" t="n">
        <x:v>0</x:v>
      </x:c>
      <x:c r="I953" t="n">
        <x:v>0</x:v>
      </x:c>
      <x:c r="J953" t="n">
        <x:v>1</x:v>
      </x:c>
      <x:c r="K953" t="n">
        <x:f>SUM(E953:J953)</x:f>
        <x:v>1</x:v>
      </x:c>
      <x:c r="L953" s="163" t="n">
        <x:f>IFERROR(K953/D953,0)</x:f>
        <x:v>0.005437146585471945</x:v>
      </x:c>
      <x:c r="M953" s="160" t="str">
        <x:v>Presence-floor proxy only</x:v>
      </x:c>
      <x:c r="N953" s="160" t="str">
        <x:v>One-store screening floor only; exact selected-chain count and 5-mile buffer require GIS verification.</x:v>
      </x:c>
      <x:c r="O953" s="160" t="str">
        <x:v>Maricopa County</x:v>
      </x:c>
    </x:row>
    <x:row r="954">
      <x:c r="A954" t="n">
        <x:v>1000</x:v>
      </x:c>
      <x:c r="B954" t="str">
        <x:v>Jacksonville</x:v>
      </x:c>
      <x:c r="C954" t="str">
        <x:v>FL</x:v>
      </x:c>
      <x:c r="D954" s="161" t="n">
        <x:v>747.003</x:v>
      </x:c>
      <x:c r="E954" t="n">
        <x:v>1</x:v>
      </x:c>
      <x:c r="F954" t="n">
        <x:v>0</x:v>
      </x:c>
      <x:c r="G954" t="n">
        <x:v>3</x:v>
      </x:c>
      <x:c r="H954" t="n">
        <x:v>0</x:v>
      </x:c>
      <x:c r="I954" t="n">
        <x:v>0</x:v>
      </x:c>
      <x:c r="J954" t="n">
        <x:v>0</x:v>
      </x:c>
      <x:c r="K954" t="n">
        <x:f>SUM(E954:J954)</x:f>
        <x:v>4</x:v>
      </x:c>
      <x:c r="L954" s="163" t="n">
        <x:f>IFERROR(K954/D954,0)</x:f>
        <x:v>0.005354730837761026</x:v>
      </x:c>
      <x:c r="M954" s="160" t="str">
        <x:v>Confirmed lower bound</x:v>
      </x:c>
      <x:c r="N954" s="160" t="str">
        <x:v>Verified public-directory count for ≥1 major chain; other selected chains and 5-mile spillover omitted.</x:v>
      </x:c>
      <x:c r="O954" s="160" t="str">
        <x:v>Duval County</x:v>
      </x:c>
    </x:row>
    <x:row r="955">
      <x:c r="A955" t="n">
        <x:v>1001</x:v>
      </x:c>
      <x:c r="B955" t="str">
        <x:v>Goodyear</x:v>
      </x:c>
      <x:c r="C955" t="str">
        <x:v>AZ</x:v>
      </x:c>
      <x:c r="D955" s="161" t="n">
        <x:v>191.3</x:v>
      </x:c>
      <x:c r="E955" t="n">
        <x:v>0</x:v>
      </x:c>
      <x:c r="F955" t="n">
        <x:v>0</x:v>
      </x:c>
      <x:c r="G955" t="n">
        <x:v>0</x:v>
      </x:c>
      <x:c r="H955" t="n">
        <x:v>0</x:v>
      </x:c>
      <x:c r="I955" t="n">
        <x:v>0</x:v>
      </x:c>
      <x:c r="J955" t="n">
        <x:v>1</x:v>
      </x:c>
      <x:c r="K955" t="n">
        <x:f>SUM(E955:J955)</x:f>
        <x:v>1</x:v>
      </x:c>
      <x:c r="L955" s="163" t="n">
        <x:f>IFERROR(K955/D955,0)</x:f>
        <x:v>0.005227391531625719</x:v>
      </x:c>
      <x:c r="M955" s="160" t="str">
        <x:v>Presence-floor proxy only — 250-city expansion</x:v>
      </x:c>
      <x:c r="N955" s="160" t="str">
        <x:v>Added in the 250-city screening expansion. One-store screening floor only; exact selected-chain count and 5-mile buffer require GIS verification.</x:v>
      </x:c>
      <x:c r="O955" s="160" t="str">
        <x:v>Maricopa County</x:v>
      </x:c>
    </x:row>
    <x:row r="956">
      <x:c r="A956" t="n">
        <x:v>1002</x:v>
      </x:c>
      <x:c r="B956" t="str">
        <x:v>Colorado Springs</x:v>
      </x:c>
      <x:c r="C956" t="str">
        <x:v>CO</x:v>
      </x:c>
      <x:c r="D956" s="161" t="n">
        <x:v>194.54</x:v>
      </x:c>
      <x:c r="E956" t="n">
        <x:v>1</x:v>
      </x:c>
      <x:c r="F956" t="n">
        <x:v>0</x:v>
      </x:c>
      <x:c r="G956" t="n">
        <x:v>0</x:v>
      </x:c>
      <x:c r="H956" t="n">
        <x:v>0</x:v>
      </x:c>
      <x:c r="I956" t="n">
        <x:v>0</x:v>
      </x:c>
      <x:c r="J956" t="n">
        <x:v>0</x:v>
      </x:c>
      <x:c r="K956" t="n">
        <x:f>SUM(E956:J956)</x:f>
        <x:v>1</x:v>
      </x:c>
      <x:c r="L956" s="163" t="n">
        <x:f>IFERROR(K956/D956,0)</x:f>
        <x:v>0.005140331037318803</x:v>
      </x:c>
      <x:c r="M956" s="160" t="str">
        <x:v>Confirmed lower bound</x:v>
      </x:c>
      <x:c r="N956" s="160" t="str">
        <x:v>Verified public-directory count for ≥1 major chain; other selected chains and 5-mile spillover omitted.</x:v>
      </x:c>
      <x:c r="O956" s="160" t="str">
        <x:v>El Paso County</x:v>
      </x:c>
    </x:row>
    <x:row r="957">
      <x:c r="A957" t="n">
        <x:v>1003</x:v>
      </x:c>
      <x:c r="B957" t="str">
        <x:v>Tulsa</x:v>
      </x:c>
      <x:c r="C957" t="str">
        <x:v>OK</x:v>
      </x:c>
      <x:c r="D957" s="161" t="n">
        <x:v>196.754</x:v>
      </x:c>
      <x:c r="E957" t="n">
        <x:v>0</x:v>
      </x:c>
      <x:c r="F957" t="n">
        <x:v>0</x:v>
      </x:c>
      <x:c r="G957" t="n">
        <x:v>0</x:v>
      </x:c>
      <x:c r="H957" t="n">
        <x:v>0</x:v>
      </x:c>
      <x:c r="I957" t="n">
        <x:v>0</x:v>
      </x:c>
      <x:c r="J957" t="n">
        <x:v>1</x:v>
      </x:c>
      <x:c r="K957" t="n">
        <x:f>SUM(E957:J957)</x:f>
        <x:v>1</x:v>
      </x:c>
      <x:c r="L957" s="163" t="n">
        <x:f>IFERROR(K957/D957,0)</x:f>
        <x:v>0.005082488793112212</x:v>
      </x:c>
      <x:c r="M957" s="160" t="str">
        <x:v>Presence-floor proxy only</x:v>
      </x:c>
      <x:c r="N957" s="160" t="str">
        <x:v>One-store screening floor only; exact selected-chain count and 5-mile buffer require GIS verification.</x:v>
      </x:c>
      <x:c r="O957" s="160" t="str">
        <x:v>Tulsa County</x:v>
      </x:c>
    </x:row>
    <x:row r="958">
      <x:c r="A958" t="n">
        <x:v>1004</x:v>
      </x:c>
      <x:c r="B958" t="str">
        <x:v>Columbus</x:v>
      </x:c>
      <x:c r="C958" t="str">
        <x:v>GA</x:v>
      </x:c>
      <x:c r="D958" s="161" t="n">
        <x:v>216.5</x:v>
      </x:c>
      <x:c r="E958" t="n">
        <x:v>0</x:v>
      </x:c>
      <x:c r="F958" t="n">
        <x:v>0</x:v>
      </x:c>
      <x:c r="G958" t="n">
        <x:v>0</x:v>
      </x:c>
      <x:c r="H958" t="n">
        <x:v>0</x:v>
      </x:c>
      <x:c r="I958" t="n">
        <x:v>0</x:v>
      </x:c>
      <x:c r="J958" t="n">
        <x:v>1</x:v>
      </x:c>
      <x:c r="K958" t="n">
        <x:f>SUM(E958:J958)</x:f>
        <x:v>1</x:v>
      </x:c>
      <x:c r="L958" s="163" t="n">
        <x:f>IFERROR(K958/D958,0)</x:f>
        <x:v>0.004618937644341801</x:v>
      </x:c>
      <x:c r="M958" s="160" t="str">
        <x:v>Presence-floor proxy only — 200-city expansion</x:v>
      </x:c>
      <x:c r="N958" s="160" t="str">
        <x:v>Added in the 200-city screening expansion. One-store screening floor only; exact selected-chain count and 5-mile buffer require GIS verification.</x:v>
      </x:c>
      <x:c r="O958" s="160" t="str">
        <x:v>Muscogee County</x:v>
      </x:c>
    </x:row>
    <x:row r="959">
      <x:c r="A959" t="n">
        <x:v>1005</x:v>
      </x:c>
      <x:c r="B959" t="str">
        <x:v>Huntsville</x:v>
      </x:c>
      <x:c r="C959" t="str">
        <x:v>AL</x:v>
      </x:c>
      <x:c r="D959" s="161" t="n">
        <x:v>218.1</x:v>
      </x:c>
      <x:c r="E959" t="n">
        <x:v>0</x:v>
      </x:c>
      <x:c r="F959" t="n">
        <x:v>0</x:v>
      </x:c>
      <x:c r="G959" t="n">
        <x:v>0</x:v>
      </x:c>
      <x:c r="H959" t="n">
        <x:v>0</x:v>
      </x:c>
      <x:c r="I959" t="n">
        <x:v>0</x:v>
      </x:c>
      <x:c r="J959" t="n">
        <x:v>1</x:v>
      </x:c>
      <x:c r="K959" t="n">
        <x:f>SUM(E959:J959)</x:f>
        <x:v>1</x:v>
      </x:c>
      <x:c r="L959" s="163" t="n">
        <x:f>IFERROR(K959/D959,0)</x:f>
        <x:v>0.004585052728106373</x:v>
      </x:c>
      <x:c r="M959" s="160" t="str">
        <x:v>Presence-floor proxy only — 200-city expansion</x:v>
      </x:c>
      <x:c r="N959" s="160" t="str">
        <x:v>Added in the 200-city screening expansion. One-store screening floor only; exact selected-chain count and 5-mile buffer require GIS verification.</x:v>
      </x:c>
      <x:c r="O959" s="160" t="str">
        <x:v>Madison County</x:v>
      </x:c>
    </x:row>
    <x:row r="960">
      <x:c r="A960" t="n">
        <x:v>1006</x:v>
      </x:c>
      <x:c r="B960" t="str">
        <x:v>Tucson</x:v>
      </x:c>
      <x:c r="C960" t="str">
        <x:v>AZ</x:v>
      </x:c>
      <x:c r="D960" s="161" t="n">
        <x:v>226.709</x:v>
      </x:c>
      <x:c r="E960" t="n">
        <x:v>0</x:v>
      </x:c>
      <x:c r="F960" t="n">
        <x:v>0</x:v>
      </x:c>
      <x:c r="G960" t="n">
        <x:v>0</x:v>
      </x:c>
      <x:c r="H960" t="n">
        <x:v>0</x:v>
      </x:c>
      <x:c r="I960" t="n">
        <x:v>0</x:v>
      </x:c>
      <x:c r="J960" t="n">
        <x:v>1</x:v>
      </x:c>
      <x:c r="K960" t="n">
        <x:f>SUM(E960:J960)</x:f>
        <x:v>1</x:v>
      </x:c>
      <x:c r="L960" s="163" t="n">
        <x:f>IFERROR(K960/D960,0)</x:f>
        <x:v>0.0044109408978029105</x:v>
      </x:c>
      <x:c r="M960" s="160" t="str">
        <x:v>Presence-floor proxy only</x:v>
      </x:c>
      <x:c r="N960" s="160" t="str">
        <x:v>One-store screening floor only; exact selected-chain count and 5-mile buffer require GIS verification.</x:v>
      </x:c>
      <x:c r="O960" s="160" t="str">
        <x:v>Pima County</x:v>
      </x:c>
    </x:row>
    <x:row r="961">
      <x:c r="A961" t="n">
        <x:v>1007</x:v>
      </x:c>
      <x:c r="B961" t="str">
        <x:v>Macon</x:v>
      </x:c>
      <x:c r="C961" t="str">
        <x:v>GA</x:v>
      </x:c>
      <x:c r="D961" s="161" t="n">
        <x:v>249.4</x:v>
      </x:c>
      <x:c r="E961" t="n">
        <x:v>0</x:v>
      </x:c>
      <x:c r="F961" t="n">
        <x:v>0</x:v>
      </x:c>
      <x:c r="G961" t="n">
        <x:v>0</x:v>
      </x:c>
      <x:c r="H961" t="n">
        <x:v>0</x:v>
      </x:c>
      <x:c r="I961" t="n">
        <x:v>0</x:v>
      </x:c>
      <x:c r="J961" t="n">
        <x:v>1</x:v>
      </x:c>
      <x:c r="K961" t="n">
        <x:f>SUM(E961:J961)</x:f>
        <x:v>1</x:v>
      </x:c>
      <x:c r="L961" s="163" t="n">
        <x:f>IFERROR(K961/D961,0)</x:f>
        <x:v>0.00400962309542903</x:v>
      </x:c>
      <x:c r="M961" s="160" t="str">
        <x:v>Presence-floor proxy only — 200-city expansion</x:v>
      </x:c>
      <x:c r="N961" s="160" t="str">
        <x:v>Added in the 200-city screening expansion. One-store screening floor only; exact selected-chain count and 5-mile buffer require GIS verification.</x:v>
      </x:c>
      <x:c r="O961" s="160" t="str">
        <x:v>Bibb County</x:v>
      </x:c>
    </x:row>
    <x:row r="962">
      <x:c r="A962" t="n">
        <x:v>1008</x:v>
      </x:c>
      <x:c r="B962" t="str">
        <x:v>Brookhaven Town</x:v>
      </x:c>
      <x:c r="C962" t="str">
        <x:v>NY</x:v>
      </x:c>
      <x:c r="D962" s="161" t="n">
        <x:v>259.648</x:v>
      </x:c>
      <x:c r="E962" t="n">
        <x:v>0</x:v>
      </x:c>
      <x:c r="F962" t="n">
        <x:v>0</x:v>
      </x:c>
      <x:c r="G962" t="n">
        <x:v>0</x:v>
      </x:c>
      <x:c r="H962" t="n">
        <x:v>0</x:v>
      </x:c>
      <x:c r="I962" t="n">
        <x:v>0</x:v>
      </x:c>
      <x:c r="J962" t="n">
        <x:v>1</x:v>
      </x:c>
      <x:c r="K962" t="n">
        <x:f>SUM(E962:J962)</x:f>
        <x:v>1</x:v>
      </x:c>
      <x:c r="L962" s="163" t="n">
        <x:f>IFERROR(K962/D962,0)</x:f>
        <x:v>0.003851368005915701</x:v>
      </x:c>
      <x:c r="M962" s="160" t="str">
        <x:v>Presence-floor proxy only — 10k+ municipality completion</x:v>
      </x:c>
      <x:c r="N962" s="160" t="str">
        <x:v>Added under the 10k+ city-equivalent municipality rule: Census Vintage 2025 population &gt;=10,000; county population &gt;=500,000. Presence-floor proxy only — exact tracked-chain count requires municipal-boundary/GIS verification. New York villages are excluded here because they are nested within towns; using towns avoids overlapping municipal units.</x:v>
      </x:c>
      <x:c r="O962" s="160" t="str">
        <x:v>Suffolk County</x:v>
      </x:c>
    </x:row>
    <x:row r="963">
      <x:c r="A963" t="n">
        <x:v>1009</x:v>
      </x:c>
      <x:c r="B963" t="str">
        <x:v>Lexington</x:v>
      </x:c>
      <x:c r="C963" t="str">
        <x:v>KY</x:v>
      </x:c>
      <x:c r="D963" s="161" t="n">
        <x:v>283.649</x:v>
      </x:c>
      <x:c r="E963" t="n">
        <x:v>0</x:v>
      </x:c>
      <x:c r="F963" t="n">
        <x:v>0</x:v>
      </x:c>
      <x:c r="G963" t="n">
        <x:v>0</x:v>
      </x:c>
      <x:c r="H963" t="n">
        <x:v>0</x:v>
      </x:c>
      <x:c r="I963" t="n">
        <x:v>0</x:v>
      </x:c>
      <x:c r="J963" t="n">
        <x:v>1</x:v>
      </x:c>
      <x:c r="K963" t="n">
        <x:f>SUM(E963:J963)</x:f>
        <x:v>1</x:v>
      </x:c>
      <x:c r="L963" s="163" t="n">
        <x:f>IFERROR(K963/D963,0)</x:f>
        <x:v>0.0035254839608107203</x:v>
      </x:c>
      <x:c r="M963" s="160" t="str">
        <x:v>Presence-floor proxy only</x:v>
      </x:c>
      <x:c r="N963" s="160" t="str">
        <x:v>One-store screening floor only; exact selected-chain count and 5-mile buffer require GIS verification.</x:v>
      </x:c>
      <x:c r="O963" s="160" t="str">
        <x:v>Fayette County</x:v>
      </x:c>
    </x:row>
    <x:row r="964">
      <x:c r="A964" t="n">
        <x:v>1010</x:v>
      </x:c>
      <x:c r="B964" t="str">
        <x:v>Augusta</x:v>
      </x:c>
      <x:c r="C964" t="str">
        <x:v>GA</x:v>
      </x:c>
      <x:c r="D964" s="161" t="n">
        <x:v>302.3</x:v>
      </x:c>
      <x:c r="E964" t="n">
        <x:v>0</x:v>
      </x:c>
      <x:c r="F964" t="n">
        <x:v>0</x:v>
      </x:c>
      <x:c r="G964" t="n">
        <x:v>0</x:v>
      </x:c>
      <x:c r="H964" t="n">
        <x:v>0</x:v>
      </x:c>
      <x:c r="I964" t="n">
        <x:v>0</x:v>
      </x:c>
      <x:c r="J964" t="n">
        <x:v>1</x:v>
      </x:c>
      <x:c r="K964" t="n">
        <x:f>SUM(E964:J964)</x:f>
        <x:v>1</x:v>
      </x:c>
      <x:c r="L964" s="163" t="n">
        <x:f>IFERROR(K964/D964,0)</x:f>
        <x:v>0.0033079722130334105</x:v>
      </x:c>
      <x:c r="M964" s="160" t="str">
        <x:v>Presence-floor proxy only — 200-city expansion</x:v>
      </x:c>
      <x:c r="N964" s="160" t="str">
        <x:v>Added in the 200-city screening expansion. One-store screening floor only; exact selected-chain count and 5-mile buffer require GIS verification.</x:v>
      </x:c>
      <x:c r="O964" s="160" t="str">
        <x:v>Richmond County</x:v>
      </x:c>
    </x:row>
    <x:row r="965">
      <x:c r="A965" t="n">
        <x:v>1011</x:v>
      </x:c>
      <x:c r="B965" t="str">
        <x:v>Kansas City</x:v>
      </x:c>
      <x:c r="C965" t="str">
        <x:v>MO</x:v>
      </x:c>
      <x:c r="D965" s="161" t="n">
        <x:v>314.95</x:v>
      </x:c>
      <x:c r="E965" t="n">
        <x:v>0</x:v>
      </x:c>
      <x:c r="F965" t="n">
        <x:v>0</x:v>
      </x:c>
      <x:c r="G965" t="n">
        <x:v>0</x:v>
      </x:c>
      <x:c r="H965" t="n">
        <x:v>0</x:v>
      </x:c>
      <x:c r="I965" t="n">
        <x:v>0</x:v>
      </x:c>
      <x:c r="J965" t="n">
        <x:v>1</x:v>
      </x:c>
      <x:c r="K965" t="n">
        <x:f>SUM(E965:J965)</x:f>
        <x:v>1</x:v>
      </x:c>
      <x:c r="L965" s="163" t="n">
        <x:f>IFERROR(K965/D965,0)</x:f>
        <x:v>0.0031751071598666455</x:v>
      </x:c>
      <x:c r="M965" s="160" t="str">
        <x:v>Presence-floor proxy only</x:v>
      </x:c>
      <x:c r="N965" s="160" t="str">
        <x:v>One-store screening floor only; exact selected-chain count and 5-mile buffer require GIS verification.</x:v>
      </x:c>
      <x:c r="O965" s="160" t="str">
        <x:v>Jackson County</x:v>
      </x:c>
    </x:row>
    <x:row r="966">
      <x:c r="A966" t="n">
        <x:v>1012</x:v>
      </x:c>
      <x:c r="B966" t="str">
        <x:v>Memphis</x:v>
      </x:c>
      <x:c r="C966" t="str">
        <x:v>TN</x:v>
      </x:c>
      <x:c r="D966" s="161" t="n">
        <x:v>315.055</x:v>
      </x:c>
      <x:c r="E966" t="n">
        <x:v>1</x:v>
      </x:c>
      <x:c r="F966" t="n">
        <x:v>0</x:v>
      </x:c>
      <x:c r="G966" t="n">
        <x:v>0</x:v>
      </x:c>
      <x:c r="H966" t="n">
        <x:v>0</x:v>
      </x:c>
      <x:c r="I966" t="n">
        <x:v>0</x:v>
      </x:c>
      <x:c r="J966" t="n">
        <x:v>0</x:v>
      </x:c>
      <x:c r="K966" t="n">
        <x:f>SUM(E966:J966)</x:f>
        <x:v>1</x:v>
      </x:c>
      <x:c r="L966" s="163" t="n">
        <x:f>IFERROR(K966/D966,0)</x:f>
        <x:v>0.003174048975575693</x:v>
      </x:c>
      <x:c r="M966" s="160" t="str">
        <x:v>Confirmed lower bound</x:v>
      </x:c>
      <x:c r="N966" s="160" t="str">
        <x:v>Verified public-directory count for ≥1 major chain; other selected chains and 5-mile spillover omitted.</x:v>
      </x:c>
      <x:c r="O966" s="160" t="str">
        <x:v>Shelby County</x:v>
      </x:c>
    </x:row>
    <x:row r="967">
      <x:c r="A967" t="n">
        <x:v>1013</x:v>
      </x:c>
      <x:c r="B967" t="str">
        <x:v>Louisville</x:v>
      </x:c>
      <x:c r="C967" t="str">
        <x:v>KY</x:v>
      </x:c>
      <x:c r="D967" s="161" t="n">
        <x:v>325.248</x:v>
      </x:c>
      <x:c r="E967" t="n">
        <x:v>0</x:v>
      </x:c>
      <x:c r="F967" t="n">
        <x:v>0</x:v>
      </x:c>
      <x:c r="G967" t="n">
        <x:v>0</x:v>
      </x:c>
      <x:c r="H967" t="n">
        <x:v>0</x:v>
      </x:c>
      <x:c r="I967" t="n">
        <x:v>0</x:v>
      </x:c>
      <x:c r="J967" t="n">
        <x:v>1</x:v>
      </x:c>
      <x:c r="K967" t="n">
        <x:f>SUM(E967:J967)</x:f>
        <x:v>1</x:v>
      </x:c>
      <x:c r="L967" s="163" t="n">
        <x:f>IFERROR(K967/D967,0)</x:f>
        <x:v>0.003074576938213302</x:v>
      </x:c>
      <x:c r="M967" s="160" t="str">
        <x:v>Presence-floor proxy only</x:v>
      </x:c>
      <x:c r="N967" s="160" t="str">
        <x:v>One-store screening floor only; exact selected-chain count and 5-mile buffer require GIS verification.</x:v>
      </x:c>
      <x:c r="O967" s="160" t="str">
        <x:v>Jefferson County</x:v>
      </x:c>
    </x:row>
    <x:row r="968">
      <x:c r="A968" t="n">
        <x:v>1014</x:v>
      </x:c>
      <x:c r="B968" t="str">
        <x:v>Fort Worth</x:v>
      </x:c>
      <x:c r="C968" t="str">
        <x:v>TX</x:v>
      </x:c>
      <x:c r="D968" s="161" t="n">
        <x:v>339.819</x:v>
      </x:c>
      <x:c r="E968" t="n">
        <x:v>0</x:v>
      </x:c>
      <x:c r="F968" t="n">
        <x:v>0</x:v>
      </x:c>
      <x:c r="G968" t="n">
        <x:v>0</x:v>
      </x:c>
      <x:c r="H968" t="n">
        <x:v>0</x:v>
      </x:c>
      <x:c r="I968" t="n">
        <x:v>0</x:v>
      </x:c>
      <x:c r="J968" t="n">
        <x:v>1</x:v>
      </x:c>
      <x:c r="K968" t="n">
        <x:f>SUM(E968:J968)</x:f>
        <x:v>1</x:v>
      </x:c>
      <x:c r="L968" s="163" t="n">
        <x:f>IFERROR(K968/D968,0)</x:f>
        <x:v>0.0029427430485052335</x:v>
      </x:c>
      <x:c r="M968" s="160" t="str">
        <x:v>Presence-floor proxy only</x:v>
      </x:c>
      <x:c r="N968" s="160" t="str">
        <x:v>One-store screening floor only; exact selected-chain count and 5-mile buffer require GIS verification.</x:v>
      </x:c>
      <x:c r="O968" s="160" t="str">
        <x:v>Tarrant County</x:v>
      </x:c>
    </x:row>
    <x:row r="969">
      <x:c r="A969" t="n">
        <x:v>1015</x:v>
      </x:c>
      <x:c r="B969" t="str">
        <x:v>Chesapeake</x:v>
      </x:c>
      <x:c r="C969" t="str">
        <x:v>VA</x:v>
      </x:c>
      <x:c r="D969" s="161" t="n">
        <x:v>340.8</x:v>
      </x:c>
      <x:c r="E969" t="n">
        <x:v>0</x:v>
      </x:c>
      <x:c r="F969" t="n">
        <x:v>0</x:v>
      </x:c>
      <x:c r="G969" t="n">
        <x:v>0</x:v>
      </x:c>
      <x:c r="H969" t="n">
        <x:v>0</x:v>
      </x:c>
      <x:c r="I969" t="n">
        <x:v>0</x:v>
      </x:c>
      <x:c r="J969" t="n">
        <x:v>1</x:v>
      </x:c>
      <x:c r="K969" t="n">
        <x:f>SUM(E969:J969)</x:f>
        <x:v>1</x:v>
      </x:c>
      <x:c r="L969" s="163" t="n">
        <x:f>IFERROR(K969/D969,0)</x:f>
        <x:v>0.0029342723004694834</x:v>
      </x:c>
      <x:c r="M969" s="160" t="str">
        <x:v>Presence-floor proxy only</x:v>
      </x:c>
      <x:c r="N969" s="160" t="str">
        <x:v>One-store screening floor only; exact selected-chain count and 5-mile buffer require GIS verification.</x:v>
      </x:c>
      <x:c r="O969" s="160" t="str">
        <x:v>Chesapeake city</x:v>
      </x:c>
    </x:row>
    <x:row r="970">
      <x:c r="A970" t="n">
        <x:v>1016</x:v>
      </x:c>
      <x:c r="B970" t="str">
        <x:v>Buckeye</x:v>
      </x:c>
      <x:c r="C970" t="str">
        <x:v>AZ</x:v>
      </x:c>
      <x:c r="D970" s="161" t="n">
        <x:v>393</x:v>
      </x:c>
      <x:c r="E970" t="n">
        <x:v>0</x:v>
      </x:c>
      <x:c r="F970" t="n">
        <x:v>0</x:v>
      </x:c>
      <x:c r="G970" t="n">
        <x:v>0</x:v>
      </x:c>
      <x:c r="H970" t="n">
        <x:v>0</x:v>
      </x:c>
      <x:c r="I970" t="n">
        <x:v>0</x:v>
      </x:c>
      <x:c r="J970" t="n">
        <x:v>1</x:v>
      </x:c>
      <x:c r="K970" t="n">
        <x:f>SUM(E970:J970)</x:f>
        <x:v>1</x:v>
      </x:c>
      <x:c r="L970" s="163" t="n">
        <x:f>IFERROR(K970/D970,0)</x:f>
        <x:v>0.002544529262086514</x:v>
      </x:c>
      <x:c r="M970" s="160" t="str">
        <x:v>Presence-floor proxy only — 250-city expansion</x:v>
      </x:c>
      <x:c r="N970" s="160" t="str">
        <x:v>Added in the 250-city screening expansion. One-store screening floor only; exact selected-chain count and 5-mile buffer require GIS verification.</x:v>
      </x:c>
      <x:c r="O970" s="160" t="str">
        <x:v>Maricopa County</x:v>
      </x:c>
    </x:row>
    <x:row r="971">
      <x:c r="A971" t="n">
        <x:v>1017</x:v>
      </x:c>
      <x:c r="B971" t="str">
        <x:v>San Antonio</x:v>
      </x:c>
      <x:c r="C971" t="str">
        <x:v>TX</x:v>
      </x:c>
      <x:c r="D971" s="161" t="n">
        <x:v>460.933</x:v>
      </x:c>
      <x:c r="E971" t="n">
        <x:v>1</x:v>
      </x:c>
      <x:c r="F971" t="n">
        <x:v>0</x:v>
      </x:c>
      <x:c r="G971" t="n">
        <x:v>0</x:v>
      </x:c>
      <x:c r="H971" t="n">
        <x:v>0</x:v>
      </x:c>
      <x:c r="I971" t="n">
        <x:v>0</x:v>
      </x:c>
      <x:c r="J971" t="n">
        <x:v>0</x:v>
      </x:c>
      <x:c r="K971" t="n">
        <x:f>SUM(E971:J971)</x:f>
        <x:v>1</x:v>
      </x:c>
      <x:c r="L971" s="163" t="n">
        <x:f>IFERROR(K971/D971,0)</x:f>
        <x:v>0.0021695127057511612</x:v>
      </x:c>
      <x:c r="M971" s="160" t="str">
        <x:v>Confirmed lower bound</x:v>
      </x:c>
      <x:c r="N971" s="160" t="str">
        <x:v>Verified public-directory count for ≥1 major chain; other selected chains and 5-mile spillover omitted.</x:v>
      </x:c>
      <x:c r="O971" s="160" t="str">
        <x:v>Bexar County</x:v>
      </x:c>
    </x:row>
    <x:row r="972">
      <x:c r="A972" t="n">
        <x:v>1018</x:v>
      </x:c>
      <x:c r="B972" t="str">
        <x:v>Nashville</x:v>
      </x:c>
      <x:c r="C972" t="str">
        <x:v>TN</x:v>
      </x:c>
      <x:c r="D972" s="161" t="n">
        <x:v>475.126</x:v>
      </x:c>
      <x:c r="E972" t="n">
        <x:v>0</x:v>
      </x:c>
      <x:c r="F972" t="n">
        <x:v>0</x:v>
      </x:c>
      <x:c r="G972" t="n">
        <x:v>0</x:v>
      </x:c>
      <x:c r="H972" t="n">
        <x:v>0</x:v>
      </x:c>
      <x:c r="I972" t="n">
        <x:v>0</x:v>
      </x:c>
      <x:c r="J972" t="n">
        <x:v>1</x:v>
      </x:c>
      <x:c r="K972" t="n">
        <x:f>SUM(E972:J972)</x:f>
        <x:v>1</x:v>
      </x:c>
      <x:c r="L972" s="163" t="n">
        <x:f>IFERROR(K972/D972,0)</x:f>
        <x:v>0.0021047048572378694</x:v>
      </x:c>
      <x:c r="M972" s="160" t="str">
        <x:v>Presence-floor proxy only</x:v>
      </x:c>
      <x:c r="N972" s="160" t="str">
        <x:v>One-store screening floor only; exact selected-chain count and 5-mile buffer require GIS verification.</x:v>
      </x:c>
      <x:c r="O972" s="160" t="str">
        <x:v>Davidson County</x:v>
      </x:c>
    </x:row>
    <x:row r="973">
      <x:c r="A973" t="n">
        <x:v>1019</x:v>
      </x:c>
      <x:c r="B973" t="str">
        <x:v>Oklahoma City</x:v>
      </x:c>
      <x:c r="C973" t="str">
        <x:v>OK</x:v>
      </x:c>
      <x:c r="D973" s="161" t="n">
        <x:v>606.41</x:v>
      </x:c>
      <x:c r="E973" t="n">
        <x:v>0</x:v>
      </x:c>
      <x:c r="F973" t="n">
        <x:v>0</x:v>
      </x:c>
      <x:c r="G973" t="n">
        <x:v>0</x:v>
      </x:c>
      <x:c r="H973" t="n">
        <x:v>0</x:v>
      </x:c>
      <x:c r="I973" t="n">
        <x:v>0</x:v>
      </x:c>
      <x:c r="J973" t="n">
        <x:v>1</x:v>
      </x:c>
      <x:c r="K973" t="n">
        <x:f>SUM(E973:J973)</x:f>
        <x:v>1</x:v>
      </x:c>
      <x:c r="L973" s="163" t="n">
        <x:f>IFERROR(K973/D973,0)</x:f>
        <x:v>0.001649049323065253</x:v>
      </x:c>
      <x:c r="M973" s="160" t="str">
        <x:v>Presence-floor proxy only</x:v>
      </x:c>
      <x:c r="N973" s="160" t="str">
        <x:v>One-store screening floor only; exact selected-chain count and 5-mile buffer require GIS verification.</x:v>
      </x:c>
      <x:c r="O973" s="160" t="str">
        <x:v>Oklahoma County</x:v>
      </x:c>
    </x:row>
    <x:row r="974">
      <x:c r="A974" t="n">
        <x:v>1020</x:v>
      </x:c>
      <x:c r="B974" t="str">
        <x:v>Anchorage</x:v>
      </x:c>
      <x:c r="C974" t="str">
        <x:v>AK</x:v>
      </x:c>
      <x:c r="D974" s="161" t="n">
        <x:v>1706.8</x:v>
      </x:c>
      <x:c r="E974" t="n">
        <x:v>0</x:v>
      </x:c>
      <x:c r="F974" t="n">
        <x:v>0</x:v>
      </x:c>
      <x:c r="G974" t="n">
        <x:v>0</x:v>
      </x:c>
      <x:c r="H974" t="n">
        <x:v>0</x:v>
      </x:c>
      <x:c r="I974" t="n">
        <x:v>0</x:v>
      </x:c>
      <x:c r="J974" t="n">
        <x:v>1</x:v>
      </x:c>
      <x:c r="K974" t="n">
        <x:f>SUM(E974:J974)</x:f>
        <x:v>1</x:v>
      </x:c>
      <x:c r="L974" s="163" t="n">
        <x:f>IFERROR(K974/D974,0)</x:f>
        <x:v>0.0005858917272088118</x:v>
      </x:c>
      <x:c r="M974" s="160" t="str">
        <x:v>Presence-floor proxy only — 200-city expansion</x:v>
      </x:c>
      <x:c r="N974" s="160" t="str">
        <x:v>Added in the 200-city screening expansion. One-store screening floor only; exact selected-chain count and 5-mile buffer require GIS verification.</x:v>
      </x:c>
      <x:c r="O974" s="160" t="str">
        <x:v>Anchorage Municipality</x:v>
      </x:c>
    </x:row>
    <x:row r="975">
      <x:c r="A975" t="n">
        <x:v>636</x:v>
      </x:c>
      <x:c r="B975" t="str">
        <x:v>East Lyme Town</x:v>
      </x:c>
      <x:c r="C975" t="str">
        <x:v>CT</x:v>
      </x:c>
      <x:c r="D975" s="161" t="n">
        <x:v>34.017</x:v>
      </x:c>
      <x:c r="E975" t="n">
        <x:v>0</x:v>
      </x:c>
      <x:c r="F975" t="n">
        <x:v>0</x:v>
      </x:c>
      <x:c r="G975" t="n">
        <x:v>0</x:v>
      </x:c>
      <x:c r="H975" t="n">
        <x:v>0</x:v>
      </x:c>
      <x:c r="I975" t="n">
        <x:v>0</x:v>
      </x:c>
      <x:c r="J975" t="n">
        <x:v>1</x:v>
      </x:c>
      <x:c r="K975" t="n">
        <x:f>SUM(E975:J975)</x:f>
        <x:v>1</x:v>
      </x:c>
      <x:c r="L975" s="163" t="n">
        <x:f>IFERROR(K975/D975,0)</x:f>
        <x:v>0.02939706617279595</x:v>
      </x:c>
      <x:c r="M975" s="160" t="str">
        <x:v>Presence-floor proxy only — 10k+ municipality completion</x:v>
      </x:c>
      <x:c r="N97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75" s="160" t="str">
        <x:v>New London County</x:v>
      </x:c>
    </x:row>
    <x:row r="976">
      <x:c r="A976" t="n">
        <x:v>588</x:v>
      </x:c>
      <x:c r="B976" t="str">
        <x:v>Groton Town</x:v>
      </x:c>
      <x:c r="C976" t="str">
        <x:v>CT</x:v>
      </x:c>
      <x:c r="D976" s="161" t="n">
        <x:v>31.11</x:v>
      </x:c>
      <x:c r="E976" t="n">
        <x:v>0</x:v>
      </x:c>
      <x:c r="F976" t="n">
        <x:v>0</x:v>
      </x:c>
      <x:c r="G976" t="n">
        <x:v>0</x:v>
      </x:c>
      <x:c r="H976" t="n">
        <x:v>0</x:v>
      </x:c>
      <x:c r="I976" t="n">
        <x:v>0</x:v>
      </x:c>
      <x:c r="J976" t="n">
        <x:v>1</x:v>
      </x:c>
      <x:c r="K976" t="n">
        <x:f>SUM(E976:J976)</x:f>
        <x:v>1</x:v>
      </x:c>
      <x:c r="L976" s="163" t="n">
        <x:f>IFERROR(K976/D976,0)</x:f>
        <x:v>0.032144005143040826</x:v>
      </x:c>
      <x:c r="M976" s="160" t="str">
        <x:v>Presence-floor proxy only — 10k+ municipality completion</x:v>
      </x:c>
      <x:c r="N976"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76" s="160" t="str">
        <x:v>New London County</x:v>
      </x:c>
    </x:row>
    <x:row r="977">
      <x:c r="A977" t="n">
        <x:v>705</x:v>
      </x:c>
      <x:c r="B977" t="str">
        <x:v>Ledyard Town</x:v>
      </x:c>
      <x:c r="C977" t="str">
        <x:v>CT</x:v>
      </x:c>
      <x:c r="D977" s="161" t="n">
        <x:v>38.212</x:v>
      </x:c>
      <x:c r="E977" t="n">
        <x:v>0</x:v>
      </x:c>
      <x:c r="F977" t="n">
        <x:v>0</x:v>
      </x:c>
      <x:c r="G977" t="n">
        <x:v>0</x:v>
      </x:c>
      <x:c r="H977" t="n">
        <x:v>0</x:v>
      </x:c>
      <x:c r="I977" t="n">
        <x:v>0</x:v>
      </x:c>
      <x:c r="J977" t="n">
        <x:v>1</x:v>
      </x:c>
      <x:c r="K977" t="n">
        <x:f>SUM(E977:J977)</x:f>
        <x:v>1</x:v>
      </x:c>
      <x:c r="L977" s="163" t="n">
        <x:f>IFERROR(K977/D977,0)</x:f>
        <x:v>0.026169789594891656</x:v>
      </x:c>
      <x:c r="M977" s="160" t="str">
        <x:v>Presence-floor proxy only — 10k+ municipality completion</x:v>
      </x:c>
      <x:c r="N977"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77" s="160" t="str">
        <x:v>New London County</x:v>
      </x:c>
    </x:row>
    <x:row r="978">
      <x:c r="A978" t="n">
        <x:v>748</x:v>
      </x:c>
      <x:c r="B978" t="str">
        <x:v>Montville Town</x:v>
      </x:c>
      <x:c r="C978" t="str">
        <x:v>CT</x:v>
      </x:c>
      <x:c r="D978" s="161" t="n">
        <x:v>41.806</x:v>
      </x:c>
      <x:c r="E978" t="n">
        <x:v>0</x:v>
      </x:c>
      <x:c r="F978" t="n">
        <x:v>0</x:v>
      </x:c>
      <x:c r="G978" t="n">
        <x:v>0</x:v>
      </x:c>
      <x:c r="H978" t="n">
        <x:v>0</x:v>
      </x:c>
      <x:c r="I978" t="n">
        <x:v>0</x:v>
      </x:c>
      <x:c r="J978" t="n">
        <x:v>1</x:v>
      </x:c>
      <x:c r="K978" t="n">
        <x:f>SUM(E978:J978)</x:f>
        <x:v>1</x:v>
      </x:c>
      <x:c r="L978" s="163" t="n">
        <x:f>IFERROR(K978/D978,0)</x:f>
        <x:v>0.023920011481605514</x:v>
      </x:c>
      <x:c r="M978" s="160" t="str">
        <x:v>Presence-floor proxy only — 10k+ municipality completion</x:v>
      </x:c>
      <x:c r="N978"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78" s="160" t="str">
        <x:v>New London County</x:v>
      </x:c>
    </x:row>
    <x:row r="979">
      <x:c r="A979" t="n">
        <x:v>95</x:v>
      </x:c>
      <x:c r="B979" t="str">
        <x:v>New London City</x:v>
      </x:c>
      <x:c r="C979" t="str">
        <x:v>CT</x:v>
      </x:c>
      <x:c r="D979" s="161" t="n">
        <x:v>5.607</x:v>
      </x:c>
      <x:c r="E979" t="n">
        <x:v>0</x:v>
      </x:c>
      <x:c r="F979" t="n">
        <x:v>0</x:v>
      </x:c>
      <x:c r="G979" t="n">
        <x:v>0</x:v>
      </x:c>
      <x:c r="H979" t="n">
        <x:v>0</x:v>
      </x:c>
      <x:c r="I979" t="n">
        <x:v>0</x:v>
      </x:c>
      <x:c r="J979" t="n">
        <x:v>1</x:v>
      </x:c>
      <x:c r="K979" t="n">
        <x:f>SUM(E979:J979)</x:f>
        <x:v>1</x:v>
      </x:c>
      <x:c r="L979" s="163" t="n">
        <x:f>IFERROR(K979/D979,0)</x:f>
        <x:v>0.17834849295523453</x:v>
      </x:c>
      <x:c r="M979" s="160" t="str">
        <x:v>Presence-floor proxy only — 10k+ municipality completion</x:v>
      </x:c>
      <x:c r="N979"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79" s="160" t="str">
        <x:v>New London County</x:v>
      </x:c>
    </x:row>
    <x:row r="980">
      <x:c r="A980" t="n">
        <x:v>544</x:v>
      </x:c>
      <x:c r="B980" t="str">
        <x:v>Norwich City</x:v>
      </x:c>
      <x:c r="C980" t="str">
        <x:v>CT</x:v>
      </x:c>
      <x:c r="D980" s="161" t="n">
        <x:v>28.073</x:v>
      </x:c>
      <x:c r="E980" t="n">
        <x:v>0</x:v>
      </x:c>
      <x:c r="F980" t="n">
        <x:v>0</x:v>
      </x:c>
      <x:c r="G980" t="n">
        <x:v>0</x:v>
      </x:c>
      <x:c r="H980" t="n">
        <x:v>0</x:v>
      </x:c>
      <x:c r="I980" t="n">
        <x:v>0</x:v>
      </x:c>
      <x:c r="J980" t="n">
        <x:v>1</x:v>
      </x:c>
      <x:c r="K980" t="n">
        <x:f>SUM(E980:J980)</x:f>
        <x:v>1</x:v>
      </x:c>
      <x:c r="L980" s="163" t="n">
        <x:f>IFERROR(K980/D980,0)</x:f>
        <x:v>0.035621415595055744</x:v>
      </x:c>
      <x:c r="M980" s="160" t="str">
        <x:v>Presence-floor proxy only — 10k+ municipality completion</x:v>
      </x:c>
      <x:c r="N980"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80" s="160" t="str">
        <x:v>New London County</x:v>
      </x:c>
    </x:row>
    <x:row r="981">
      <x:c r="A981" t="n">
        <x:v>709</x:v>
      </x:c>
      <x:c r="B981" t="str">
        <x:v>Stonington Town</x:v>
      </x:c>
      <x:c r="C981" t="str">
        <x:v>CT</x:v>
      </x:c>
      <x:c r="D981" s="161" t="n">
        <x:v>38.639</x:v>
      </x:c>
      <x:c r="E981" t="n">
        <x:v>0</x:v>
      </x:c>
      <x:c r="F981" t="n">
        <x:v>0</x:v>
      </x:c>
      <x:c r="G981" t="n">
        <x:v>0</x:v>
      </x:c>
      <x:c r="H981" t="n">
        <x:v>0</x:v>
      </x:c>
      <x:c r="I981" t="n">
        <x:v>0</x:v>
      </x:c>
      <x:c r="J981" t="n">
        <x:v>1</x:v>
      </x:c>
      <x:c r="K981" t="n">
        <x:f>SUM(E981:J981)</x:f>
        <x:v>1</x:v>
      </x:c>
      <x:c r="L981" s="163" t="n">
        <x:f>IFERROR(K981/D981,0)</x:f>
        <x:v>0.025880586971712517</x:v>
      </x:c>
      <x:c r="M981" s="160" t="str">
        <x:v>Presence-floor proxy only — 10k+ municipality completion</x:v>
      </x:c>
      <x:c r="N981"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81" s="160" t="str">
        <x:v>New London County</x:v>
      </x:c>
    </x:row>
    <x:row r="982">
      <x:c r="A982" t="n">
        <x:v>611</x:v>
      </x:c>
      <x:c r="B982" t="str">
        <x:v>Waterford Town</x:v>
      </x:c>
      <x:c r="C982" t="str">
        <x:v>CT</x:v>
      </x:c>
      <x:c r="D982" s="161" t="n">
        <x:v>32.868</x:v>
      </x:c>
      <x:c r="E982" t="n">
        <x:v>0</x:v>
      </x:c>
      <x:c r="F982" t="n">
        <x:v>0</x:v>
      </x:c>
      <x:c r="G982" t="n">
        <x:v>0</x:v>
      </x:c>
      <x:c r="H982" t="n">
        <x:v>0</x:v>
      </x:c>
      <x:c r="I982" t="n">
        <x:v>0</x:v>
      </x:c>
      <x:c r="J982" t="n">
        <x:v>1</x:v>
      </x:c>
      <x:c r="K982" t="n">
        <x:f>SUM(E982:J982)</x:f>
        <x:v>1</x:v>
      </x:c>
      <x:c r="L982" s="163" t="n">
        <x:f>IFERROR(K982/D982,0)</x:f>
        <x:v>0.030424729219909942</x:v>
      </x:c>
      <x:c r="M982" s="160" t="str">
        <x:v>Presence-floor proxy only — 10k+ municipality completion</x:v>
      </x:c>
      <x:c r="N982"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overlap convention: represent towns/consolidated municipalities; nested subordinate city/borough units are excluded.</x:v>
      </x:c>
      <x:c r="O982" s="160" t="str">
        <x:v>New London County</x:v>
      </x:c>
    </x:row>
    <x:row r="983">
      <x:c r="A983" t="n">
        <x:v>366</x:v>
      </x:c>
      <x:c r="B983" t="str">
        <x:v>Vernon Town</x:v>
      </x:c>
      <x:c r="C983" t="str">
        <x:v>CT</x:v>
      </x:c>
      <x:c r="D983" s="161" t="n">
        <x:v>17.724</x:v>
      </x:c>
      <x:c r="E983" t="n">
        <x:v>0</x:v>
      </x:c>
      <x:c r="F983" t="n">
        <x:v>0</x:v>
      </x:c>
      <x:c r="G983" t="n">
        <x:v>0</x:v>
      </x:c>
      <x:c r="H983" t="n">
        <x:v>0</x:v>
      </x:c>
      <x:c r="I983" t="n">
        <x:v>0</x:v>
      </x:c>
      <x:c r="J983" t="n">
        <x:v>1</x:v>
      </x:c>
      <x:c r="K983" t="n">
        <x:f>SUM(E983:J983)</x:f>
        <x:v>1</x:v>
      </x:c>
      <x:c r="L983" s="163" t="n">
        <x:f>IFERROR(K983/D983,0)</x:f>
        <x:v>0.056420672534416606</x:v>
      </x:c>
      <x:c r="M983" s="160" t="str">
        <x:v>Presence-floor proxy only — 10k+ municipality completion</x:v>
      </x:c>
      <x:c r="N983"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3" s="160" t="str">
        <x:v>Tolland County</x:v>
      </x:c>
    </x:row>
    <x:row r="984">
      <x:c r="A984" t="n">
        <x:v>773</x:v>
      </x:c>
      <x:c r="B984" t="str">
        <x:v>Mansfield Town</x:v>
      </x:c>
      <x:c r="C984" t="str">
        <x:v>CT</x:v>
      </x:c>
      <x:c r="D984" s="161" t="n">
        <x:v>44.641</x:v>
      </x:c>
      <x:c r="E984" t="n">
        <x:v>0</x:v>
      </x:c>
      <x:c r="F984" t="n">
        <x:v>0</x:v>
      </x:c>
      <x:c r="G984" t="n">
        <x:v>0</x:v>
      </x:c>
      <x:c r="H984" t="n">
        <x:v>0</x:v>
      </x:c>
      <x:c r="I984" t="n">
        <x:v>0</x:v>
      </x:c>
      <x:c r="J984" t="n">
        <x:v>1</x:v>
      </x:c>
      <x:c r="K984" t="n">
        <x:f>SUM(E984:J984)</x:f>
        <x:v>1</x:v>
      </x:c>
      <x:c r="L984" s="163" t="n">
        <x:f>IFERROR(K984/D984,0)</x:f>
        <x:v>0.022400931878766156</x:v>
      </x:c>
      <x:c r="M984" s="160" t="str">
        <x:v>Presence-floor proxy only — 10k+ municipality completion</x:v>
      </x:c>
      <x:c r="N984"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4" s="160" t="str">
        <x:v>Tolland County</x:v>
      </x:c>
    </x:row>
    <x:row r="985">
      <x:c r="A985" t="n">
        <x:v>635</x:v>
      </x:c>
      <x:c r="B985" t="str">
        <x:v>Ellington Town</x:v>
      </x:c>
      <x:c r="C985" t="str">
        <x:v>CT</x:v>
      </x:c>
      <x:c r="D985" s="161" t="n">
        <x:v>33.994</x:v>
      </x:c>
      <x:c r="E985" t="n">
        <x:v>0</x:v>
      </x:c>
      <x:c r="F985" t="n">
        <x:v>0</x:v>
      </x:c>
      <x:c r="G985" t="n">
        <x:v>0</x:v>
      </x:c>
      <x:c r="H985" t="n">
        <x:v>0</x:v>
      </x:c>
      <x:c r="I985" t="n">
        <x:v>0</x:v>
      </x:c>
      <x:c r="J985" t="n">
        <x:v>1</x:v>
      </x:c>
      <x:c r="K985" t="n">
        <x:f>SUM(E985:J985)</x:f>
        <x:v>1</x:v>
      </x:c>
      <x:c r="L985" s="163" t="n">
        <x:f>IFERROR(K985/D985,0)</x:f>
        <x:v>0.02941695593340001</x:v>
      </x:c>
      <x:c r="M985" s="160" t="str">
        <x:v>Presence-floor proxy only — 10k+ municipality completion</x:v>
      </x:c>
      <x:c r="N98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5" s="160" t="str">
        <x:v>Tolland County</x:v>
      </x:c>
    </x:row>
    <x:row r="986">
      <x:c r="A986" t="n">
        <x:v>719</x:v>
      </x:c>
      <x:c r="B986" t="str">
        <x:v>Tolland Town</x:v>
      </x:c>
      <x:c r="C986" t="str">
        <x:v>CT</x:v>
      </x:c>
      <x:c r="D986" s="161" t="n">
        <x:v>39.676</x:v>
      </x:c>
      <x:c r="E986" t="n">
        <x:v>0</x:v>
      </x:c>
      <x:c r="F986" t="n">
        <x:v>0</x:v>
      </x:c>
      <x:c r="G986" t="n">
        <x:v>0</x:v>
      </x:c>
      <x:c r="H986" t="n">
        <x:v>0</x:v>
      </x:c>
      <x:c r="I986" t="n">
        <x:v>0</x:v>
      </x:c>
      <x:c r="J986" t="n">
        <x:v>1</x:v>
      </x:c>
      <x:c r="K986" t="n">
        <x:f>SUM(E986:J986)</x:f>
        <x:v>1</x:v>
      </x:c>
      <x:c r="L986" s="163" t="n">
        <x:f>IFERROR(K986/D986,0)</x:f>
        <x:v>0.025204153644520617</x:v>
      </x:c>
      <x:c r="M986" s="160" t="str">
        <x:v>Presence-floor proxy only — 10k+ municipality completion</x:v>
      </x:c>
      <x:c r="N986"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6" s="160" t="str">
        <x:v>Tolland County</x:v>
      </x:c>
    </x:row>
    <x:row r="987">
      <x:c r="A987" t="n">
        <x:v>697</x:v>
      </x:c>
      <x:c r="B987" t="str">
        <x:v>Coventry Town</x:v>
      </x:c>
      <x:c r="C987" t="str">
        <x:v>CT</x:v>
      </x:c>
      <x:c r="D987" s="161" t="n">
        <x:v>37.571</x:v>
      </x:c>
      <x:c r="E987" t="n">
        <x:v>0</x:v>
      </x:c>
      <x:c r="F987" t="n">
        <x:v>0</x:v>
      </x:c>
      <x:c r="G987" t="n">
        <x:v>0</x:v>
      </x:c>
      <x:c r="H987" t="n">
        <x:v>0</x:v>
      </x:c>
      <x:c r="I987" t="n">
        <x:v>0</x:v>
      </x:c>
      <x:c r="J987" t="n">
        <x:v>1</x:v>
      </x:c>
      <x:c r="K987" t="n">
        <x:f>SUM(E987:J987)</x:f>
        <x:v>1</x:v>
      </x:c>
      <x:c r="L987" s="163" t="n">
        <x:f>IFERROR(K987/D987,0)</x:f>
        <x:v>0.026616273189428018</x:v>
      </x:c>
      <x:c r="M987" s="160" t="str">
        <x:v>Presence-floor proxy only — 10k+ municipality completion</x:v>
      </x:c>
      <x:c r="N987"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7" s="160" t="str">
        <x:v>Tolland County</x:v>
      </x:c>
    </x:row>
    <x:row r="988">
      <x:c r="A988" t="n">
        <x:v>848</x:v>
      </x:c>
      <x:c r="B988" t="str">
        <x:v>Stafford Town</x:v>
      </x:c>
      <x:c r="C988" t="str">
        <x:v>CT</x:v>
      </x:c>
      <x:c r="D988" s="161" t="n">
        <x:v>58.044</x:v>
      </x:c>
      <x:c r="E988" t="n">
        <x:v>0</x:v>
      </x:c>
      <x:c r="F988" t="n">
        <x:v>0</x:v>
      </x:c>
      <x:c r="G988" t="n">
        <x:v>0</x:v>
      </x:c>
      <x:c r="H988" t="n">
        <x:v>0</x:v>
      </x:c>
      <x:c r="I988" t="n">
        <x:v>0</x:v>
      </x:c>
      <x:c r="J988" t="n">
        <x:v>1</x:v>
      </x:c>
      <x:c r="K988" t="n">
        <x:f>SUM(E988:J988)</x:f>
        <x:v>1</x:v>
      </x:c>
      <x:c r="L988" s="163" t="n">
        <x:f>IFERROR(K988/D988,0)</x:f>
        <x:v>0.017228309558266142</x:v>
      </x:c>
      <x:c r="M988" s="160" t="str">
        <x:v>Presence-floor proxy only — 10k+ municipality completion</x:v>
      </x:c>
      <x:c r="N988"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8" s="160" t="str">
        <x:v>Tolland County</x:v>
      </x:c>
    </x:row>
    <x:row r="989">
      <x:c r="A989" t="n">
        <x:v>547</x:v>
      </x:c>
      <x:c r="B989" t="str">
        <x:v>Somers Town</x:v>
      </x:c>
      <x:c r="C989" t="str">
        <x:v>CT</x:v>
      </x:c>
      <x:c r="D989" s="161" t="n">
        <x:v>28.527</x:v>
      </x:c>
      <x:c r="E989" t="n">
        <x:v>0</x:v>
      </x:c>
      <x:c r="F989" t="n">
        <x:v>0</x:v>
      </x:c>
      <x:c r="G989" t="n">
        <x:v>0</x:v>
      </x:c>
      <x:c r="H989" t="n">
        <x:v>0</x:v>
      </x:c>
      <x:c r="I989" t="n">
        <x:v>0</x:v>
      </x:c>
      <x:c r="J989" t="n">
        <x:v>1</x:v>
      </x:c>
      <x:c r="K989" t="n">
        <x:f>SUM(E989:J989)</x:f>
        <x:v>1</x:v>
      </x:c>
      <x:c r="L989" s="163" t="n">
        <x:f>IFERROR(K989/D989,0)</x:f>
        <x:v>0.035054509762680965</x:v>
      </x:c>
      <x:c r="M989" s="160" t="str">
        <x:v>Presence-floor proxy only — 10k+ municipality completion</x:v>
      </x:c>
      <x:c r="N989"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Connecticut historical county label retained for workbook continuity; current municipal geography supplies land area.</x:v>
      </x:c>
      <x:c r="O989" s="160" t="str">
        <x:v>Tolland County</x:v>
      </x:c>
    </x:row>
    <x:row r="990">
      <x:c r="A990" t="n">
        <x:v>217</x:v>
      </x:c>
      <x:c r="B990" t="str">
        <x:v>Burlington City</x:v>
      </x:c>
      <x:c r="C990" t="str">
        <x:v>VT</x:v>
      </x:c>
      <x:c r="D990" s="161" t="n">
        <x:v>10.303</x:v>
      </x:c>
      <x:c r="E990" t="n">
        <x:v>0</x:v>
      </x:c>
      <x:c r="F990" t="n">
        <x:v>0</x:v>
      </x:c>
      <x:c r="G990" t="n">
        <x:v>0</x:v>
      </x:c>
      <x:c r="H990" t="n">
        <x:v>0</x:v>
      </x:c>
      <x:c r="I990" t="n">
        <x:v>0</x:v>
      </x:c>
      <x:c r="J990" t="n">
        <x:v>1</x:v>
      </x:c>
      <x:c r="K990" t="n">
        <x:f>SUM(E990:J990)</x:f>
        <x:v>1</x:v>
      </x:c>
      <x:c r="L990" s="163" t="n">
        <x:f>IFERROR(K990/D990,0)</x:f>
        <x:v>0.09705910899737939</x:v>
      </x:c>
      <x:c r="M990" s="160" t="str">
        <x:v>Presence-floor proxy only — 10k+ municipality completion</x:v>
      </x:c>
      <x:c r="N990"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0" s="160" t="str">
        <x:v>Chittenden County</x:v>
      </x:c>
    </x:row>
    <x:row r="991">
      <x:c r="A991" t="n">
        <x:v>340</x:v>
      </x:c>
      <x:c r="B991" t="str">
        <x:v>South Burlington City</x:v>
      </x:c>
      <x:c r="C991" t="str">
        <x:v>VT</x:v>
      </x:c>
      <x:c r="D991" s="161" t="n">
        <x:v>16.435</x:v>
      </x:c>
      <x:c r="E991" t="n">
        <x:v>0</x:v>
      </x:c>
      <x:c r="F991" t="n">
        <x:v>0</x:v>
      </x:c>
      <x:c r="G991" t="n">
        <x:v>0</x:v>
      </x:c>
      <x:c r="H991" t="n">
        <x:v>0</x:v>
      </x:c>
      <x:c r="I991" t="n">
        <x:v>0</x:v>
      </x:c>
      <x:c r="J991" t="n">
        <x:v>1</x:v>
      </x:c>
      <x:c r="K991" t="n">
        <x:f>SUM(E991:J991)</x:f>
        <x:v>1</x:v>
      </x:c>
      <x:c r="L991" s="163" t="n">
        <x:f>IFERROR(K991/D991,0)</x:f>
        <x:v>0.06084575600851841</x:v>
      </x:c>
      <x:c r="M991" s="160" t="str">
        <x:v>Presence-floor proxy only — 10k+ municipality completion</x:v>
      </x:c>
      <x:c r="N991"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1" s="160" t="str">
        <x:v>Chittenden County</x:v>
      </x:c>
    </x:row>
    <x:row r="992">
      <x:c r="A992" t="n">
        <x:v>678</x:v>
      </x:c>
      <x:c r="B992" t="str">
        <x:v>Colchester Town</x:v>
      </x:c>
      <x:c r="C992" t="str">
        <x:v>VT</x:v>
      </x:c>
      <x:c r="D992" s="161" t="n">
        <x:v>36.309</x:v>
      </x:c>
      <x:c r="E992" t="n">
        <x:v>0</x:v>
      </x:c>
      <x:c r="F992" t="n">
        <x:v>0</x:v>
      </x:c>
      <x:c r="G992" t="n">
        <x:v>0</x:v>
      </x:c>
      <x:c r="H992" t="n">
        <x:v>0</x:v>
      </x:c>
      <x:c r="I992" t="n">
        <x:v>0</x:v>
      </x:c>
      <x:c r="J992" t="n">
        <x:v>1</x:v>
      </x:c>
      <x:c r="K992" t="n">
        <x:f>SUM(E992:J992)</x:f>
        <x:v>1</x:v>
      </x:c>
      <x:c r="L992" s="163" t="n">
        <x:f>IFERROR(K992/D992,0)</x:f>
        <x:v>0.027541380924839574</x:v>
      </x:c>
      <x:c r="M992" s="160" t="str">
        <x:v>Presence-floor proxy only — 10k+ municipality completion</x:v>
      </x:c>
      <x:c r="N992"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2" s="160" t="str">
        <x:v>Chittenden County</x:v>
      </x:c>
    </x:row>
    <x:row r="993">
      <x:c r="A993" t="n">
        <x:v>642</x:v>
      </x:c>
      <x:c r="B993" t="str">
        <x:v>Essex Town</x:v>
      </x:c>
      <x:c r="C993" t="str">
        <x:v>VT</x:v>
      </x:c>
      <x:c r="D993" s="161" t="n">
        <x:v>34.341</x:v>
      </x:c>
      <x:c r="E993" t="n">
        <x:v>0</x:v>
      </x:c>
      <x:c r="F993" t="n">
        <x:v>0</x:v>
      </x:c>
      <x:c r="G993" t="n">
        <x:v>0</x:v>
      </x:c>
      <x:c r="H993" t="n">
        <x:v>0</x:v>
      </x:c>
      <x:c r="I993" t="n">
        <x:v>0</x:v>
      </x:c>
      <x:c r="J993" t="n">
        <x:v>1</x:v>
      </x:c>
      <x:c r="K993" t="n">
        <x:f>SUM(E993:J993)</x:f>
        <x:v>1</x:v>
      </x:c>
      <x:c r="L993" s="163" t="n">
        <x:f>IFERROR(K993/D993,0)</x:f>
        <x:v>0.029119711132465566</x:v>
      </x:c>
      <x:c r="M993" s="160" t="str">
        <x:v>Presence-floor proxy only — 10k+ municipality completion</x:v>
      </x:c>
      <x:c r="N993"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3" s="160" t="str">
        <x:v>Chittenden County</x:v>
      </x:c>
    </x:row>
    <x:row r="994">
      <x:c r="A994" t="n">
        <x:v>70</x:v>
      </x:c>
      <x:c r="B994" t="str">
        <x:v>Essex Junction City</x:v>
      </x:c>
      <x:c r="C994" t="str">
        <x:v>VT</x:v>
      </x:c>
      <x:c r="D994" s="161" t="n">
        <x:v>4.569</x:v>
      </x:c>
      <x:c r="E994" t="n">
        <x:v>0</x:v>
      </x:c>
      <x:c r="F994" t="n">
        <x:v>0</x:v>
      </x:c>
      <x:c r="G994" t="n">
        <x:v>0</x:v>
      </x:c>
      <x:c r="H994" t="n">
        <x:v>0</x:v>
      </x:c>
      <x:c r="I994" t="n">
        <x:v>0</x:v>
      </x:c>
      <x:c r="J994" t="n">
        <x:v>1</x:v>
      </x:c>
      <x:c r="K994" t="n">
        <x:f>SUM(E994:J994)</x:f>
        <x:v>1</x:v>
      </x:c>
      <x:c r="L994" s="163" t="n">
        <x:f>IFERROR(K994/D994,0)</x:f>
        <x:v>0.2188662727073758</x:v>
      </x:c>
      <x:c r="M994" s="160" t="str">
        <x:v>Presence-floor proxy only — 10k+ municipality completion</x:v>
      </x:c>
      <x:c r="N994"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4" s="160" t="str">
        <x:v>Chittenden County</x:v>
      </x:c>
    </x:row>
    <x:row r="995">
      <x:c r="A995" t="n">
        <x:v>817</x:v>
      </x:c>
      <x:c r="B995" t="str">
        <x:v>Milton Town</x:v>
      </x:c>
      <x:c r="C995" t="str">
        <x:v>VT</x:v>
      </x:c>
      <x:c r="D995" s="161" t="n">
        <x:v>51.597</x:v>
      </x:c>
      <x:c r="E995" t="n">
        <x:v>0</x:v>
      </x:c>
      <x:c r="F995" t="n">
        <x:v>0</x:v>
      </x:c>
      <x:c r="G995" t="n">
        <x:v>0</x:v>
      </x:c>
      <x:c r="H995" t="n">
        <x:v>0</x:v>
      </x:c>
      <x:c r="I995" t="n">
        <x:v>0</x:v>
      </x:c>
      <x:c r="J995" t="n">
        <x:v>1</x:v>
      </x:c>
      <x:c r="K995" t="n">
        <x:f>SUM(E995:J995)</x:f>
        <x:v>1</x:v>
      </x:c>
      <x:c r="L995" s="163" t="n">
        <x:f>IFERROR(K995/D995,0)</x:f>
        <x:v>0.019380971761924142</x:v>
      </x:c>
      <x:c r="M995" s="160" t="str">
        <x:v>Presence-floor proxy only — 10k+ municipality completion</x:v>
      </x:c>
      <x:c r="N99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Williston Town is excluded at V2025 population 9,975.</x:v>
      </x:c>
      <x:c r="O995" s="160" t="str">
        <x:v>Chittenden County</x:v>
      </x:c>
    </x:row>
    <x:row r="996">
      <x:c r="A996" t="n">
        <x:v>722</x:v>
      </x:c>
      <x:c r="B996" t="str">
        <x:v>Torrington City</x:v>
      </x:c>
      <x:c r="C996" t="str">
        <x:v>CT</x:v>
      </x:c>
      <x:c r="D996" s="161" t="n">
        <x:v>39.762</x:v>
      </x:c>
      <x:c r="E996" t="n">
        <x:v>0</x:v>
      </x:c>
      <x:c r="F996" t="n">
        <x:v>0</x:v>
      </x:c>
      <x:c r="G996" t="n">
        <x:v>0</x:v>
      </x:c>
      <x:c r="H996" t="n">
        <x:v>0</x:v>
      </x:c>
      <x:c r="I996" t="n">
        <x:v>0</x:v>
      </x:c>
      <x:c r="J996" t="n">
        <x:v>1</x:v>
      </x:c>
      <x:c r="K996" t="n">
        <x:f>SUM(E996:J996)</x:f>
        <x:v>1</x:v>
      </x:c>
      <x:c r="L996" s="163" t="n">
        <x:f>IFERROR(K996/D996,0)</x:f>
        <x:v>0.02514964036014285</x:v>
      </x:c>
      <x:c r="M996" s="160" t="str">
        <x:v>Presence-floor proxy only — 10k+ municipality completion</x:v>
      </x:c>
      <x:c r="N996"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while municipal areas use current Census geography.</x:v>
      </x:c>
      <x:c r="O996" s="160" t="str">
        <x:v>Litchfield County</x:v>
      </x:c>
    </x:row>
    <x:row r="997">
      <x:c r="A997" t="n">
        <x:v>861</x:v>
      </x:c>
      <x:c r="B997" t="str">
        <x:v>New Milford Town</x:v>
      </x:c>
      <x:c r="C997" t="str">
        <x:v>CT</x:v>
      </x:c>
      <x:c r="D997" s="161" t="n">
        <x:v>61.563</x:v>
      </x:c>
      <x:c r="E997" t="n">
        <x:v>0</x:v>
      </x:c>
      <x:c r="F997" t="n">
        <x:v>0</x:v>
      </x:c>
      <x:c r="G997" t="n">
        <x:v>0</x:v>
      </x:c>
      <x:c r="H997" t="n">
        <x:v>0</x:v>
      </x:c>
      <x:c r="I997" t="n">
        <x:v>0</x:v>
      </x:c>
      <x:c r="J997" t="n">
        <x:v>1</x:v>
      </x:c>
      <x:c r="K997" t="n">
        <x:f>SUM(E997:J997)</x:f>
        <x:v>1</x:v>
      </x:c>
      <x:c r="L997" s="163" t="n">
        <x:f>IFERROR(K997/D997,0)</x:f>
        <x:v>0.01624352289524552</x:v>
      </x:c>
      <x:c r="M997" s="160" t="str">
        <x:v>Presence-floor proxy only — 10k+ municipality completion</x:v>
      </x:c>
      <x:c r="N997"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while municipal areas use current Census geography.</x:v>
      </x:c>
      <x:c r="O997" s="160" t="str">
        <x:v>Litchfield County</x:v>
      </x:c>
    </x:row>
    <x:row r="998">
      <x:c r="A998" t="n">
        <x:v>555</x:v>
      </x:c>
      <x:c r="B998" t="str">
        <x:v>Watertown Town</x:v>
      </x:c>
      <x:c r="C998" t="str">
        <x:v>CT</x:v>
      </x:c>
      <x:c r="D998" s="161" t="n">
        <x:v>29.011</x:v>
      </x:c>
      <x:c r="E998" t="n">
        <x:v>0</x:v>
      </x:c>
      <x:c r="F998" t="n">
        <x:v>0</x:v>
      </x:c>
      <x:c r="G998" t="n">
        <x:v>0</x:v>
      </x:c>
      <x:c r="H998" t="n">
        <x:v>0</x:v>
      </x:c>
      <x:c r="I998" t="n">
        <x:v>0</x:v>
      </x:c>
      <x:c r="J998" t="n">
        <x:v>1</x:v>
      </x:c>
      <x:c r="K998" t="n">
        <x:f>SUM(E998:J998)</x:f>
        <x:v>1</x:v>
      </x:c>
      <x:c r="L998" s="163" t="n">
        <x:f>IFERROR(K998/D998,0)</x:f>
        <x:v>0.03446968391299852</x:v>
      </x:c>
      <x:c r="M998" s="160" t="str">
        <x:v>Presence-floor proxy only — 10k+ municipality completion</x:v>
      </x:c>
      <x:c r="N998"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while municipal areas use current Census geography.</x:v>
      </x:c>
      <x:c r="O998" s="160" t="str">
        <x:v>Litchfield County</x:v>
      </x:c>
    </x:row>
    <x:row r="999">
      <x:c r="A999" t="n">
        <x:v>441</x:v>
      </x:c>
      <x:c r="B999" t="str">
        <x:v>Plymouth Town</x:v>
      </x:c>
      <x:c r="C999" t="str">
        <x:v>CT</x:v>
      </x:c>
      <x:c r="D999" s="161" t="n">
        <x:v>21.882</x:v>
      </x:c>
      <x:c r="E999" t="n">
        <x:v>0</x:v>
      </x:c>
      <x:c r="F999" t="n">
        <x:v>0</x:v>
      </x:c>
      <x:c r="G999" t="n">
        <x:v>0</x:v>
      </x:c>
      <x:c r="H999" t="n">
        <x:v>0</x:v>
      </x:c>
      <x:c r="I999" t="n">
        <x:v>0</x:v>
      </x:c>
      <x:c r="J999" t="n">
        <x:v>1</x:v>
      </x:c>
      <x:c r="K999" t="n">
        <x:f>SUM(E999:J999)</x:f>
        <x:v>1</x:v>
      </x:c>
      <x:c r="L999" s="163" t="n">
        <x:f>IFERROR(K999/D999,0)</x:f>
        <x:v>0.04569966182250251</x:v>
      </x:c>
      <x:c r="M999" s="160" t="str">
        <x:v>Presence-floor proxy only — 10k+ municipality completion</x:v>
      </x:c>
      <x:c r="N999"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while municipal areas use current Census geography.</x:v>
      </x:c>
      <x:c r="O999" s="160" t="str">
        <x:v>Litchfield County</x:v>
      </x:c>
    </x:row>
    <x:row r="1000">
      <x:c r="A1000" t="n">
        <x:v>605</x:v>
      </x:c>
      <x:c r="B1000" t="str">
        <x:v>Winchester Town</x:v>
      </x:c>
      <x:c r="C1000" t="str">
        <x:v>CT</x:v>
      </x:c>
      <x:c r="D1000" s="161" t="n">
        <x:v>32.515</x:v>
      </x:c>
      <x:c r="E1000" t="n">
        <x:v>0</x:v>
      </x:c>
      <x:c r="F1000" t="n">
        <x:v>0</x:v>
      </x:c>
      <x:c r="G1000" t="n">
        <x:v>0</x:v>
      </x:c>
      <x:c r="H1000" t="n">
        <x:v>0</x:v>
      </x:c>
      <x:c r="I1000" t="n">
        <x:v>0</x:v>
      </x:c>
      <x:c r="J1000" t="n">
        <x:v>1</x:v>
      </x:c>
      <x:c r="K1000" t="n">
        <x:f>SUM(E1000:J1000)</x:f>
        <x:v>1</x:v>
      </x:c>
      <x:c r="L1000" s="163" t="n">
        <x:f>IFERROR(K1000/D1000,0)</x:f>
        <x:v>0.03075503613716746</x:v>
      </x:c>
      <x:c r="M1000" s="160" t="str">
        <x:v>Presence-floor proxy only — 10k+ municipality completion</x:v>
      </x:c>
      <x:c r="N1000"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while municipal areas use current Census geography.</x:v>
      </x:c>
      <x:c r="O1000" s="160" t="str">
        <x:v>Litchfield County</x:v>
      </x:c>
    </x:row>
    <x:row r="1001">
      <x:c r="A1001" t="n">
        <x:v>737</x:v>
      </x:c>
      <x:c r="B1001" t="str">
        <x:v>Middletown City</x:v>
      </x:c>
      <x:c r="C1001" t="str">
        <x:v>CT</x:v>
      </x:c>
      <x:c r="D1001" s="161" t="n">
        <x:v>41.018</x:v>
      </x:c>
      <x:c r="E1001" t="n">
        <x:v>0</x:v>
      </x:c>
      <x:c r="F1001" t="n">
        <x:v>0</x:v>
      </x:c>
      <x:c r="G1001" t="n">
        <x:v>0</x:v>
      </x:c>
      <x:c r="H1001" t="n">
        <x:v>0</x:v>
      </x:c>
      <x:c r="I1001" t="n">
        <x:v>0</x:v>
      </x:c>
      <x:c r="J1001" t="n">
        <x:v>1</x:v>
      </x:c>
      <x:c r="K1001" t="n">
        <x:f>SUM(E1001:J1001)</x:f>
        <x:v>1</x:v>
      </x:c>
      <x:c r="L1001" s="163" t="n">
        <x:f>IFERROR(K1001/D1001,0)</x:f>
        <x:v>0.02437954068945341</x:v>
      </x:c>
      <x:c r="M1001" s="160" t="str">
        <x:v>Presence-floor proxy only — 10k+ municipality completion</x:v>
      </x:c>
      <x:c r="N1001"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Portland remains below the 10,000 screen.</x:v>
      </x:c>
      <x:c r="O1001" s="160" t="str">
        <x:v>Middlesex County</x:v>
      </x:c>
    </x:row>
    <x:row r="1002">
      <x:c r="A1002" t="n">
        <x:v>260</x:v>
      </x:c>
      <x:c r="B1002" t="str">
        <x:v>Cromwell Town</x:v>
      </x:c>
      <x:c r="C1002" t="str">
        <x:v>CT</x:v>
      </x:c>
      <x:c r="D1002" s="161" t="n">
        <x:v>12.454</x:v>
      </x:c>
      <x:c r="E1002" t="n">
        <x:v>0</x:v>
      </x:c>
      <x:c r="F1002" t="n">
        <x:v>0</x:v>
      </x:c>
      <x:c r="G1002" t="n">
        <x:v>0</x:v>
      </x:c>
      <x:c r="H1002" t="n">
        <x:v>0</x:v>
      </x:c>
      <x:c r="I1002" t="n">
        <x:v>0</x:v>
      </x:c>
      <x:c r="J1002" t="n">
        <x:v>1</x:v>
      </x:c>
      <x:c r="K1002" t="n">
        <x:f>SUM(E1002:J1002)</x:f>
        <x:v>1</x:v>
      </x:c>
      <x:c r="L1002" s="163" t="n">
        <x:f>IFERROR(K1002/D1002,0)</x:f>
        <x:v>0.08029548739360848</x:v>
      </x:c>
      <x:c r="M1002" s="160" t="str">
        <x:v>Presence-floor proxy only — 10k+ municipality completion</x:v>
      </x:c>
      <x:c r="N1002"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Portland remains below the 10,000 screen.</x:v>
      </x:c>
      <x:c r="O1002" s="160" t="str">
        <x:v>Middlesex County</x:v>
      </x:c>
    </x:row>
    <x:row r="1003">
      <x:c r="A1003" t="n">
        <x:v>663</x:v>
      </x:c>
      <x:c r="B1003" t="str">
        <x:v>East Hampton Town</x:v>
      </x:c>
      <x:c r="C1003" t="str">
        <x:v>CT</x:v>
      </x:c>
      <x:c r="D1003" s="161" t="n">
        <x:v>35.651</x:v>
      </x:c>
      <x:c r="E1003" t="n">
        <x:v>0</x:v>
      </x:c>
      <x:c r="F1003" t="n">
        <x:v>0</x:v>
      </x:c>
      <x:c r="G1003" t="n">
        <x:v>0</x:v>
      </x:c>
      <x:c r="H1003" t="n">
        <x:v>0</x:v>
      </x:c>
      <x:c r="I1003" t="n">
        <x:v>0</x:v>
      </x:c>
      <x:c r="J1003" t="n">
        <x:v>1</x:v>
      </x:c>
      <x:c r="K1003" t="n">
        <x:f>SUM(E1003:J1003)</x:f>
        <x:v>1</x:v>
      </x:c>
      <x:c r="L1003" s="163" t="n">
        <x:f>IFERROR(K1003/D1003,0)</x:f>
        <x:v>0.028049704075622</x:v>
      </x:c>
      <x:c r="M1003" s="160" t="str">
        <x:v>Presence-floor proxy only — 10k+ municipality completion</x:v>
      </x:c>
      <x:c r="N1003"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Portland remains below the 10,000 screen.</x:v>
      </x:c>
      <x:c r="O1003" s="160" t="str">
        <x:v>Middlesex County</x:v>
      </x:c>
    </x:row>
    <x:row r="1004">
      <x:c r="A1004" t="n">
        <x:v>336</x:v>
      </x:c>
      <x:c r="B1004" t="str">
        <x:v>Clinton Town</x:v>
      </x:c>
      <x:c r="C1004" t="str">
        <x:v>CT</x:v>
      </x:c>
      <x:c r="D1004" s="161" t="n">
        <x:v>16.207</x:v>
      </x:c>
      <x:c r="E1004" t="n">
        <x:v>0</x:v>
      </x:c>
      <x:c r="F1004" t="n">
        <x:v>0</x:v>
      </x:c>
      <x:c r="G1004" t="n">
        <x:v>0</x:v>
      </x:c>
      <x:c r="H1004" t="n">
        <x:v>0</x:v>
      </x:c>
      <x:c r="I1004" t="n">
        <x:v>0</x:v>
      </x:c>
      <x:c r="J1004" t="n">
        <x:v>1</x:v>
      </x:c>
      <x:c r="K1004" t="n">
        <x:f>SUM(E1004:J1004)</x:f>
        <x:v>1</x:v>
      </x:c>
      <x:c r="L1004" s="163" t="n">
        <x:f>IFERROR(K1004/D1004,0)</x:f>
        <x:v>0.0617017338187203</x:v>
      </x:c>
      <x:c r="M1004" s="160" t="str">
        <x:v>Presence-floor proxy only — 10k+ municipality completion</x:v>
      </x:c>
      <x:c r="N1004"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Portland remains below the 10,000 screen.</x:v>
      </x:c>
      <x:c r="O1004" s="160" t="str">
        <x:v>Middlesex County</x:v>
      </x:c>
    </x:row>
    <x:row r="1005">
      <x:c r="A1005" t="n">
        <x:v>312</x:v>
      </x:c>
      <x:c r="B1005" t="str">
        <x:v>Old Saybrook Town</x:v>
      </x:c>
      <x:c r="C1005" t="str">
        <x:v>CT</x:v>
      </x:c>
      <x:c r="D1005" s="161" t="n">
        <x:v>15.06</x:v>
      </x:c>
      <x:c r="E1005" t="n">
        <x:v>0</x:v>
      </x:c>
      <x:c r="F1005" t="n">
        <x:v>0</x:v>
      </x:c>
      <x:c r="G1005" t="n">
        <x:v>0</x:v>
      </x:c>
      <x:c r="H1005" t="n">
        <x:v>0</x:v>
      </x:c>
      <x:c r="I1005" t="n">
        <x:v>0</x:v>
      </x:c>
      <x:c r="J1005" t="n">
        <x:v>1</x:v>
      </x:c>
      <x:c r="K1005" t="n">
        <x:f>SUM(E1005:J1005)</x:f>
        <x:v>1</x:v>
      </x:c>
      <x:c r="L1005" s="163" t="n">
        <x:f>IFERROR(K1005/D1005,0)</x:f>
        <x:v>0.06640106241699867</x:v>
      </x:c>
      <x:c r="M1005" s="160" t="str">
        <x:v>Presence-floor proxy only — 10k+ municipality completion</x:v>
      </x:c>
      <x:c r="N100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Historical Connecticut county label/FIPS retained for continuity; Portland remains below the 10,000 screen.</x:v>
      </x:c>
      <x:c r="O1005" s="160" t="str">
        <x:v>Middlesex County</x:v>
      </x:c>
    </x:row>
    <x:row r="1006">
      <x:c r="A1006" t="n">
        <x:v>225</x:v>
      </x:c>
      <x:c r="B1006" t="str">
        <x:v>Binghamton City</x:v>
      </x:c>
      <x:c r="C1006" t="str">
        <x:v>NY</x:v>
      </x:c>
      <x:c r="D1006" s="161" t="n">
        <x:v>10.479</x:v>
      </x:c>
      <x:c r="E1006" t="n">
        <x:v>0</x:v>
      </x:c>
      <x:c r="F1006" t="n">
        <x:v>0</x:v>
      </x:c>
      <x:c r="G1006" t="n">
        <x:v>0</x:v>
      </x:c>
      <x:c r="H1006" t="n">
        <x:v>0</x:v>
      </x:c>
      <x:c r="I1006" t="n">
        <x:v>0</x:v>
      </x:c>
      <x:c r="J1006" t="n">
        <x:v>1</x:v>
      </x:c>
      <x:c r="K1006" t="n">
        <x:f>SUM(E1006:J1006)</x:f>
        <x:v>1</x:v>
      </x:c>
      <x:c r="L1006" s="163" t="n">
        <x:f>IFERROR(K1006/D1006,0)</x:f>
        <x:v>0.09542895314438402</x:v>
      </x:c>
      <x:c r="M1006" s="160" t="str">
        <x:v>Presence-floor proxy only — 10k+ municipality completion</x:v>
      </x:c>
      <x:c r="N1006"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 nested villages are excluded.</x:v>
      </x:c>
      <x:c r="O1006" s="160" t="str">
        <x:v>Broome County</x:v>
      </x:c>
    </x:row>
    <x:row r="1007">
      <x:c r="A1007" t="n">
        <x:v>631</x:v>
      </x:c>
      <x:c r="B1007" t="str">
        <x:v>Chenango Town</x:v>
      </x:c>
      <x:c r="C1007" t="str">
        <x:v>NY</x:v>
      </x:c>
      <x:c r="D1007" s="161" t="n">
        <x:v>33.834</x:v>
      </x:c>
      <x:c r="E1007" t="n">
        <x:v>0</x:v>
      </x:c>
      <x:c r="F1007" t="n">
        <x:v>0</x:v>
      </x:c>
      <x:c r="G1007" t="n">
        <x:v>0</x:v>
      </x:c>
      <x:c r="H1007" t="n">
        <x:v>0</x:v>
      </x:c>
      <x:c r="I1007" t="n">
        <x:v>0</x:v>
      </x:c>
      <x:c r="J1007" t="n">
        <x:v>1</x:v>
      </x:c>
      <x:c r="K1007" t="n">
        <x:f>SUM(E1007:J1007)</x:f>
        <x:v>1</x:v>
      </x:c>
      <x:c r="L1007" s="163" t="n">
        <x:f>IFERROR(K1007/D1007,0)</x:f>
        <x:v>0.029556067860731807</x:v>
      </x:c>
      <x:c r="M1007" s="160" t="str">
        <x:v>Presence-floor proxy only — 10k+ municipality completion</x:v>
      </x:c>
      <x:c r="N1007"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 nested villages are excluded.</x:v>
      </x:c>
      <x:c r="O1007" s="160" t="str">
        <x:v>Broome County</x:v>
      </x:c>
    </x:row>
    <x:row r="1008">
      <x:c r="A1008" t="n">
        <x:v>658</x:v>
      </x:c>
      <x:c r="B1008" t="str">
        <x:v>Union Town</x:v>
      </x:c>
      <x:c r="C1008" t="str">
        <x:v>NY</x:v>
      </x:c>
      <x:c r="D1008" s="161" t="n">
        <x:v>35.435</x:v>
      </x:c>
      <x:c r="E1008" t="n">
        <x:v>0</x:v>
      </x:c>
      <x:c r="F1008" t="n">
        <x:v>0</x:v>
      </x:c>
      <x:c r="G1008" t="n">
        <x:v>0</x:v>
      </x:c>
      <x:c r="H1008" t="n">
        <x:v>0</x:v>
      </x:c>
      <x:c r="I1008" t="n">
        <x:v>0</x:v>
      </x:c>
      <x:c r="J1008" t="n">
        <x:v>1</x:v>
      </x:c>
      <x:c r="K1008" t="n">
        <x:f>SUM(E1008:J1008)</x:f>
        <x:v>1</x:v>
      </x:c>
      <x:c r="L1008" s="163" t="n">
        <x:f>IFERROR(K1008/D1008,0)</x:f>
        <x:v>0.02822068576266403</x:v>
      </x:c>
      <x:c r="M1008" s="160" t="str">
        <x:v>Presence-floor proxy only — 10k+ municipality completion</x:v>
      </x:c>
      <x:c r="N1008"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 nested villages are excluded.</x:v>
      </x:c>
      <x:c r="O1008" s="160" t="str">
        <x:v>Broome County</x:v>
      </x:c>
    </x:row>
    <x:row r="1009">
      <x:c r="A1009" t="n">
        <x:v>819</x:v>
      </x:c>
      <x:c r="B1009" t="str">
        <x:v>Vestal Town</x:v>
      </x:c>
      <x:c r="C1009" t="str">
        <x:v>NY</x:v>
      </x:c>
      <x:c r="D1009" s="161" t="n">
        <x:v>51.683</x:v>
      </x:c>
      <x:c r="E1009" t="n">
        <x:v>0</x:v>
      </x:c>
      <x:c r="F1009" t="n">
        <x:v>0</x:v>
      </x:c>
      <x:c r="G1009" t="n">
        <x:v>0</x:v>
      </x:c>
      <x:c r="H1009" t="n">
        <x:v>0</x:v>
      </x:c>
      <x:c r="I1009" t="n">
        <x:v>0</x:v>
      </x:c>
      <x:c r="J1009" t="n">
        <x:v>1</x:v>
      </x:c>
      <x:c r="K1009" t="n">
        <x:f>SUM(E1009:J1009)</x:f>
        <x:v>1</x:v>
      </x:c>
      <x:c r="L1009" s="163" t="n">
        <x:f>IFERROR(K1009/D1009,0)</x:f>
        <x:v>0.019348722016910784</x:v>
      </x:c>
      <x:c r="M1009" s="160" t="str">
        <x:v>Presence-floor proxy only — 10k+ municipality completion</x:v>
      </x:c>
      <x:c r="N1009"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 nested villages are excluded.</x:v>
      </x:c>
      <x:c r="O1009" s="160" t="str">
        <x:v>Broome County</x:v>
      </x:c>
    </x:row>
    <x:row r="1010">
      <x:c r="A1010" t="n">
        <x:v>71</x:v>
      </x:c>
      <x:c r="B1010" t="str">
        <x:v>State College Borough</x:v>
      </x:c>
      <x:c r="C1010" t="str">
        <x:v>PA</x:v>
      </x:c>
      <x:c r="D1010" s="161" t="n">
        <x:v>4.578</x:v>
      </x:c>
      <x:c r="E1010" t="n">
        <x:v>0</x:v>
      </x:c>
      <x:c r="F1010" t="n">
        <x:v>0</x:v>
      </x:c>
      <x:c r="G1010" t="n">
        <x:v>0</x:v>
      </x:c>
      <x:c r="H1010" t="n">
        <x:v>0</x:v>
      </x:c>
      <x:c r="I1010" t="n">
        <x:v>0</x:v>
      </x:c>
      <x:c r="J1010" t="n">
        <x:v>1</x:v>
      </x:c>
      <x:c r="K1010" t="n">
        <x:f>SUM(E1010:J1010)</x:f>
        <x:v>1</x:v>
      </x:c>
      <x:c r="L1010" s="163" t="n">
        <x:f>IFERROR(K1010/D1010,0)</x:f>
        <x:v>0.218435998252512</x:v>
      </x:c>
      <x:c r="M1010" s="160" t="str">
        <x:v>Presence-floor proxy only — 10k+ municipality completion</x:v>
      </x:c>
      <x:c r="N1010"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College Township is retained at V2025 population 10,393.</x:v>
      </x:c>
      <x:c r="O1010" s="160" t="str">
        <x:v>Centre County</x:v>
      </x:c>
    </x:row>
    <x:row r="1011">
      <x:c r="A1011" t="n">
        <x:v>790</x:v>
      </x:c>
      <x:c r="B1011" t="str">
        <x:v>Ferguson Township</x:v>
      </x:c>
      <x:c r="C1011" t="str">
        <x:v>PA</x:v>
      </x:c>
      <x:c r="D1011" s="161" t="n">
        <x:v>47.63</x:v>
      </x:c>
      <x:c r="E1011" t="n">
        <x:v>0</x:v>
      </x:c>
      <x:c r="F1011" t="n">
        <x:v>0</x:v>
      </x:c>
      <x:c r="G1011" t="n">
        <x:v>0</x:v>
      </x:c>
      <x:c r="H1011" t="n">
        <x:v>0</x:v>
      </x:c>
      <x:c r="I1011" t="n">
        <x:v>0</x:v>
      </x:c>
      <x:c r="J1011" t="n">
        <x:v>1</x:v>
      </x:c>
      <x:c r="K1011" t="n">
        <x:f>SUM(E1011:J1011)</x:f>
        <x:v>1</x:v>
      </x:c>
      <x:c r="L1011" s="163" t="n">
        <x:f>IFERROR(K1011/D1011,0)</x:f>
        <x:v>0.02099517111064455</x:v>
      </x:c>
      <x:c r="M1011" s="160" t="str">
        <x:v>Presence-floor proxy only — 10k+ municipality completion</x:v>
      </x:c>
      <x:c r="N1011"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College Township is retained at V2025 population 10,393.</x:v>
      </x:c>
      <x:c r="O1011" s="160" t="str">
        <x:v>Centre County</x:v>
      </x:c>
    </x:row>
    <x:row r="1012">
      <x:c r="A1012" t="n">
        <x:v>487</x:v>
      </x:c>
      <x:c r="B1012" t="str">
        <x:v>Patton Township</x:v>
      </x:c>
      <x:c r="C1012" t="str">
        <x:v>PA</x:v>
      </x:c>
      <x:c r="D1012" s="161" t="n">
        <x:v>24.609</x:v>
      </x:c>
      <x:c r="E1012" t="n">
        <x:v>0</x:v>
      </x:c>
      <x:c r="F1012" t="n">
        <x:v>0</x:v>
      </x:c>
      <x:c r="G1012" t="n">
        <x:v>0</x:v>
      </x:c>
      <x:c r="H1012" t="n">
        <x:v>0</x:v>
      </x:c>
      <x:c r="I1012" t="n">
        <x:v>0</x:v>
      </x:c>
      <x:c r="J1012" t="n">
        <x:v>1</x:v>
      </x:c>
      <x:c r="K1012" t="n">
        <x:f>SUM(E1012:J1012)</x:f>
        <x:v>1</x:v>
      </x:c>
      <x:c r="L1012" s="163" t="n">
        <x:f>IFERROR(K1012/D1012,0)</x:f>
        <x:v>0.040635539843146815</x:v>
      </x:c>
      <x:c r="M1012" s="160" t="str">
        <x:v>Presence-floor proxy only — 10k+ municipality completion</x:v>
      </x:c>
      <x:c r="N1012"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College Township is retained at V2025 population 10,393.</x:v>
      </x:c>
      <x:c r="O1012" s="160" t="str">
        <x:v>Centre County</x:v>
      </x:c>
    </x:row>
    <x:row r="1013">
      <x:c r="A1013" t="n">
        <x:v>381</x:v>
      </x:c>
      <x:c r="B1013" t="str">
        <x:v>College Township</x:v>
      </x:c>
      <x:c r="C1013" t="str">
        <x:v>PA</x:v>
      </x:c>
      <x:c r="D1013" s="161" t="n">
        <x:v>18.324</x:v>
      </x:c>
      <x:c r="E1013" t="n">
        <x:v>0</x:v>
      </x:c>
      <x:c r="F1013" t="n">
        <x:v>0</x:v>
      </x:c>
      <x:c r="G1013" t="n">
        <x:v>0</x:v>
      </x:c>
      <x:c r="H1013" t="n">
        <x:v>0</x:v>
      </x:c>
      <x:c r="I1013" t="n">
        <x:v>0</x:v>
      </x:c>
      <x:c r="J1013" t="n">
        <x:v>1</x:v>
      </x:c>
      <x:c r="K1013" t="n">
        <x:f>SUM(E1013:J1013)</x:f>
        <x:v>1</x:v>
      </x:c>
      <x:c r="L1013" s="163" t="n">
        <x:f>IFERROR(K1013/D1013,0)</x:f>
        <x:v>0.05457323728443571</x:v>
      </x:c>
      <x:c r="M1013" s="160" t="str">
        <x:v>Presence-floor proxy only — 10k+ municipality completion</x:v>
      </x:c>
      <x:c r="N1013"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College Township is retained at V2025 population 10,393.</x:v>
      </x:c>
      <x:c r="O1013" s="160" t="str">
        <x:v>Centre County</x:v>
      </x:c>
    </x:row>
    <x:row r="1014">
      <x:c r="A1014" t="n">
        <x:v>90</x:v>
      </x:c>
      <x:c r="B1014" t="str">
        <x:v>Ithaca City</x:v>
      </x:c>
      <x:c r="C1014" t="str">
        <x:v>NY</x:v>
      </x:c>
      <x:c r="D1014" s="161" t="n">
        <x:v>5.389</x:v>
      </x:c>
      <x:c r="E1014" t="n">
        <x:v>0</x:v>
      </x:c>
      <x:c r="F1014" t="n">
        <x:v>0</x:v>
      </x:c>
      <x:c r="G1014" t="n">
        <x:v>0</x:v>
      </x:c>
      <x:c r="H1014" t="n">
        <x:v>0</x:v>
      </x:c>
      <x:c r="I1014" t="n">
        <x:v>0</x:v>
      </x:c>
      <x:c r="J1014" t="n">
        <x:v>1</x:v>
      </x:c>
      <x:c r="K1014" t="n">
        <x:f>SUM(E1014:J1014)</x:f>
        <x:v>1</x:v>
      </x:c>
      <x:c r="L1014" s="163" t="n">
        <x:f>IFERROR(K1014/D1014,0)</x:f>
        <x:v>0.18556318426424195</x:v>
      </x:c>
      <x:c r="M1014" s="160" t="str">
        <x:v>Presence-floor proxy only — 10k+ municipality completion</x:v>
      </x:c>
      <x:c r="N1014"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x:v>
      </x:c>
      <x:c r="O1014" s="160" t="str">
        <x:v>Tompkins County</x:v>
      </x:c>
    </x:row>
    <x:row r="1015">
      <x:c r="A1015" t="n">
        <x:v>554</x:v>
      </x:c>
      <x:c r="B1015" t="str">
        <x:v>Ithaca Town</x:v>
      </x:c>
      <x:c r="C1015" t="str">
        <x:v>NY</x:v>
      </x:c>
      <x:c r="D1015" s="161" t="n">
        <x:v>28.947</x:v>
      </x:c>
      <x:c r="E1015" t="n">
        <x:v>0</x:v>
      </x:c>
      <x:c r="F1015" t="n">
        <x:v>0</x:v>
      </x:c>
      <x:c r="G1015" t="n">
        <x:v>0</x:v>
      </x:c>
      <x:c r="H1015" t="n">
        <x:v>0</x:v>
      </x:c>
      <x:c r="I1015" t="n">
        <x:v>0</x:v>
      </x:c>
      <x:c r="J1015" t="n">
        <x:v>1</x:v>
      </x:c>
      <x:c r="K1015" t="n">
        <x:f>SUM(E1015:J1015)</x:f>
        <x:v>1</x:v>
      </x:c>
      <x:c r="L1015" s="163" t="n">
        <x:f>IFERROR(K1015/D1015,0)</x:f>
        <x:v>0.0345458942204719</x:v>
      </x:c>
      <x:c r="M1015" s="160" t="str">
        <x:v>Presence-floor proxy only — 10k+ municipality completion</x:v>
      </x:c>
      <x:c r="N101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x:v>
      </x:c>
      <x:c r="O1015" s="160" t="str">
        <x:v>Tompkins County</x:v>
      </x:c>
    </x:row>
    <x:row r="1016">
      <x:c r="A1016" t="n">
        <x:v>855</x:v>
      </x:c>
      <x:c r="B1016" t="str">
        <x:v>Lansing Town</x:v>
      </x:c>
      <x:c r="C1016" t="str">
        <x:v>NY</x:v>
      </x:c>
      <x:c r="D1016" s="161" t="n">
        <x:v>60.49</x:v>
      </x:c>
      <x:c r="E1016" t="n">
        <x:v>0</x:v>
      </x:c>
      <x:c r="F1016" t="n">
        <x:v>0</x:v>
      </x:c>
      <x:c r="G1016" t="n">
        <x:v>0</x:v>
      </x:c>
      <x:c r="H1016" t="n">
        <x:v>0</x:v>
      </x:c>
      <x:c r="I1016" t="n">
        <x:v>0</x:v>
      </x:c>
      <x:c r="J1016" t="n">
        <x:v>1</x:v>
      </x:c>
      <x:c r="K1016" t="n">
        <x:f>SUM(E1016:J1016)</x:f>
        <x:v>1</x:v>
      </x:c>
      <x:c r="L1016" s="163" t="n">
        <x:f>IFERROR(K1016/D1016,0)</x:f>
        <x:v>0.01653165812530997</x:v>
      </x:c>
      <x:c r="M1016" s="160" t="str">
        <x:v>Presence-floor proxy only — 10k+ municipality completion</x:v>
      </x:c>
      <x:c r="N1016"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x:v>
      </x:c>
      <x:c r="O1016" s="160" t="str">
        <x:v>Tompkins County</x:v>
      </x:c>
    </x:row>
    <x:row r="1017">
      <x:c r="A1017" t="n">
        <x:v>936</x:v>
      </x:c>
      <x:c r="B1017" t="str">
        <x:v>Dryden Town</x:v>
      </x:c>
      <x:c r="C1017" t="str">
        <x:v>NY</x:v>
      </x:c>
      <x:c r="D1017" s="161" t="n">
        <x:v>93.641</x:v>
      </x:c>
      <x:c r="E1017" t="n">
        <x:v>0</x:v>
      </x:c>
      <x:c r="F1017" t="n">
        <x:v>0</x:v>
      </x:c>
      <x:c r="G1017" t="n">
        <x:v>0</x:v>
      </x:c>
      <x:c r="H1017" t="n">
        <x:v>0</x:v>
      </x:c>
      <x:c r="I1017" t="n">
        <x:v>0</x:v>
      </x:c>
      <x:c r="J1017" t="n">
        <x:v>1</x:v>
      </x:c>
      <x:c r="K1017" t="n">
        <x:f>SUM(E1017:J1017)</x:f>
        <x:v>1</x:v>
      </x:c>
      <x:c r="L1017" s="163" t="n">
        <x:f>IFERROR(K1017/D1017,0)</x:f>
        <x:v>0.010679082880362234</x:v>
      </x:c>
      <x:c r="M1017" s="160" t="str">
        <x:v>Presence-floor proxy only — 10k+ municipality completion</x:v>
      </x:c>
      <x:c r="N1017"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New York overlap convention remains cities + towns only.</x:v>
      </x:c>
      <x:c r="O1017" s="160" t="str">
        <x:v>Tompkins County</x:v>
      </x:c>
    </x:row>
    <x:row r="1018">
      <x:c r="A1018" t="n">
        <x:v>166</x:v>
      </x:c>
      <x:c r="B1018" t="str">
        <x:v>Traverse City City</x:v>
      </x:c>
      <x:c r="C1018" t="str">
        <x:v>MI</x:v>
      </x:c>
      <x:c r="D1018" s="161" t="n">
        <x:v>8.276</x:v>
      </x:c>
      <x:c r="E1018" t="n">
        <x:v>0</x:v>
      </x:c>
      <x:c r="F1018" t="n">
        <x:v>0</x:v>
      </x:c>
      <x:c r="G1018" t="n">
        <x:v>0</x:v>
      </x:c>
      <x:c r="H1018" t="n">
        <x:v>0</x:v>
      </x:c>
      <x:c r="I1018" t="n">
        <x:v>0</x:v>
      </x:c>
      <x:c r="J1018" t="n">
        <x:v>1</x:v>
      </x:c>
      <x:c r="K1018" t="n">
        <x:f>SUM(E1018:J1018)</x:f>
        <x:v>1</x:v>
      </x:c>
      <x:c r="L1018" s="163" t="n">
        <x:f>IFERROR(K1018/D1018,0)</x:f>
        <x:v>0.12083131947800871</x:v>
      </x:c>
      <x:c r="M1018" s="160" t="str">
        <x:v>Presence-floor proxy only — 10k+ municipality completion</x:v>
      </x:c>
      <x:c r="N1018"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Long Lake Township is a threshold-edge inclusion at V2025 population 10,101.</x:v>
      </x:c>
      <x:c r="O1018" s="160" t="str">
        <x:v>Grand Traverse County</x:v>
      </x:c>
    </x:row>
    <x:row r="1019">
      <x:c r="A1019" t="n">
        <x:v>515</x:v>
      </x:c>
      <x:c r="B1019" t="str">
        <x:v>Garfield Charter Township</x:v>
      </x:c>
      <x:c r="C1019" t="str">
        <x:v>MI</x:v>
      </x:c>
      <x:c r="D1019" s="161" t="n">
        <x:v>26.59</x:v>
      </x:c>
      <x:c r="E1019" t="n">
        <x:v>0</x:v>
      </x:c>
      <x:c r="F1019" t="n">
        <x:v>0</x:v>
      </x:c>
      <x:c r="G1019" t="n">
        <x:v>0</x:v>
      </x:c>
      <x:c r="H1019" t="n">
        <x:v>0</x:v>
      </x:c>
      <x:c r="I1019" t="n">
        <x:v>0</x:v>
      </x:c>
      <x:c r="J1019" t="n">
        <x:v>1</x:v>
      </x:c>
      <x:c r="K1019" t="n">
        <x:f>SUM(E1019:J1019)</x:f>
        <x:v>1</x:v>
      </x:c>
      <x:c r="L1019" s="163" t="n">
        <x:f>IFERROR(K1019/D1019,0)</x:f>
        <x:v>0.037608123354644606</x:v>
      </x:c>
      <x:c r="M1019" s="160" t="str">
        <x:v>Presence-floor proxy only — 10k+ municipality completion</x:v>
      </x:c>
      <x:c r="N1019"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Long Lake Township is a threshold-edge inclusion at V2025 population 10,101.</x:v>
      </x:c>
      <x:c r="O1019" s="160" t="str">
        <x:v>Grand Traverse County</x:v>
      </x:c>
    </x:row>
    <x:row r="1020">
      <x:c r="A1020" t="n">
        <x:v>726</x:v>
      </x:c>
      <x:c r="B1020" t="str">
        <x:v>East Bay Township</x:v>
      </x:c>
      <x:c r="C1020" t="str">
        <x:v>MI</x:v>
      </x:c>
      <x:c r="D1020" s="161" t="n">
        <x:v>39.976</x:v>
      </x:c>
      <x:c r="E1020" t="n">
        <x:v>0</x:v>
      </x:c>
      <x:c r="F1020" t="n">
        <x:v>0</x:v>
      </x:c>
      <x:c r="G1020" t="n">
        <x:v>0</x:v>
      </x:c>
      <x:c r="H1020" t="n">
        <x:v>0</x:v>
      </x:c>
      <x:c r="I1020" t="n">
        <x:v>0</x:v>
      </x:c>
      <x:c r="J1020" t="n">
        <x:v>1</x:v>
      </x:c>
      <x:c r="K1020" t="n">
        <x:f>SUM(E1020:J1020)</x:f>
        <x:v>1</x:v>
      </x:c>
      <x:c r="L1020" s="163" t="n">
        <x:f>IFERROR(K1020/D1020,0)</x:f>
        <x:v>0.02501500900540324</x:v>
      </x:c>
      <x:c r="M1020" s="160" t="str">
        <x:v>Presence-floor proxy only — 10k+ municipality completion</x:v>
      </x:c>
      <x:c r="N1020"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Long Lake Township is a threshold-edge inclusion at V2025 population 10,101.</x:v>
      </x:c>
      <x:c r="O1020" s="160" t="str">
        <x:v>Grand Traverse County</x:v>
      </x:c>
    </x:row>
    <x:row r="1021">
      <x:c r="A1021" t="n">
        <x:v>569</x:v>
      </x:c>
      <x:c r="B1021" t="str">
        <x:v>Long Lake Township</x:v>
      </x:c>
      <x:c r="C1021" t="str">
        <x:v>MI</x:v>
      </x:c>
      <x:c r="D1021" s="161" t="n">
        <x:v>29.898</x:v>
      </x:c>
      <x:c r="E1021" t="n">
        <x:v>0</x:v>
      </x:c>
      <x:c r="F1021" t="n">
        <x:v>0</x:v>
      </x:c>
      <x:c r="G1021" t="n">
        <x:v>0</x:v>
      </x:c>
      <x:c r="H1021" t="n">
        <x:v>0</x:v>
      </x:c>
      <x:c r="I1021" t="n">
        <x:v>0</x:v>
      </x:c>
      <x:c r="J1021" t="n">
        <x:v>1</x:v>
      </x:c>
      <x:c r="K1021" t="n">
        <x:f>SUM(E1021:J1021)</x:f>
        <x:v>1</x:v>
      </x:c>
      <x:c r="L1021" s="163" t="n">
        <x:f>IFERROR(K1021/D1021,0)</x:f>
        <x:v>0.03344705331460299</x:v>
      </x:c>
      <x:c r="M1021" s="160" t="str">
        <x:v>Presence-floor proxy only — 10k+ municipality completion</x:v>
      </x:c>
      <x:c r="N1021"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Long Lake Township is a threshold-edge inclusion at V2025 population 10,101.</x:v>
      </x:c>
      <x:c r="O1021" s="160" t="str">
        <x:v>Grand Traverse County</x:v>
      </x:c>
    </x:row>
    <x:row r="1022">
      <x:c r="A1022" t="n">
        <x:v>603</x:v>
      </x:c>
      <x:c r="B1022" t="str">
        <x:v>Benton Charter Township</x:v>
      </x:c>
      <x:c r="C1022" t="str">
        <x:v>MI</x:v>
      </x:c>
      <x:c r="D1022" s="161" t="n">
        <x:v>32.422</x:v>
      </x:c>
      <x:c r="E1022" t="n">
        <x:v>0</x:v>
      </x:c>
      <x:c r="F1022" t="n">
        <x:v>0</x:v>
      </x:c>
      <x:c r="G1022" t="n">
        <x:v>0</x:v>
      </x:c>
      <x:c r="H1022" t="n">
        <x:v>0</x:v>
      </x:c>
      <x:c r="I1022" t="n">
        <x:v>0</x:v>
      </x:c>
      <x:c r="J1022" t="n">
        <x:v>1</x:v>
      </x:c>
      <x:c r="K1022" t="n">
        <x:f>SUM(E1022:J1022)</x:f>
        <x:v>1</x:v>
      </x:c>
      <x:c r="L1022" s="163" t="n">
        <x:f>IFERROR(K1022/D1022,0)</x:f>
        <x:v>0.030843254580223307</x:v>
      </x:c>
      <x:c r="M1022" s="160" t="str">
        <x:v>Presence-floor proxy only — 10k+ municipality completion</x:v>
      </x:c>
      <x:c r="N1022"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St. Joseph Charter Township is excluded at V2025 population 9,703.</x:v>
      </x:c>
      <x:c r="O1022" s="160" t="str">
        <x:v>Berrien County</x:v>
      </x:c>
    </x:row>
    <x:row r="1023">
      <x:c r="A1023" t="n">
        <x:v>371</x:v>
      </x:c>
      <x:c r="B1023" t="str">
        <x:v>Lincoln Charter Township</x:v>
      </x:c>
      <x:c r="C1023" t="str">
        <x:v>MI</x:v>
      </x:c>
      <x:c r="D1023" s="161" t="n">
        <x:v>17.911</x:v>
      </x:c>
      <x:c r="E1023" t="n">
        <x:v>0</x:v>
      </x:c>
      <x:c r="F1023" t="n">
        <x:v>0</x:v>
      </x:c>
      <x:c r="G1023" t="n">
        <x:v>0</x:v>
      </x:c>
      <x:c r="H1023" t="n">
        <x:v>0</x:v>
      </x:c>
      <x:c r="I1023" t="n">
        <x:v>0</x:v>
      </x:c>
      <x:c r="J1023" t="n">
        <x:v>1</x:v>
      </x:c>
      <x:c r="K1023" t="n">
        <x:f>SUM(E1023:J1023)</x:f>
        <x:v>1</x:v>
      </x:c>
      <x:c r="L1023" s="163" t="n">
        <x:f>IFERROR(K1023/D1023,0)</x:f>
        <x:v>0.055831611858634354</x:v>
      </x:c>
      <x:c r="M1023" s="160" t="str">
        <x:v>Presence-floor proxy only — 10k+ municipality completion</x:v>
      </x:c>
      <x:c r="N1023"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St. Joseph Charter Township is excluded at V2025 population 9,703.</x:v>
      </x:c>
      <x:c r="O1023" s="160" t="str">
        <x:v>Berrien County</x:v>
      </x:c>
    </x:row>
    <x:row r="1024">
      <x:c r="A1024" t="n">
        <x:v>693</x:v>
      </x:c>
      <x:c r="B1024" t="str">
        <x:v>Niles Township</x:v>
      </x:c>
      <x:c r="C1024" t="str">
        <x:v>MI</x:v>
      </x:c>
      <x:c r="D1024" s="161" t="n">
        <x:v>37.313</x:v>
      </x:c>
      <x:c r="E1024" t="n">
        <x:v>0</x:v>
      </x:c>
      <x:c r="F1024" t="n">
        <x:v>0</x:v>
      </x:c>
      <x:c r="G1024" t="n">
        <x:v>0</x:v>
      </x:c>
      <x:c r="H1024" t="n">
        <x:v>0</x:v>
      </x:c>
      <x:c r="I1024" t="n">
        <x:v>0</x:v>
      </x:c>
      <x:c r="J1024" t="n">
        <x:v>1</x:v>
      </x:c>
      <x:c r="K1024" t="n">
        <x:f>SUM(E1024:J1024)</x:f>
        <x:v>1</x:v>
      </x:c>
      <x:c r="L1024" s="163" t="n">
        <x:f>IFERROR(K1024/D1024,0)</x:f>
        <x:v>0.026800310883606248</x:v>
      </x:c>
      <x:c r="M1024" s="160" t="str">
        <x:v>Presence-floor proxy only — 10k+ municipality completion</x:v>
      </x:c>
      <x:c r="N1024"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St. Joseph Charter Township is excluded at V2025 population 9,703.</x:v>
      </x:c>
      <x:c r="O1024" s="160" t="str">
        <x:v>Berrien County</x:v>
      </x:c>
    </x:row>
    <x:row r="1025">
      <x:c r="A1025" t="n">
        <x:v>100</x:v>
      </x:c>
      <x:c r="B1025" t="str">
        <x:v>Niles City</x:v>
      </x:c>
      <x:c r="C1025" t="str">
        <x:v>MI</x:v>
      </x:c>
      <x:c r="D1025" s="161" t="n">
        <x:v>5.794</x:v>
      </x:c>
      <x:c r="E1025" t="n">
        <x:v>0</x:v>
      </x:c>
      <x:c r="F1025" t="n">
        <x:v>0</x:v>
      </x:c>
      <x:c r="G1025" t="n">
        <x:v>0</x:v>
      </x:c>
      <x:c r="H1025" t="n">
        <x:v>0</x:v>
      </x:c>
      <x:c r="I1025" t="n">
        <x:v>0</x:v>
      </x:c>
      <x:c r="J1025" t="n">
        <x:v>1</x:v>
      </x:c>
      <x:c r="K1025" t="n">
        <x:f>SUM(E1025:J1025)</x:f>
        <x:v>1</x:v>
      </x:c>
      <x:c r="L1025" s="163" t="n">
        <x:f>IFERROR(K1025/D1025,0)</x:f>
        <x:v>0.17259233690024164</x:v>
      </x:c>
      <x:c r="M1025" s="160" t="str">
        <x:v>Presence-floor proxy only — 10k+ municipality completion</x:v>
      </x:c>
      <x:c r="N1025" s="160" t="str">
        <x:v>Added under the 2026-09-15 statewide expansion rule: county population floor &gt;=50,000; Census Vintage 2025 municipality population &gt;=10,000; general-purpose city-equivalent municipality. The prior county-adjacency requirement is removed. Presence-floor proxy only — exact tracked-chain count requires municipal-boundary/GIS verification. St. Joseph Charter Township is excluded at V2025 population 9,703.</x:v>
      </x:c>
      <x:c r="O1025" s="160" t="str">
        <x:v>Berrien County</x:v>
      </x:c>
    </x:row>
  </x:sheetData>
  <x:mergeCells>
    <x:mergeCell ref="A3:N3"/>
    <x:mergeCell ref="A2:N2"/>
    <x:mergeCell ref="A1:N1"/>
  </x:mergeCells>
  <x:conditionalFormatting sqref="L6:L105">
    <x:cfRule type="dataBar" priority="1">
      <x:dataBar>
        <x:cfvo type="min"/>
        <x:cfvo type="max"/>
        <x:color rgb="FFA02B93"/>
      </x:dataBar>
    </x:cfRule>
  </x:conditionalFormatting>
  <x:conditionalFormatting sqref="M6:M105">
    <x:cfRule type="expression" dxfId="0" priority="2">
      <x:formula>M6="Presence-floor proxy only"</x:formula>
    </x:cfRule>
  </x:conditionalFormatting>
  <x:conditionalFormatting sqref="L6:L205">
    <x:cfRule type="dataBar" priority="3">
      <x:dataBar>
        <x:cfvo type="min"/>
        <x:cfvo type="max"/>
        <x:color rgb="FFA02B93"/>
      </x:dataBar>
    </x:cfRule>
  </x:conditionalFormatting>
  <x:conditionalFormatting sqref="L6:L255">
    <x:cfRule type="dataBar" priority="4">
      <x:dataBar>
        <x:cfvo type="min"/>
        <x:cfvo type="max"/>
        <x:color rgb="FFA02B93"/>
      </x:dataBar>
    </x:cfRule>
  </x:conditionalFormatting>
  <x:conditionalFormatting sqref="L6:L305">
    <x:cfRule type="dataBar" priority="5">
      <x:dataBar>
        <x:cfvo type="min"/>
        <x:cfvo type="max"/>
        <x:color rgb="FFA02B93"/>
      </x:dataBar>
    </x:cfRule>
  </x:conditionalFormatting>
  <x:pageMargins left="0.7" right="0.7" top="0.75" bottom="0.75" header="0.3" footer="0.3"/>
  <x:tableParts count="1">
    <x:tablePart xmlns:r="http://schemas.openxmlformats.org/officeDocument/2006/relationships" r:id="R8a1e6c65927949e3"/>
  </x:tableParts>
</x:worksheet>
</file>

<file path=xl/worksheets/sheet2.xml><?xml version="1.0" encoding="utf-8"?>
<x:worksheet xmlns:x="http://schemas.openxmlformats.org/spreadsheetml/2006/main">
  <x:sheetFormatPr baseColWidth="8" defaultRowHeight="15"/>
  <x:cols>
    <x:col min="1" max="1" width="24" style="44" customWidth="1"/>
    <x:col min="2" max="2" width="14" style="44" customWidth="1"/>
    <x:col min="3" max="3" width="28" style="44" customWidth="1"/>
    <x:col min="4" max="4" width="18" style="44" customWidth="1"/>
    <x:col min="5" max="5" width="38" style="44" customWidth="1"/>
    <x:col min="6" max="6" width="48" style="44" customWidth="1"/>
    <x:col min="7" max="7" width="54" style="44" customWidth="1"/>
  </x:cols>
  <x:sheetData>
    <x:row r="1" s="44" customFormat="1" ht="28" customHeight="1">
      <x:c r="A1" s="139" t="inlineStr">
        <x:is>
          <x:t xml:space="preserve">Selected Specialty / Natural / Premium Grocery Chains — 2026 QA</x:t>
        </x:is>
      </x:c>
      <x:c r="B1" s="1" t="n"/>
      <x:c r="C1" s="1" t="n"/>
      <x:c r="D1" s="1" t="n"/>
      <x:c r="E1" s="1" t="n"/>
      <x:c r="F1" s="1" t="n"/>
      <x:c r="G1" s="1" t="n"/>
    </x:row>
    <x:row r="2" s="44" customFormat="1" ht="32" customHeight="1">
      <x:c r="A2" s="140" t="inlineStr">
        <x:is>
          <x:t xml:space="preserve">All 35 chains are in scope. Current U.S. totals were reconciled during this research; city-density proxy columns still cover only five chains.</x:t>
        </x:is>
      </x:c>
      <x:c r="B2" s="1" t="n"/>
      <x:c r="C2" s="1" t="n"/>
      <x:c r="D2" s="1" t="n"/>
      <x:c r="E2" s="1" t="n"/>
      <x:c r="F2" s="85" t="n"/>
      <x:c r="G2" s="85" t="n"/>
    </x:row>
    <x:row r="3">
      <x:c r="A3" s="86" t="n"/>
      <x:c r="B3" s="86" t="n"/>
      <x:c r="C3" s="86" t="n"/>
      <x:c r="D3" s="86" t="n"/>
      <x:c r="E3" s="86" t="n"/>
      <x:c r="F3" s="86" t="n"/>
      <x:c r="G3" s="86" t="n"/>
    </x:row>
    <x:row r="4">
      <x:c r="A4" s="87" t="inlineStr">
        <x:is>
          <x:t xml:space="preserve">Chain</x:t>
        </x:is>
      </x:c>
      <x:c r="B4" s="87" t="inlineStr">
        <x:is>
          <x:t xml:space="preserve">Current U.S. Stores</x:t>
        </x:is>
      </x:c>
      <x:c r="C4" s="87" t="inlineStr">
        <x:is>
          <x:t xml:space="preserve">Footprint / positioning</x:t>
        </x:is>
      </x:c>
      <x:c r="D4" s="87" t="inlineStr">
        <x:is>
          <x:t xml:space="preserve">Included in city proxy?</x:t>
        </x:is>
      </x:c>
      <x:c r="E4" s="87" t="inlineStr">
        <x:is>
          <x:t xml:space="preserve">Official / current source</x:t>
        </x:is>
      </x:c>
      <x:c r="F4" s="88" t="inlineStr">
        <x:is>
          <x:t xml:space="preserve">Count basis / note</x:t>
        </x:is>
      </x:c>
      <x:c r="G4" s="88" t="inlineStr">
        <x:is>
          <x:t xml:space="preserve">Spatial-point status</x:t>
        </x:is>
      </x:c>
    </x:row>
    <x:row r="5">
      <x:c r="A5" s="86" t="inlineStr">
        <x:is>
          <x:t xml:space="preserve">Trader Joe's</x:t>
        </x:is>
      </x:c>
      <x:c r="B5" s="141" t="n">
        <x:v>661</x:v>
      </x:c>
      <x:c r="C5" s="86" t="inlineStr">
        <x:is>
          <x:t xml:space="preserve">National specialty/private-label</x:t>
        </x:is>
      </x:c>
      <x:c r="D5" s="86" t="inlineStr">
        <x:is>
          <x:t xml:space="preserve">No</x:t>
        </x:is>
      </x:c>
      <x:c r="E5" s="86" t="inlineStr">
        <x:is>
          <x:t xml:space="preserve">https://www.traderjoes.com/home/store-search</x:t>
        </x:is>
      </x:c>
      <x:c r="F5" s="86" t="inlineStr">
        <x:is>
          <x:t xml:space="preserve">661 active U.S. locations observed 2026-09-10</x:t>
        </x:is>
      </x:c>
      <x:c r="G5" s="86" t="inlineStr">
        <x:is>
          <x:t xml:space="preserve">Historical ATP-derived coordinate snapshot found; too old to treat as the current exact ranking.</x:t>
        </x:is>
      </x:c>
    </x:row>
    <x:row r="6">
      <x:c r="A6" s="86" t="inlineStr">
        <x:is>
          <x:t xml:space="preserve">Whole Foods Market</x:t>
        </x:is>
      </x:c>
      <x:c r="B6" s="141" t="n">
        <x:v>538</x:v>
      </x:c>
      <x:c r="C6" s="86" t="inlineStr">
        <x:is>
          <x:t xml:space="preserve">National natural/organic premium</x:t>
        </x:is>
      </x:c>
      <x:c r="D6" s="86" t="inlineStr">
        <x:is>
          <x:t xml:space="preserve">Partial</x:t>
        </x:is>
      </x:c>
      <x:c r="E6" s="86" t="inlineStr">
        <x:is>
          <x:t xml:space="preserve">https://www.wholefoodsmarket.com/stores</x:t>
        </x:is>
      </x:c>
      <x:c r="F6" s="86" t="inlineStr">
        <x:is>
          <x:t xml:space="preserve">538 U.S. stores</x:t>
        </x:is>
      </x:c>
      <x:c r="G6" s="86" t="inlineStr">
        <x:is>
          <x:t xml:space="preserve">Historical ATP-derived coordinate snapshot found; too old to treat as the current exact ranking.</x:t>
        </x:is>
      </x:c>
    </x:row>
    <x:row r="7">
      <x:c r="A7" s="86" t="inlineStr">
        <x:is>
          <x:t xml:space="preserve">Sprouts Farmers Market</x:t>
        </x:is>
      </x:c>
      <x:c r="B7" s="141" t="n">
        <x:v>512</x:v>
      </x:c>
      <x:c r="C7" s="86" t="inlineStr">
        <x:is>
          <x:t xml:space="preserve">National natural/organic</x:t>
        </x:is>
      </x:c>
      <x:c r="D7" s="86" t="inlineStr">
        <x:is>
          <x:t xml:space="preserve">Partial</x:t>
        </x:is>
      </x:c>
      <x:c r="E7" s="86" t="inlineStr">
        <x:is>
          <x:t xml:space="preserve">https://www.sprouts.com/stores/</x:t>
        </x:is>
      </x:c>
      <x:c r="F7" s="86" t="inlineStr">
        <x:is>
          <x:t xml:space="preserve">512 current stores from official locator state counts</x:t>
        </x:is>
      </x:c>
      <x:c r="G7" s="86" t="inlineStr">
        <x:is>
          <x:t xml:space="preserve">Historical ATP-derived coordinate snapshot found; too old to treat as the current exact ranking.</x:t>
        </x:is>
      </x:c>
    </x:row>
    <x:row r="8">
      <x:c r="A8" s="86" t="inlineStr">
        <x:is>
          <x:t xml:space="preserve">Natural Grocers</x:t>
        </x:is>
      </x:c>
      <x:c r="B8" s="141" t="n">
        <x:v>176</x:v>
      </x:c>
      <x:c r="C8" s="86" t="inlineStr">
        <x:is>
          <x:t xml:space="preserve">West/Mountain/Midwest/South natural</x:t>
        </x:is>
      </x:c>
      <x:c r="D8" s="86" t="inlineStr">
        <x:is>
          <x:t xml:space="preserve">No</x:t>
        </x:is>
      </x:c>
      <x:c r="E8" s="86" t="inlineStr">
        <x:is>
          <x:t xml:space="preserve">https://www.naturalgrocers.com/store-directory</x:t>
        </x:is>
      </x:c>
      <x:c r="F8" s="86" t="inlineStr">
        <x:is>
          <x:t xml:space="preserve">176 shown in official store directory</x:t>
        </x:is>
      </x:c>
      <x:c r="G8" s="86" t="inlineStr">
        <x:is>
          <x:t xml:space="preserve">Current first-party locator/spider route identified; complete current bulk point export not obtained in-session.</x:t>
        </x:is>
      </x:c>
    </x:row>
    <x:row r="9">
      <x:c r="A9" s="86" t="inlineStr">
        <x:is>
          <x:t xml:space="preserve">The Fresh Market</x:t>
        </x:is>
      </x:c>
      <x:c r="B9" s="141" t="n">
        <x:v>174</x:v>
      </x:c>
      <x:c r="C9" s="86" t="inlineStr">
        <x:is>
          <x:t xml:space="preserve">East/Southeast premium specialty</x:t>
        </x:is>
      </x:c>
      <x:c r="D9" s="86" t="inlineStr">
        <x:is>
          <x:t xml:space="preserve">Partial</x:t>
        </x:is>
      </x:c>
      <x:c r="E9" s="86" t="inlineStr">
        <x:is>
          <x:t xml:space="preserve">https://www.thefreshmarket.com/your-market/store-locator</x:t>
        </x:is>
      </x:c>
      <x:c r="F9" s="86" t="inlineStr">
        <x:is>
          <x:t xml:space="preserve">174 stores in 22 states</x:t>
        </x:is>
      </x:c>
      <x:c r="G9" s="86" t="inlineStr">
        <x:is>
          <x:t xml:space="preserve">Current first-party locator/spider route identified; complete current bulk point export not obtained in-session.</x:t>
        </x:is>
      </x:c>
    </x:row>
    <x:row r="10">
      <x:c r="A10" s="86" t="inlineStr">
        <x:is>
          <x:t xml:space="preserve">Wegmans</x:t>
        </x:is>
      </x:c>
      <x:c r="B10" s="141" t="n">
        <x:v>114</x:v>
      </x:c>
      <x:c r="C10" s="86" t="inlineStr">
        <x:is>
          <x:t xml:space="preserve">East Coast premium full-service</x:t>
        </x:is>
      </x:c>
      <x:c r="D10" s="86" t="inlineStr">
        <x:is>
          <x:t xml:space="preserve">Partial</x:t>
        </x:is>
      </x:c>
      <x:c r="E10" s="86" t="inlineStr">
        <x:is>
          <x:t xml:space="preserve">https://www.wegmans.com/stores/</x:t>
        </x:is>
      </x:c>
      <x:c r="F10" s="86" t="inlineStr">
        <x:is>
          <x:t xml:space="preserve">114 current stores; Ballantyne/Charlotte opening after analysis date excluded</x:t>
        </x:is>
      </x:c>
      <x:c r="G10" s="86" t="inlineStr">
        <x:is>
          <x:t xml:space="preserve">Historical ATP-derived coordinate snapshot found; too old to treat as the current exact ranking.</x:t>
        </x:is>
      </x:c>
    </x:row>
    <x:row r="11">
      <x:c r="A11" s="86" t="inlineStr">
        <x:is>
          <x:t xml:space="preserve">Fresh Thyme Market</x:t>
        </x:is>
      </x:c>
      <x:c r="B11" s="141" t="n">
        <x:v>69</x:v>
      </x:c>
      <x:c r="C11" s="86" t="inlineStr">
        <x:is>
          <x:t xml:space="preserve">Midwest natural/organic</x:t>
        </x:is>
      </x:c>
      <x:c r="D11" s="86" t="inlineStr">
        <x:is>
          <x:t xml:space="preserve">Partial</x:t>
        </x:is>
      </x:c>
      <x:c r="E11" s="86" t="inlineStr">
        <x:is>
          <x:t xml:space="preserve">https://ww2.freshthyme.com/sm/planning/rsid/104/store-locator</x:t>
        </x:is>
      </x:c>
      <x:c r="F11" s="86" t="inlineStr">
        <x:is>
          <x:t xml:space="preserve">69 current stores</x:t>
        </x:is>
      </x:c>
      <x:c r="G11" s="86" t="inlineStr">
        <x:is>
          <x:t xml:space="preserve">Current first-party locator/spider route identified; complete current bulk point export not obtained in-session.</x:t>
        </x:is>
      </x:c>
    </x:row>
    <x:row r="12">
      <x:c r="A12" s="86" t="inlineStr">
        <x:is>
          <x:t xml:space="preserve">MOM's Organic Market</x:t>
        </x:is>
      </x:c>
      <x:c r="B12" s="141" t="n">
        <x:v>27</x:v>
      </x:c>
      <x:c r="C12" s="86" t="inlineStr">
        <x:is>
          <x:t xml:space="preserve">Mid-Atlantic/Northeast organic</x:t>
        </x:is>
      </x:c>
      <x:c r="D12" s="86" t="inlineStr">
        <x:is>
          <x:t xml:space="preserve">No</x:t>
        </x:is>
      </x:c>
      <x:c r="E12" s="86" t="inlineStr">
        <x:is>
          <x:t xml:space="preserve">https://momsorganicmarket.com/</x:t>
        </x:is>
      </x:c>
      <x:c r="F12" s="86" t="inlineStr">
        <x:is>
          <x:t xml:space="preserve">27 current stores; announced Illinois openings after analysis date excluded</x:t>
        </x:is>
      </x:c>
      <x:c r="G12" s="86" t="inlineStr">
        <x:is>
          <x:t xml:space="preserve">Official/current locator verified for count; complete current geocoded point set not obtained in-session.</x:t>
        </x:is>
      </x:c>
    </x:row>
    <x:row r="13">
      <x:c r="A13" s="86" t="inlineStr">
        <x:is>
          <x:t xml:space="preserve">Lunds &amp; Byerlys</x:t>
        </x:is>
      </x:c>
      <x:c r="B13" s="141" t="n">
        <x:v>27</x:v>
      </x:c>
      <x:c r="C13" s="86" t="inlineStr">
        <x:is>
          <x:t xml:space="preserve">Minnesota premium</x:t>
        </x:is>
      </x:c>
      <x:c r="D13" s="86" t="inlineStr">
        <x:is>
          <x:t xml:space="preserve">No</x:t>
        </x:is>
      </x:c>
      <x:c r="E13" s="86" t="inlineStr">
        <x:is>
          <x:t xml:space="preserve">https://www.lundsandbyerlys.com/our-stores/</x:t>
        </x:is>
      </x:c>
      <x:c r="F13" s="86" t="inlineStr">
        <x:is>
          <x:t xml:space="preserve">27 current locations</x:t>
        </x:is>
      </x:c>
      <x:c r="G13" s="86" t="inlineStr">
        <x:is>
          <x:t xml:space="preserve">Official/current locator verified for count; complete current geocoded point set not obtained in-session.</x:t>
        </x:is>
      </x:c>
    </x:row>
    <x:row r="14">
      <x:c r="A14" s="86" t="inlineStr">
        <x:is>
          <x:t xml:space="preserve">Gelson's Markets</x:t>
        </x:is>
      </x:c>
      <x:c r="B14" s="141" t="n">
        <x:v>26</x:v>
      </x:c>
      <x:c r="C14" s="86" t="inlineStr">
        <x:is>
          <x:t xml:space="preserve">Southern California upscale</x:t>
        </x:is>
      </x:c>
      <x:c r="D14" s="86" t="inlineStr">
        <x:is>
          <x:t xml:space="preserve">No</x:t>
        </x:is>
      </x:c>
      <x:c r="E14" s="86" t="inlineStr">
        <x:is>
          <x:t xml:space="preserve">https://www.gelsons.com/stores</x:t>
        </x:is>
      </x:c>
      <x:c r="F14" s="86" t="inlineStr">
        <x:is>
          <x:t xml:space="preserve">26 current locations</x:t>
        </x:is>
      </x:c>
      <x:c r="G14" s="86" t="inlineStr">
        <x:is>
          <x:t xml:space="preserve">Official/current locator verified for count; complete current geocoded point set not obtained in-session.</x:t>
        </x:is>
      </x:c>
    </x:row>
    <x:row r="15">
      <x:c r="A15" s="86" t="inlineStr">
        <x:is>
          <x:t xml:space="preserve">Heinen's</x:t>
        </x:is>
      </x:c>
      <x:c r="B15" s="141" t="n">
        <x:v>23</x:v>
      </x:c>
      <x:c r="C15" s="86" t="inlineStr">
        <x:is>
          <x:t xml:space="preserve">Cleveland/Chicago premium</x:t>
        </x:is>
      </x:c>
      <x:c r="D15" s="86" t="inlineStr">
        <x:is>
          <x:t xml:space="preserve">No</x:t>
        </x:is>
      </x:c>
      <x:c r="E15" s="86" t="inlineStr">
        <x:is>
          <x:t xml:space="preserve">https://www.heinens.com/stores/</x:t>
        </x:is>
      </x:c>
      <x:c r="F15" s="86" t="inlineStr">
        <x:is>
          <x:t xml:space="preserve">23 current locations</x:t>
        </x:is>
      </x:c>
      <x:c r="G15" s="86" t="inlineStr">
        <x:is>
          <x:t xml:space="preserve">Official/current locator verified for count; complete current geocoded point set not obtained in-session.</x:t>
        </x:is>
      </x:c>
    </x:row>
    <x:row r="16">
      <x:c r="A16" s="86" t="inlineStr">
        <x:is>
          <x:t xml:space="preserve">New Seasons Market</x:t>
        </x:is>
      </x:c>
      <x:c r="B16" s="141" t="n">
        <x:v>22</x:v>
      </x:c>
      <x:c r="C16" s="86" t="inlineStr">
        <x:is>
          <x:t xml:space="preserve">Oregon/SW Washington natural/local</x:t>
        </x:is>
      </x:c>
      <x:c r="D16" s="86" t="inlineStr">
        <x:is>
          <x:t xml:space="preserve">No</x:t>
        </x:is>
      </x:c>
      <x:c r="E16" s="86" t="inlineStr">
        <x:is>
          <x:t xml:space="preserve">https://www.newseasonsmarket.com/find-a-store/</x:t>
        </x:is>
      </x:c>
      <x:c r="F16" s="86" t="inlineStr">
        <x:is>
          <x:t xml:space="preserve">22 stores in Oregon and SW Washington</x:t>
        </x:is>
      </x:c>
      <x:c r="G16" s="86" t="inlineStr">
        <x:is>
          <x:t xml:space="preserve">Official/current locator verified for count; complete current geocoded point set not obtained in-session.</x:t>
        </x:is>
      </x:c>
    </x:row>
    <x:row r="17">
      <x:c r="A17" s="86" t="inlineStr">
        <x:is>
          <x:t xml:space="preserve">Harmons Grocery</x:t>
        </x:is>
      </x:c>
      <x:c r="B17" s="141" t="n">
        <x:v>21</x:v>
      </x:c>
      <x:c r="C17" s="86" t="inlineStr">
        <x:is>
          <x:t xml:space="preserve">Utah premium regional</x:t>
        </x:is>
      </x:c>
      <x:c r="D17" s="86" t="inlineStr">
        <x:is>
          <x:t xml:space="preserve">No</x:t>
        </x:is>
      </x:c>
      <x:c r="E17" s="86" t="inlineStr">
        <x:is>
          <x:t xml:space="preserve">https://www.harmonsgrocery.com/locations/</x:t>
        </x:is>
      </x:c>
      <x:c r="F17" s="86" t="inlineStr">
        <x:is>
          <x:t xml:space="preserve">21 current locations</x:t>
        </x:is>
      </x:c>
      <x:c r="G17" s="86" t="inlineStr">
        <x:is>
          <x:t xml:space="preserve">Official/current locator verified for count; complete current geocoded point set not obtained in-session.</x:t>
        </x:is>
      </x:c>
    </x:row>
    <x:row r="18">
      <x:c r="A18" s="86" t="inlineStr">
        <x:is>
          <x:t xml:space="preserve">Roche Bros.</x:t>
        </x:is>
      </x:c>
      <x:c r="B18" s="141" t="n">
        <x:v>20</x:v>
      </x:c>
      <x:c r="C18" s="86" t="inlineStr">
        <x:is>
          <x:t xml:space="preserve">Massachusetts upscale</x:t>
        </x:is>
      </x:c>
      <x:c r="D18" s="86" t="inlineStr">
        <x:is>
          <x:t xml:space="preserve">No</x:t>
        </x:is>
      </x:c>
      <x:c r="E18" s="86" t="inlineStr">
        <x:is>
          <x:t xml:space="preserve">https://www.rochebros.com/locations</x:t>
        </x:is>
      </x:c>
      <x:c r="F18" s="86" t="inlineStr">
        <x:is>
          <x:t xml:space="preserve">20 current locations</x:t>
        </x:is>
      </x:c>
      <x:c r="G18" s="86" t="inlineStr">
        <x:is>
          <x:t xml:space="preserve">Official/current locator verified for count; complete current geocoded point set not obtained in-session.</x:t>
        </x:is>
      </x:c>
    </x:row>
    <x:row r="19">
      <x:c r="A19" s="86" t="inlineStr">
        <x:is>
          <x:t xml:space="preserve">Kings Food Markets</x:t>
        </x:is>
      </x:c>
      <x:c r="B19" s="141" t="n">
        <x:v>18</x:v>
      </x:c>
      <x:c r="C19" s="86" t="inlineStr">
        <x:is>
          <x:t xml:space="preserve">NJ/NY/CT premium</x:t>
        </x:is>
      </x:c>
      <x:c r="D19" s="86" t="inlineStr">
        <x:is>
          <x:t xml:space="preserve">No</x:t>
        </x:is>
      </x:c>
      <x:c r="E19" s="86" t="inlineStr">
        <x:is>
          <x:t xml:space="preserve">https://local.kingsfoodmarkets.com/</x:t>
        </x:is>
      </x:c>
      <x:c r="F19" s="86" t="inlineStr">
        <x:is>
          <x:t xml:space="preserve">18 current locations</x:t>
        </x:is>
      </x:c>
      <x:c r="G19" s="86" t="inlineStr">
        <x:is>
          <x:t xml:space="preserve">Official/current locator verified for count; complete current geocoded point set not obtained in-session.</x:t>
        </x:is>
      </x:c>
    </x:row>
    <x:row r="20">
      <x:c r="A20" s="86" t="inlineStr">
        <x:is>
          <x:t xml:space="preserve">PCC Community Markets</x:t>
        </x:is>
      </x:c>
      <x:c r="B20" s="141" t="n">
        <x:v>16</x:v>
      </x:c>
      <x:c r="C20" s="86" t="inlineStr">
        <x:is>
          <x:t xml:space="preserve">Seattle-area natural co-op</x:t>
        </x:is>
      </x:c>
      <x:c r="D20" s="86" t="inlineStr">
        <x:is>
          <x:t xml:space="preserve">No</x:t>
        </x:is>
      </x:c>
      <x:c r="E20" s="86" t="inlineStr">
        <x:is>
          <x:t xml:space="preserve">https://www.pccmarkets.com/stores/</x:t>
        </x:is>
      </x:c>
      <x:c r="F20" s="86" t="inlineStr">
        <x:is>
          <x:t xml:space="preserve">16 currently operating locations</x:t>
        </x:is>
      </x:c>
      <x:c r="G20" s="86" t="inlineStr">
        <x:is>
          <x:t xml:space="preserve">Official/current locator verified for count; complete current geocoded point set not obtained in-session.</x:t>
        </x:is>
      </x:c>
    </x:row>
    <x:row r="21">
      <x:c r="A21" s="86" t="inlineStr">
        <x:is>
          <x:t xml:space="preserve">Nugget Markets</x:t>
        </x:is>
      </x:c>
      <x:c r="B21" s="141" t="n">
        <x:v>15</x:v>
      </x:c>
      <x:c r="C21" s="86" t="inlineStr">
        <x:is>
          <x:t xml:space="preserve">Northern California upscale</x:t>
        </x:is>
      </x:c>
      <x:c r="D21" s="86" t="inlineStr">
        <x:is>
          <x:t xml:space="preserve">No</x:t>
        </x:is>
      </x:c>
      <x:c r="E21" s="86" t="inlineStr">
        <x:is>
          <x:t xml:space="preserve">https://www.nuggetmarket.com/locations/</x:t>
        </x:is>
      </x:c>
      <x:c r="F21" s="86" t="inlineStr">
        <x:is>
          <x:t xml:space="preserve">15 Nugget-branded stores; other parent-company banners excluded</x:t>
        </x:is>
      </x:c>
      <x:c r="G21" s="86" t="inlineStr">
        <x:is>
          <x:t xml:space="preserve">Official/current locator verified for count; complete current geocoded point set not obtained in-session.</x:t>
        </x:is>
      </x:c>
    </x:row>
    <x:row r="22">
      <x:c r="A22" s="86" t="inlineStr">
        <x:is>
          <x:t xml:space="preserve">Bristol Farms</x:t>
        </x:is>
      </x:c>
      <x:c r="B22" s="141" t="n">
        <x:v>14</x:v>
      </x:c>
      <x:c r="C22" s="86" t="inlineStr">
        <x:is>
          <x:t xml:space="preserve">Southern California gourmet</x:t>
        </x:is>
      </x:c>
      <x:c r="D22" s="86" t="inlineStr">
        <x:is>
          <x:t xml:space="preserve">No</x:t>
        </x:is>
      </x:c>
      <x:c r="E22" s="86" t="inlineStr">
        <x:is>
          <x:t xml:space="preserve">https://www.bristolfarms.com/stores</x:t>
        </x:is>
      </x:c>
      <x:c r="F22" s="86" t="inlineStr">
        <x:is>
          <x:t xml:space="preserve">14 current store locations</x:t>
        </x:is>
      </x:c>
      <x:c r="G22" s="86" t="inlineStr">
        <x:is>
          <x:t xml:space="preserve">Official/current locator verified for count; complete current geocoded point set not obtained in-session.</x:t>
        </x:is>
      </x:c>
    </x:row>
    <x:row r="23">
      <x:c r="A23" s="86" t="inlineStr">
        <x:is>
          <x:t xml:space="preserve">Erewhon</x:t>
        </x:is>
      </x:c>
      <x:c r="B23" s="141" t="n">
        <x:v>13</x:v>
      </x:c>
      <x:c r="C23" s="86" t="inlineStr">
        <x:is>
          <x:t xml:space="preserve">Southern California ultra-premium</x:t>
        </x:is>
      </x:c>
      <x:c r="D23" s="86" t="inlineStr">
        <x:is>
          <x:t xml:space="preserve">No</x:t>
        </x:is>
      </x:c>
      <x:c r="E23" s="86" t="inlineStr">
        <x:is>
          <x:t xml:space="preserve">https://erewhon.com/locations</x:t>
        </x:is>
      </x:c>
      <x:c r="F23" s="86" t="inlineStr">
        <x:is>
          <x:t xml:space="preserve">13 currently operating; 14 listed including temporarily closed Pacific Palisades</x:t>
        </x:is>
      </x:c>
      <x:c r="G23" s="86" t="inlineStr">
        <x:is>
          <x:t xml:space="preserve">Official/current locator verified for count; complete current geocoded point set not obtained in-session.</x:t>
        </x:is>
      </x:c>
    </x:row>
    <x:row r="24">
      <x:c r="A24" s="86" t="inlineStr">
        <x:is>
          <x:t xml:space="preserve">Earth Fare</x:t>
        </x:is>
      </x:c>
      <x:c r="B24" s="141" t="n">
        <x:v>13</x:v>
      </x:c>
      <x:c r="C24" s="86" t="inlineStr">
        <x:is>
          <x:t xml:space="preserve">Southeast natural/organic</x:t>
        </x:is>
      </x:c>
      <x:c r="D24" s="86" t="inlineStr">
        <x:is>
          <x:t xml:space="preserve">No</x:t>
        </x:is>
      </x:c>
      <x:c r="E24" s="86" t="inlineStr">
        <x:is>
          <x:t xml:space="preserve">https://www.earthfare.com/stores/</x:t>
        </x:is>
      </x:c>
      <x:c r="F24" s="86" t="inlineStr">
        <x:is>
          <x:t xml:space="preserve">13 current stores</x:t>
        </x:is>
      </x:c>
      <x:c r="G24" s="86" t="inlineStr">
        <x:is>
          <x:t xml:space="preserve">Official/current locator verified for count; complete current geocoded point set not obtained in-session.</x:t>
        </x:is>
      </x:c>
    </x:row>
    <x:row r="25">
      <x:c r="A25" s="86" t="inlineStr">
        <x:is>
          <x:t xml:space="preserve">Market of Choice</x:t>
        </x:is>
      </x:c>
      <x:c r="B25" s="141" t="n">
        <x:v>13</x:v>
      </x:c>
      <x:c r="C25" s="86" t="inlineStr">
        <x:is>
          <x:t xml:space="preserve">Oregon local/premium</x:t>
        </x:is>
      </x:c>
      <x:c r="D25" s="86" t="inlineStr">
        <x:is>
          <x:t xml:space="preserve">No</x:t>
        </x:is>
      </x:c>
      <x:c r="E25" s="86" t="inlineStr">
        <x:is>
          <x:t xml:space="preserve">https://marketofchoice.com/locations/</x:t>
        </x:is>
      </x:c>
      <x:c r="F25" s="86" t="inlineStr">
        <x:is>
          <x:t xml:space="preserve">13 Oregon locations</x:t>
        </x:is>
      </x:c>
      <x:c r="G25" s="86" t="inlineStr">
        <x:is>
          <x:t xml:space="preserve">Official/current locator verified for count; complete current geocoded point set not obtained in-session.</x:t>
        </x:is>
      </x:c>
    </x:row>
    <x:row r="26">
      <x:c r="A26" s="86" t="inlineStr">
        <x:is>
          <x:t xml:space="preserve">DeCicco &amp; Sons</x:t>
        </x:is>
      </x:c>
      <x:c r="B26" s="141" t="n">
        <x:v>12</x:v>
      </x:c>
      <x:c r="C26" s="86" t="inlineStr">
        <x:is>
          <x:t xml:space="preserve">NY/CT upscale</x:t>
        </x:is>
      </x:c>
      <x:c r="D26" s="86" t="inlineStr">
        <x:is>
          <x:t xml:space="preserve">No</x:t>
        </x:is>
      </x:c>
      <x:c r="E26" s="86" t="inlineStr">
        <x:is>
          <x:t xml:space="preserve">https://www.deciccoandsons.com/locations/</x:t>
        </x:is>
      </x:c>
      <x:c r="F26" s="86" t="inlineStr">
        <x:is>
          <x:t xml:space="preserve">12 current locations</x:t>
        </x:is>
      </x:c>
      <x:c r="G26" s="86" t="inlineStr">
        <x:is>
          <x:t xml:space="preserve">Official/current locator verified for count; complete current geocoded point set not obtained in-session.</x:t>
        </x:is>
      </x:c>
    </x:row>
    <x:row r="27">
      <x:c r="A27" s="86" t="inlineStr">
        <x:is>
          <x:t xml:space="preserve">Kowalski's Markets</x:t>
        </x:is>
      </x:c>
      <x:c r="B27" s="141" t="n">
        <x:v>11</x:v>
      </x:c>
      <x:c r="C27" s="86" t="inlineStr">
        <x:is>
          <x:t xml:space="preserve">Twin Cities premium</x:t>
        </x:is>
      </x:c>
      <x:c r="D27" s="86" t="inlineStr">
        <x:is>
          <x:t xml:space="preserve">No</x:t>
        </x:is>
      </x:c>
      <x:c r="E27" s="86" t="inlineStr">
        <x:is>
          <x:t xml:space="preserve">https://www.kowalskis.com/locations</x:t>
        </x:is>
      </x:c>
      <x:c r="F27" s="86" t="inlineStr">
        <x:is>
          <x:t xml:space="preserve">11 current grocery locations</x:t>
        </x:is>
      </x:c>
      <x:c r="G27" s="86" t="inlineStr">
        <x:is>
          <x:t xml:space="preserve">Official/current locator verified for count; complete current geocoded point set not obtained in-session.</x:t>
        </x:is>
      </x:c>
    </x:row>
    <x:row r="28">
      <x:c r="A28" s="86" t="inlineStr">
        <x:is>
          <x:t xml:space="preserve">Central Market (H-E-B)</x:t>
        </x:is>
      </x:c>
      <x:c r="B28" s="141" t="n">
        <x:v>10</x:v>
      </x:c>
      <x:c r="C28" s="86" t="inlineStr">
        <x:is>
          <x:t xml:space="preserve">Texas gourmet/specialty</x:t>
        </x:is>
      </x:c>
      <x:c r="D28" s="86" t="inlineStr">
        <x:is>
          <x:t xml:space="preserve">No</x:t>
        </x:is>
      </x:c>
      <x:c r="E28" s="86" t="inlineStr">
        <x:is>
          <x:t xml:space="preserve">https://www.centralmarket.com/locations</x:t>
        </x:is>
      </x:c>
      <x:c r="F28" s="86" t="inlineStr">
        <x:is>
          <x:t xml:space="preserve">10 current Central Market stores</x:t>
        </x:is>
      </x:c>
      <x:c r="G28" s="86" t="inlineStr">
        <x:is>
          <x:t xml:space="preserve">Official/current locator verified for count; complete current geocoded point set not obtained in-session.</x:t>
        </x:is>
      </x:c>
    </x:row>
    <x:row r="29">
      <x:c r="A29" s="86" t="inlineStr">
        <x:is>
          <x:t xml:space="preserve">Metropolitan Market</x:t>
        </x:is>
      </x:c>
      <x:c r="B29" s="141" t="n">
        <x:v>10</x:v>
      </x:c>
      <x:c r="C29" s="86" t="inlineStr">
        <x:is>
          <x:t xml:space="preserve">Puget Sound premium</x:t>
        </x:is>
      </x:c>
      <x:c r="D29" s="86" t="inlineStr">
        <x:is>
          <x:t xml:space="preserve">No</x:t>
        </x:is>
      </x:c>
      <x:c r="E29" s="86" t="inlineStr">
        <x:is>
          <x:t xml:space="preserve">https://www.metropolitan-market.com/locations</x:t>
        </x:is>
      </x:c>
      <x:c r="F29" s="86" t="inlineStr">
        <x:is>
          <x:t xml:space="preserve">10 current locations</x:t>
        </x:is>
      </x:c>
      <x:c r="G29" s="86" t="inlineStr">
        <x:is>
          <x:t xml:space="preserve">Official/current locator verified for count; complete current geocoded point set not obtained in-session.</x:t>
        </x:is>
      </x:c>
    </x:row>
    <x:row r="30">
      <x:c r="A30" s="86" t="inlineStr">
        <x:is>
          <x:t xml:space="preserve">Lassen's Natural Foods</x:t>
        </x:is>
      </x:c>
      <x:c r="B30" s="141" t="n">
        <x:v>10</x:v>
      </x:c>
      <x:c r="C30" s="86" t="inlineStr">
        <x:is>
          <x:t xml:space="preserve">California natural/organic</x:t>
        </x:is>
      </x:c>
      <x:c r="D30" s="86" t="inlineStr">
        <x:is>
          <x:t xml:space="preserve">No</x:t>
        </x:is>
      </x:c>
      <x:c r="E30" s="86" t="inlineStr">
        <x:is>
          <x:t xml:space="preserve">https://www.lassens.com/location</x:t>
        </x:is>
      </x:c>
      <x:c r="F30" s="86" t="inlineStr">
        <x:is>
          <x:t xml:space="preserve">10 current locations</x:t>
        </x:is>
      </x:c>
      <x:c r="G30" s="86" t="inlineStr">
        <x:is>
          <x:t xml:space="preserve">Official/current locator verified for count; complete current geocoded point set not obtained in-session.</x:t>
        </x:is>
      </x:c>
    </x:row>
    <x:row r="31">
      <x:c r="A31" s="86" t="inlineStr">
        <x:is>
          <x:t xml:space="preserve">Kimberton Whole Foods</x:t>
        </x:is>
      </x:c>
      <x:c r="B31" s="141" t="n">
        <x:v>8</x:v>
      </x:c>
      <x:c r="C31" s="86" t="inlineStr">
        <x:is>
          <x:t xml:space="preserve">Southeastern Pennsylvania organic/local</x:t>
        </x:is>
      </x:c>
      <x:c r="D31" s="86" t="inlineStr">
        <x:is>
          <x:t xml:space="preserve">No</x:t>
        </x:is>
      </x:c>
      <x:c r="E31" s="86" t="inlineStr">
        <x:is>
          <x:t xml:space="preserve">https://www.kimbertonwholefoods.com/locations/</x:t>
        </x:is>
      </x:c>
      <x:c r="F31" s="86" t="inlineStr">
        <x:is>
          <x:t xml:space="preserve">8 current grocery stores; Garden &amp; Gift Shop excluded</x:t>
        </x:is>
      </x:c>
      <x:c r="G31" s="86" t="inlineStr">
        <x:is>
          <x:t xml:space="preserve">Official/current locator verified for count; complete current geocoded point set not obtained in-session.</x:t>
        </x:is>
      </x:c>
    </x:row>
    <x:row r="32">
      <x:c r="A32" s="86" t="inlineStr">
        <x:is>
          <x:t xml:space="preserve">Citarella</x:t>
        </x:is>
      </x:c>
      <x:c r="B32" s="141" t="n">
        <x:v>8</x:v>
      </x:c>
      <x:c r="C32" s="86" t="inlineStr">
        <x:is>
          <x:t xml:space="preserve">NYC/Hamptons/Greenwich gourmet</x:t>
        </x:is>
      </x:c>
      <x:c r="D32" s="86" t="inlineStr">
        <x:is>
          <x:t xml:space="preserve">No</x:t>
        </x:is>
      </x:c>
      <x:c r="E32" s="86" t="inlineStr">
        <x:is>
          <x:t xml:space="preserve">https://www.citarella.com/markets/store_locator</x:t>
        </x:is>
      </x:c>
      <x:c r="F32" s="86" t="inlineStr">
        <x:is>
          <x:t xml:space="preserve">8 grocery markets; separate wine/spirits location excluded</x:t>
        </x:is>
      </x:c>
      <x:c r="G32" s="86" t="inlineStr">
        <x:is>
          <x:t xml:space="preserve">Official/current locator verified for count; complete current geocoded point set not obtained in-session.</x:t>
        </x:is>
      </x:c>
    </x:row>
    <x:row r="33">
      <x:c r="A33" s="86" t="inlineStr">
        <x:is>
          <x:t xml:space="preserve">Balducci's</x:t>
        </x:is>
      </x:c>
      <x:c r="B33" s="141" t="n">
        <x:v>7</x:v>
      </x:c>
      <x:c r="C33" s="86" t="inlineStr">
        <x:is>
          <x:t xml:space="preserve">NY/CT/MD/VA gourmet</x:t>
        </x:is>
      </x:c>
      <x:c r="D33" s="86" t="inlineStr">
        <x:is>
          <x:t xml:space="preserve">No</x:t>
        </x:is>
      </x:c>
      <x:c r="E33" s="86" t="inlineStr">
        <x:is>
          <x:t xml:space="preserve">https://www.balduccis.com/locations/</x:t>
        </x:is>
      </x:c>
      <x:c r="F33" s="86" t="inlineStr">
        <x:is>
          <x:t xml:space="preserve">7 current locations</x:t>
        </x:is>
      </x:c>
      <x:c r="G33" s="86" t="inlineStr">
        <x:is>
          <x:t xml:space="preserve">Official/current locator verified for count; complete current geocoded point set not obtained in-session.</x:t>
        </x:is>
      </x:c>
    </x:row>
    <x:row r="34">
      <x:c r="A34" s="86" t="inlineStr">
        <x:is>
          <x:t xml:space="preserve">Lazy Acres Natural Market</x:t>
        </x:is>
      </x:c>
      <x:c r="B34" s="141" t="n">
        <x:v>6</x:v>
      </x:c>
      <x:c r="C34" s="86" t="inlineStr">
        <x:is>
          <x:t xml:space="preserve">Southern California natural/premium</x:t>
        </x:is>
      </x:c>
      <x:c r="D34" s="86" t="inlineStr">
        <x:is>
          <x:t xml:space="preserve">No</x:t>
        </x:is>
      </x:c>
      <x:c r="E34" s="86" t="inlineStr">
        <x:is>
          <x:t xml:space="preserve">https://lazyacres.com/locations/</x:t>
        </x:is>
      </x:c>
      <x:c r="F34" s="86" t="inlineStr">
        <x:is>
          <x:t xml:space="preserve">6 current locations</x:t>
        </x:is>
      </x:c>
      <x:c r="G34" s="86" t="inlineStr">
        <x:is>
          <x:t xml:space="preserve">Official/current locator verified for count; complete current geocoded point set not obtained in-session.</x:t>
        </x:is>
      </x:c>
    </x:row>
    <x:row r="35">
      <x:c r="A35" s="86" t="inlineStr">
        <x:is>
          <x:t xml:space="preserve">Plum Market</x:t>
        </x:is>
      </x:c>
      <x:c r="B35" s="141" t="n">
        <x:v>6</x:v>
      </x:c>
      <x:c r="C35" s="86" t="inlineStr">
        <x:is>
          <x:t xml:space="preserve">Michigan/Chicago premium natural</x:t>
        </x:is>
      </x:c>
      <x:c r="D35" s="86" t="inlineStr">
        <x:is>
          <x:t xml:space="preserve">No</x:t>
        </x:is>
      </x:c>
      <x:c r="E35" s="86" t="inlineStr">
        <x:is>
          <x:t xml:space="preserve">https://www.plummarket.com/locations/</x:t>
        </x:is>
      </x:c>
      <x:c r="F35" s="86" t="inlineStr">
        <x:is>
          <x:t xml:space="preserve">6 grocery locations</x:t>
        </x:is>
      </x:c>
      <x:c r="G35" s="86" t="inlineStr">
        <x:is>
          <x:t xml:space="preserve">Official/current locator verified for count; complete current geocoded point set not obtained in-session.</x:t>
        </x:is>
      </x:c>
    </x:row>
    <x:row r="36">
      <x:c r="A36" s="86" t="inlineStr">
        <x:is>
          <x:t xml:space="preserve">Dorothy Lane Market</x:t>
        </x:is>
      </x:c>
      <x:c r="B36" s="141" t="n">
        <x:v>4</x:v>
      </x:c>
      <x:c r="C36" s="86" t="inlineStr">
        <x:is>
          <x:t xml:space="preserve">Ohio gourmet/premium</x:t>
        </x:is>
      </x:c>
      <x:c r="D36" s="86" t="inlineStr">
        <x:is>
          <x:t xml:space="preserve">No</x:t>
        </x:is>
      </x:c>
      <x:c r="E36" s="86" t="inlineStr">
        <x:is>
          <x:t xml:space="preserve">https://www.dorothylane.com/locations</x:t>
        </x:is>
      </x:c>
      <x:c r="F36" s="86" t="inlineStr">
        <x:is>
          <x:t xml:space="preserve">4 grocery stores; Culinary Center / Love Cakes excluded</x:t>
        </x:is>
      </x:c>
      <x:c r="G36" s="86" t="inlineStr">
        <x:is>
          <x:t xml:space="preserve">Official/current locator verified for count; complete current geocoded point set not obtained in-session.</x:t>
        </x:is>
      </x:c>
    </x:row>
    <x:row r="37">
      <x:c r="A37" s="86" t="inlineStr">
        <x:is>
          <x:t xml:space="preserve">Oliver's Market</x:t>
        </x:is>
      </x:c>
      <x:c r="B37" s="141" t="n">
        <x:v>4</x:v>
      </x:c>
      <x:c r="C37" s="86" t="inlineStr">
        <x:is>
          <x:t xml:space="preserve">Sonoma County natural/local</x:t>
        </x:is>
      </x:c>
      <x:c r="D37" s="86" t="inlineStr">
        <x:is>
          <x:t xml:space="preserve">No</x:t>
        </x:is>
      </x:c>
      <x:c r="E37" s="86" t="inlineStr">
        <x:is>
          <x:t xml:space="preserve">https://www.oliversmarket.com/locations/</x:t>
        </x:is>
      </x:c>
      <x:c r="F37" s="86" t="inlineStr">
        <x:is>
          <x:t xml:space="preserve">4 Sonoma County locations</x:t>
        </x:is>
      </x:c>
      <x:c r="G37" s="86" t="inlineStr">
        <x:is>
          <x:t xml:space="preserve">Official/current locator verified for count; complete current geocoded point set not obtained in-session.</x:t>
        </x:is>
      </x:c>
    </x:row>
    <x:row r="38">
      <x:c r="A38" s="86" t="inlineStr">
        <x:is>
          <x:t xml:space="preserve">Jimbo's…Naturally!</x:t>
        </x:is>
      </x:c>
      <x:c r="B38" s="141" t="n">
        <x:v>4</x:v>
      </x:c>
      <x:c r="C38" s="86" t="inlineStr">
        <x:is>
          <x:t xml:space="preserve">San Diego County organic/natural</x:t>
        </x:is>
      </x:c>
      <x:c r="D38" s="86" t="inlineStr">
        <x:is>
          <x:t xml:space="preserve">No</x:t>
        </x:is>
      </x:c>
      <x:c r="E38" s="86" t="inlineStr">
        <x:is>
          <x:t xml:space="preserve">https://jimbos.com/locations/</x:t>
        </x:is>
      </x:c>
      <x:c r="F38" s="86" t="inlineStr">
        <x:is>
          <x:t xml:space="preserve">4 current locations; future announced stores excluded</x:t>
        </x:is>
      </x:c>
      <x:c r="G38" s="86" t="inlineStr">
        <x:is>
          <x:t xml:space="preserve">Official/current locator verified for count; complete current geocoded point set not obtained in-session.</x:t>
        </x:is>
      </x:c>
    </x:row>
    <x:row r="39">
      <x:c r="A39" s="86" t="inlineStr">
        <x:is>
          <x:t xml:space="preserve">Clark's Nutrition</x:t>
        </x:is>
      </x:c>
      <x:c r="B39" s="141" t="n">
        <x:v>3</x:v>
      </x:c>
      <x:c r="C39" s="86" t="inlineStr">
        <x:is>
          <x:t xml:space="preserve">Inland Southern California natural</x:t>
        </x:is>
      </x:c>
      <x:c r="D39" s="86" t="inlineStr">
        <x:is>
          <x:t xml:space="preserve">No</x:t>
        </x:is>
      </x:c>
      <x:c r="E39" s="86" t="inlineStr">
        <x:is>
          <x:t xml:space="preserve">https://clarksnutrition.com/locations</x:t>
        </x:is>
      </x:c>
      <x:c r="F39" s="86" t="inlineStr">
        <x:is>
          <x:t xml:space="preserve">3 current locations</x:t>
        </x:is>
      </x:c>
      <x:c r="G39" s="86" t="inlineStr">
        <x:is>
          <x:t xml:space="preserve">Official/current locator verified for count; complete current geocoded point set not obtained in-session.</x:t>
        </x:is>
      </x:c>
    </x:row>
  </x:sheetData>
  <x:mergeCells>
    <x:mergeCell ref="A2:E2"/>
    <x:mergeCell ref="A1:E1"/>
    <x:mergeCell ref="A1:G1"/>
  </x:mergeCells>
  <x:pageMargins left="0.7" right="0.7" top="0.75" bottom="0.75" header="0.3" footer="0.3"/>
  <x:tableParts count="1">
    <x:tablePart xmlns:r="http://schemas.openxmlformats.org/officeDocument/2006/relationships" r:id="R6f64266cc867433a"/>
  </x:tableParts>
</x:worksheet>
</file>

<file path=xl/worksheets/sheet3.xml><?xml version="1.0" encoding="utf-8"?>
<x:worksheet xmlns:x="http://schemas.openxmlformats.org/spreadsheetml/2006/main">
  <x:sheetFormatPr baseColWidth="8" defaultRowHeight="15"/>
  <x:cols>
    <x:col min="1" max="1" width="28" style="44" customWidth="1"/>
    <x:col min="2" max="2" width="55" style="44" customWidth="1"/>
    <x:col min="3" max="3" width="55" style="44" customWidth="1"/>
    <x:col min="4" max="4" width="46" style="44" customWidth="1"/>
  </x:cols>
  <x:sheetData>
    <x:row r="1" s="44" customFormat="1" ht="28" customHeight="1">
      <x:c r="A1" s="9" t="inlineStr">
        <x:is>
          <x:t xml:space="preserve">Methodology, Limitations &amp; Exact GIS Specification — Final</x:t>
        </x:is>
      </x:c>
      <x:c r="B1" s="1" t="n"/>
      <x:c r="C1" s="1" t="n"/>
      <x:c r="D1" s="1" t="n"/>
    </x:row>
    <x:row r="2"/>
    <x:row r="3">
      <x:c r="A3" s="22" t="inlineStr">
        <x:is>
          <x:t xml:space="preserve">Item</x:t>
        </x:is>
      </x:c>
      <x:c r="B3" s="22" t="inlineStr">
        <x:is>
          <x:t xml:space="preserve">Exact requested method</x:t>
        </x:is>
      </x:c>
      <x:c r="C3" s="22" t="inlineStr">
        <x:is>
          <x:t xml:space="preserve">Recovery workbook method</x:t>
        </x:is>
      </x:c>
      <x:c r="D3" s="22" t="inlineStr">
        <x:is>
          <x:t xml:space="preserve">Implication</x:t>
        </x:is>
      </x:c>
    </x:row>
    <x:row r="4">
      <x:c r="A4" s="28" t="inlineStr">
        <x:is>
          <x:t xml:space="preserve">Store universe</x:t>
        </x:is>
      </x:c>
      <x:c r="B4" s="28" t="inlineStr">
        <x:is>
          <x:t xml:space="preserve">All locations for all 35 selected chains</x:t>
        </x:is>
      </x:c>
      <x:c r="C4" s="28" t="inlineStr">
        <x:is>
          <x:t xml:space="preserve">Partial verified city counts for five chains + screening floor where unenumerated</x:t>
        </x:is>
      </x:c>
      <x:c r="D4" s="28" t="inlineStr">
        <x:is>
          <x:t xml:space="preserve">Numerator is a lower-bound/proxy</x:t>
        </x:is>
      </x:c>
    </x:row>
    <x:row r="5">
      <x:c r="A5" s="28" t="inlineStr">
        <x:is>
          <x:t xml:space="preserve">Geography</x:t>
        </x:is>
      </x:c>
      <x:c r="B5" s="28" t="inlineStr">
        <x:is>
          <x:t xml:space="preserve">467-city screening set, including successive restricted-state county-completion passes for Census Vintage 2025 city-form municipalities ≥50,000</x:t>
        </x:is>
      </x:c>
      <x:c r="C5" s="28" t="inlineStr">
        <x:is>
          <x:t xml:space="preserve">467-city screening set; latest pass adds the only two remaining substantiated qualifying counties under the current city-form convention</x:t>
        </x:is>
      </x:c>
      <x:c r="D5" s="28" t="inlineStr">
        <x:is>
          <x:t xml:space="preserve">Not exhaustive; towns, townships, villages, CDPs, and multi-county duplicate city rows remain governed by the established inclusion/canonical-assignment rules</x:t>
        </x:is>
      </x:c>
    </x:row>
    <x:row r="6">
      <x:c r="A6" s="28" t="inlineStr">
        <x:is>
          <x:t xml:space="preserve">5-mile rule</x:t>
        </x:is>
      </x:c>
      <x:c r="B6" s="28" t="inlineStr">
        <x:is>
          <x:t xml:space="preserve">Buffer each city polygon outward 5.000 miles; count all selected stores intersecting the buffer</x:t>
        </x:is>
      </x:c>
      <x:c r="C6" s="28" t="inlineStr">
        <x:is>
          <x:t xml:space="preserve">No spatial buffer executed after GIS bulk-data handoff failed</x:t>
        </x:is>
      </x:c>
      <x:c r="D6" s="28" t="inlineStr">
        <x:is>
          <x:t xml:space="preserve">Nearby stores may be omitted</x:t>
        </x:is>
      </x:c>
    </x:row>
    <x:row r="7">
      <x:c r="A7" s="28" t="inlineStr">
        <x:is>
          <x:t xml:space="preserve">Double counting</x:t>
        </x:is>
      </x:c>
      <x:c r="B7" s="28" t="inlineStr">
        <x:is>
          <x:t xml:space="preserve">Store can count toward multiple cities if within 5 miles of multiple city limits</x:t>
        </x:is>
      </x:c>
      <x:c r="C7" s="28" t="inlineStr">
        <x:is>
          <x:t xml:space="preserve">Allowed in exact specification</x:t>
        </x:is>
      </x:c>
      <x:c r="D7" s="28" t="inlineStr">
        <x:is>
          <x:t xml:space="preserve">Correct behavior for final GIS analysis</x:t>
        </x:is>
      </x:c>
    </x:row>
    <x:row r="8">
      <x:c r="A8" s="28" t="inlineStr">
        <x:is>
          <x:t xml:space="preserve">Density</x:t>
        </x:is>
      </x:c>
      <x:c r="B8" s="28" t="inlineStr">
        <x:is>
          <x:t xml:space="preserve">Buffered store count / ORIGINAL city land area</x:t>
        </x:is>
      </x:c>
      <x:c r="C8" s="28" t="inlineStr">
        <x:is>
          <x:t xml:space="preserve">Proxy/lower-bound count / city land area</x:t>
        </x:is>
      </x:c>
      <x:c r="D8" s="28" t="inlineStr">
        <x:is>
          <x:t xml:space="preserve">Denominator follows requested rule</x:t>
        </x:is>
      </x:c>
    </x:row>
    <x:row r="9">
      <x:c r="A9" s="28" t="inlineStr">
        <x:is>
          <x:t xml:space="preserve">Ranking</x:t>
        </x:is>
      </x:c>
      <x:c r="B9" s="28" t="inlineStr">
        <x:is>
          <x:t xml:space="preserve">All qualifying U.S. cities, descending density</x:t>
        </x:is>
      </x:c>
      <x:c r="C9" s="28" t="inlineStr">
        <x:is>
          <x:t xml:space="preserve">467-city screening set, descending proxy density</x:t>
        </x:is>
      </x:c>
      <x:c r="D9" s="28" t="inlineStr">
        <x:is>
          <x:t xml:space="preserve">Screening only; not publishable final ranking</x:t>
        </x:is>
      </x:c>
    </x:row>
    <x:row r="10">
      <x:c r="A10" s="28" t="inlineStr">
        <x:is>
          <x:t xml:space="preserve">Production rerun</x:t>
        </x:is>
      </x:c>
      <x:c r="B10" s="28" t="inlineStr">
        <x:is>
          <x:t xml:space="preserve">Current store points → Census TIGER/Line places → project to a distance-preserving CRS → 5.000-mile outward buffer → spatial join → aggregate → divide by original ALAND_SQMI → rank</x:t>
        </x:is>
      </x:c>
      <x:c r="C10" s="28" t="inlineStr">
        <x:is>
          <x:t xml:space="preserve">Specification preserved; current session lacked a complete, current point set for all 35 chains</x:t>
        </x:is>
      </x:c>
      <x:c r="D10" s="28" t="inlineStr">
        <x:is>
          <x:t xml:space="preserve">Required before treating rankings as exact</x:t>
        </x:is>
      </x:c>
    </x:row>
    <x:row r="11"/>
    <x:row r="12"/>
    <x:row r="13">
      <x:c r="A13" s="22" t="inlineStr">
        <x:is>
          <x:t xml:space="preserve">Reference</x:t>
        </x:is>
      </x:c>
      <x:c r="B13" s="22" t="inlineStr">
        <x:is>
          <x:t xml:space="preserve">URL</x:t>
        </x:is>
      </x:c>
    </x:row>
    <x:row r="14">
      <x:c r="A14" s="28" t="inlineStr">
        <x:is>
          <x:t xml:space="preserve">Census/18F area dataset</x:t>
        </x:is>
      </x:c>
      <x:c r="B14" s="28" t="inlineStr">
        <x:is>
          <x:t xml:space="preserve">https://github.com/18F/open-data-maker/blob/dev/sample-data/cities100.csv</x:t>
        </x:is>
      </x:c>
    </x:row>
    <x:row r="15">
      <x:c r="A15" s="28" t="inlineStr">
        <x:is>
          <x:t xml:space="preserve">Census 2025 Gazetteer</x:t>
        </x:is>
      </x:c>
      <x:c r="B15" s="28" t="inlineStr">
        <x:is>
          <x:t xml:space="preserve">https://www.census.gov/geographies/reference-files/time-series/geo/gazetteer-files.2025.html</x:t>
        </x:is>
      </x:c>
    </x:row>
    <x:row r="16">
      <x:c r="A16" s="28" t="inlineStr">
        <x:is>
          <x:t xml:space="preserve">All The Places</x:t>
        </x:is>
      </x:c>
      <x:c r="B16" s="28" t="inlineStr">
        <x:is>
          <x:t xml:space="preserve">https://www.alltheplaces.xyz/</x:t>
        </x:is>
      </x:c>
    </x:row>
    <x:row r="17">
      <x:c r="A17" s="28" t="inlineStr">
        <x:is>
          <x:t xml:space="preserve">All The Places API</x:t>
        </x:is>
      </x:c>
      <x:c r="B17" s="28" t="inlineStr">
        <x:is>
          <x:t xml:space="preserve">https://github.com/alltheplaces/alltheplaces/blob/master/API.md</x:t>
        </x:is>
      </x:c>
    </x:row>
    <x:row r="18">
      <x:c r="A18" s="28" t="inlineStr">
        <x:is>
          <x:t xml:space="preserve">Trader Joe's historical geocoded reference</x:t>
        </x:is>
      </x:c>
      <x:c r="B18" s="28" t="inlineStr">
        <x:is>
          <x:t xml:space="preserve">https://github.com/stiles/locations</x:t>
        </x:is>
      </x:c>
    </x:row>
    <x:row r="19"/>
    <x:row r="20">
      <x:c r="A20" s="49" t="inlineStr">
        <x:is>
          <x:t xml:space="preserve">County aggregation</x:t>
        </x:is>
      </x:c>
      <x:c r="B20" s="49" t="inlineStr">
        <x:is>
          <x:t xml:space="preserve">County join key</x:t>
        </x:is>
      </x:c>
      <x:c r="C20" s="49" t="inlineStr">
        <x:is>
          <x:t xml:space="preserve">County land area</x:t>
        </x:is>
      </x:c>
      <x:c r="D20" s="49" t="inlineStr">
        <x:is>
          <x:t xml:space="preserve">Ranking rule</x:t>
        </x:is>
      </x:c>
    </x:row>
    <x:row r="21">
      <x:c r="A21" s="28" t="inlineStr">
        <x:is>
          <x:t xml:space="preserve">City-to-county mapping</x:t>
        </x:is>
      </x:c>
      <x:c r="B21" s="28" t="inlineStr">
        <x:is>
          <x:t xml:space="preserve">County names match rankings.csv exactly; multi-county cities use a single primary/central county for a stable join key.</x:t>
        </x:is>
      </x:c>
      <x:c r="C21" s="28" t="inlineStr">
        <x:is>
          <x:t xml:space="preserve">2021 U.S. Census Gazetteer ALAND_SQMI</x:t>
        </x:is>
      </x:c>
      <x:c r="D21" s="28" t="inlineStr">
        <x:is>
          <x:t xml:space="preserve">County proxy store total / county land area, sorted descending.</x:t>
        </x:is>
      </x:c>
    </x:row>
    <x:row r="22">
      <x:c r="A22" s="28" t="inlineStr">
        <x:is>
          <x:t xml:space="preserve">Aggregation caveat</x:t>
        </x:is>
      </x:c>
      <x:c r="B22" s="28" t="inlineStr">
        <x:is>
          <x:t xml:space="preserve">County totals sum the city-sheet rows assigned to the county.</x:t>
        </x:is>
      </x:c>
      <x:c r="C22" s="28" t="inlineStr">
        <x:is>
          <x:t xml:space="preserve">Land area excludes water</x:t>
        </x:is>
      </x:c>
      <x:c r="D22" s="28" t="inlineStr">
        <x:is>
          <x:t xml:space="preserve">This does not deduplicate stores that could be counted by overlapping city 5-mile catchments.</x:t>
        </x:is>
      </x:c>
    </x:row>
    <x:row r="23"/>
    <x:row r="24">
      <x:c r="A24" s="99" t="inlineStr">
        <x:is>
          <x:t xml:space="preserve">200-city expansion</x:t>
        </x:is>
      </x:c>
      <x:c r="B24" s="99" t="inlineStr">
        <x:is>
          <x:t xml:space="preserve">Universe</x:t>
        </x:is>
      </x:c>
      <x:c r="C24" s="99" t="inlineStr">
        <x:is>
          <x:t xml:space="preserve">Land area</x:t>
        </x:is>
      </x:c>
      <x:c r="D24" s="99" t="inlineStr">
        <x:is>
          <x:t xml:space="preserve">County handling</x:t>
        </x:is>
      </x:c>
    </x:row>
    <x:row r="25">
      <x:c r="A25" s="28" t="inlineStr">
        <x:is>
          <x:t xml:space="preserve">Expansion basis</x:t>
        </x:is>
      </x:c>
      <x:c r="B25" s="28" t="inlineStr">
        <x:is>
          <x:t xml:space="preserve">Added 100 cities from the 2025 Census-backed U.S. incorporated-city population table, excluding Laredo and Brownsville from this screening expansion.</x:t>
        </x:is>
      </x:c>
      <x:c r="C25" s="28" t="inlineStr">
        <x:is>
          <x:t xml:space="preserve">2020 Census land area as displayed in the 2025 city table.</x:t>
        </x:is>
      </x:c>
      <x:c r="D25" s="28" t="inlineStr">
        <x:is>
          <x:t xml:space="preserve">County names match rankings.csv exactly.</x:t>
        </x:is>
      </x:c>
    </x:row>
    <x:row r="26">
      <x:c r="A26" s="28" t="inlineStr">
        <x:is>
          <x:t xml:space="preserve">Screening rule</x:t>
        </x:is>
      </x:c>
      <x:c r="B26" s="28" t="inlineStr">
        <x:is>
          <x:t xml:space="preserve">Each added city receives a one-store screening floor; this is not an exact store count.</x:t>
        </x:is>
      </x:c>
      <x:c r="C26" s="28" t="inlineStr">
        <x:is>
          <x:t xml:space="preserve">City density is screening floor / city land area unless a prior verified lower-bound count already existed.</x:t>
        </x:is>
      </x:c>
      <x:c r="D26" s="28" t="inlineStr">
        <x:is>
          <x:t xml:space="preserve">New counties without an existing verified land-area denominator are included but left unranked.</x:t>
        </x:is>
      </x:c>
    </x:row>
    <x:row r="27"/>
    <x:row r="28">
      <x:c r="A28" s="116" t="inlineStr">
        <x:is>
          <x:t xml:space="preserve">250-city expansion</x:t>
        </x:is>
      </x:c>
      <x:c r="B28" s="116" t="inlineStr">
        <x:is>
          <x:t xml:space="preserve">County area completion</x:t>
        </x:is>
      </x:c>
      <x:c r="C28" s="116" t="inlineStr">
        <x:is>
          <x:t xml:space="preserve">Estimation method</x:t>
        </x:is>
      </x:c>
      <x:c r="D28" s="116" t="inlineStr">
        <x:is>
          <x:t xml:space="preserve">Ranking</x:t>
        </x:is>
      </x:c>
    </x:row>
    <x:row r="29">
      <x:c r="A29" s="28" t="inlineStr">
        <x:is>
          <x:t xml:space="preserve">Universe</x:t>
        </x:is>
      </x:c>
      <x:c r="B29" s="28" t="inlineStr">
        <x:is>
          <x:t xml:space="preserve">Added the next 50 unique cities from the Census-backed 2025 U.S. city population table after the prior 200-city universe.</x:t>
        </x:is>
      </x:c>
      <x:c r="C29" s="28" t="inlineStr">
        <x:is>
          <x:t xml:space="preserve">City land area uses the table's 2020 Census land-area field.</x:t>
        </x:is>
      </x:c>
      <x:c r="D29" s="28" t="inlineStr">
        <x:is>
          <x:t xml:space="preserve">All 250 city rows are re-ranked by screening stores per city sq mi.</x:t>
        </x:is>
      </x:c>
    </x:row>
    <x:row r="30">
      <x:c r="A30" s="28" t="inlineStr">
        <x:is>
          <x:t xml:space="preserve">County denominator</x:t>
        </x:is>
      </x:c>
      <x:c r="B30" s="28" t="inlineStr">
        <x:is>
          <x:t xml:space="preserve">Previously verified county land areas are retained. Every missing county denominator is filled.</x:t>
        </x:is>
      </x:c>
      <x:c r="C30" s="28" t="inlineStr">
        <x:is>
          <x:t xml:space="preserve">Missing county land area = geodesic county polygon area × median land/total ratio calibrated from already-verified counties in the same state; national median used if the state has no calibration.</x:t>
        </x:is>
      </x:c>
      <x:c r="D30" s="28" t="inlineStr">
        <x:is>
          <x:t xml:space="preserve">All represented counties are ranked; no blank county density rows remain.</x:t>
        </x:is>
      </x:c>
    </x:row>
    <x:row r="31"/>
    <x:row r="32">
      <x:c r="A32" s="124" t="inlineStr">
        <x:is>
          <x:t xml:space="preserve">300-city expansion</x:t>
        </x:is>
      </x:c>
      <x:c r="B32" s="124" t="inlineStr">
        <x:is>
          <x:t xml:space="preserve">County area completeness</x:t>
        </x:is>
      </x:c>
      <x:c r="C32" s="124" t="inlineStr">
        <x:is>
          <x:t xml:space="preserve">Estimation method</x:t>
        </x:is>
      </x:c>
      <x:c r="D32" s="124" t="inlineStr">
        <x:is>
          <x:t xml:space="preserve">Ranking</x:t>
        </x:is>
      </x:c>
    </x:row>
    <x:row r="33">
      <x:c r="A33" s="28" t="inlineStr">
        <x:is>
          <x:t xml:space="preserve">Universe</x:t>
        </x:is>
      </x:c>
      <x:c r="B33" s="28" t="inlineStr">
        <x:is>
          <x:t xml:space="preserve">Added the next 50 cities in the Census-backed population ordering after Berkeley, CA: Independence, MO through Centennial, CO.</x:t>
        </x:is>
      </x:c>
      <x:c r="C33" s="28" t="inlineStr">
        <x:is>
          <x:t xml:space="preserve">City land area uses the listed 2020 Census land area.</x:t>
        </x:is>
      </x:c>
      <x:c r="D33" s="28" t="inlineStr">
        <x:is>
          <x:t xml:space="preserve">All 300 city rows are re-ranked by screening stores per city sq mi.</x:t>
        </x:is>
      </x:c>
    </x:row>
    <x:row r="34">
      <x:c r="A34" s="28" t="inlineStr">
        <x:is>
          <x:t xml:space="preserve">County denominator</x:t>
        </x:is>
      </x:c>
      <x:c r="B34" s="28" t="inlineStr">
        <x:is>
          <x:t xml:space="preserve">Existing verified/estimated areas are retained; newly introduced counties receive estimates rather than blanks.</x:t>
        </x:is>
      </x:c>
      <x:c r="C34" s="28" t="inlineStr">
        <x:is>
          <x:t xml:space="preserve">New county land area = geodesic county polygon area × median land/total calibration from verified counties in the same state; national median if necessary.</x:t>
        </x:is>
      </x:c>
      <x:c r="D34" s="28" t="inlineStr">
        <x:is>
          <x:t xml:space="preserve">All represented counties are ranked; no blank area or density cells remain.</x:t>
        </x:is>
      </x:c>
    </x:row>
    <x:row r="35">
      <x:c r="A35" s="28" t="inlineStr">
        <x:is>
          <x:t xml:space="preserve">378-city targeted completion</x:t>
        </x:is>
      </x:c>
      <x:c r="B35" s="28" t="inlineStr">
        <x:is>
          <x:t xml:space="preserve">Universe</x:t>
        </x:is>
      </x:c>
      <x:c r="C35" s="28" t="inlineStr">
        <x:is>
          <x:t xml:space="preserve">Land area / store estimate</x:t>
        </x:is>
      </x:c>
      <x:c r="D35" s="28" t="inlineStr">
        <x:is>
          <x:t xml:space="preserve">County handling</x:t>
        </x:is>
      </x:c>
    </x:row>
    <x:row r="36">
      <x:c r="A36" s="28" t="inlineStr">
        <x:is>
          <x:t xml:space="preserve">Next-five county completion</x:t>
        </x:is>
      </x:c>
      <x:c r="B36" s="28" t="inlineStr">
        <x:is>
          <x:t xml:space="preserve">Added 23 qualifying incorporated places in counties ranked 11–15 by original proxy/lower-bound store count after the first ten: Travis (TX), Orange (CA), Mecklenburg (NC), Marion (IN), and Broward (FL).</x:t>
        </x:is>
      </x:c>
      <x:c r="C36" s="28" t="inlineStr">
        <x:is>
          <x:t xml:space="preserve">Eligibility uses Census Vintage 2025 population estimates. Each newly added city receives the same one-store screening floor used in the prior targeted completions; city area uses Census geographic land-area values consistent with the workbook screening methodology.</x:t>
        </x:is>
      </x:c>
      <x:c r="D36" s="28" t="inlineStr">
        <x:is>
          <x:t xml:space="preserve">All additions map to already represented counties, so existing county FIPS and county land-area denominators are retained.</x:t>
        </x:is>
      </x:c>
    </x:row>
    <x:row r="37">
      <x:c r="A37" s="28" t="inlineStr">
        <x:is>
          <x:t xml:space="preserve">Ranking refresh</x:t>
        </x:is>
      </x:c>
      <x:c r="B37" s="28" t="inlineStr">
        <x:is>
          <x:t xml:space="preserve">All 378 city rows were re-ranked by screening stores per city sq mi after the additions.</x:t>
        </x:is>
      </x:c>
      <x:c r="C37" s="28" t="inlineStr">
        <x:is>
          <x:t xml:space="preserve">County totals and density ranks were rebuilt from all 378 city rows.</x:t>
        </x:is>
      </x:c>
      <x:c r="D37" s="28" t="inlineStr">
        <x:is>
          <x:t xml:space="preserve">County totals remain screening aggregates and do not deduplicate overlapping hypothetical 5-mile catchments.</x:t>
        </x:is>
      </x:c>
    </x:row>
    <x:row r="38">
      <x:c r="A38" t="inlineStr">
        <x:is>
          <x:t xml:space="preserve">400-city targeted completion</x:t>
        </x:is>
      </x:c>
      <x:c r="B38" t="inlineStr">
        <x:is>
          <x:t xml:space="preserve">Universe</x:t>
        </x:is>
      </x:c>
      <x:c r="C38" t="inlineStr">
        <x:is>
          <x:t xml:space="preserve">Land area / store estimate</x:t>
        </x:is>
      </x:c>
      <x:c r="D38" t="inlineStr">
        <x:is>
          <x:t xml:space="preserve">County handling</x:t>
        </x:is>
      </x:c>
    </x:row>
    <x:row r="39">
      <x:c r="A39" t="inlineStr">
        <x:is>
          <x:t xml:space="preserve">Next-five county completion</x:t>
        </x:is>
      </x:c>
      <x:c r="B39" t="inlineStr">
        <x:is>
          <x:t xml:space="preserve">Added 22 new qualifying city/state rows to complete counties ranked 16–20 by original proxy/lower-bound store count: District of Columbia; Harris (TX); Riverside (CA); Fulton (GA); and Alameda (CA). District of Columbia required no additions; League City, Pearland, and Corona were already present and were not duplicated.</x:t>
        </x:is>
      </x:c>
      <x:c r="C39" t="inlineStr">
        <x:is>
          <x:t xml:space="preserve">Eligibility uses Census Vintage 2025 population estimates. Each newly added city receives the same one-store screening floor used in prior targeted completions; city land area uses the 2025 Census Gazetteer place ALAND_SQMI field.</x:t>
        </x:is>
      </x:c>
      <x:c r="D39" t="inlineStr">
        <x:is>
          <x:t xml:space="preserve">All additions map to already represented counties. Existing canonical county assignments for previously present multi-county cities are retained to avoid duplicate city/state rows.</x:t>
        </x:is>
      </x:c>
    </x:row>
    <x:row r="40">
      <x:c r="A40" t="inlineStr">
        <x:is>
          <x:t xml:space="preserve">Ranking refresh</x:t>
        </x:is>
      </x:c>
      <x:c r="B40" t="inlineStr">
        <x:is>
          <x:t xml:space="preserve">All 400 city rows were re-ranked by screening stores per city sq mi after the additions.</x:t>
        </x:is>
      </x:c>
      <x:c r="C40" t="inlineStr">
        <x:is>
          <x:t xml:space="preserve">County totals and density ranks were rebuilt from all 400 city rows.</x:t>
        </x:is>
      </x:c>
      <x:c r="D40" t="inlineStr">
        <x:is>
          <x:t xml:space="preserve">County totals remain screening aggregates and do not deduplicate overlapping hypothetical 5-mile catchments.</x:t>
        </x:is>
      </x:c>
    </x:row>
    <x:row r="41">
      <x:c r="A41" t="inlineStr">
        <x:is>
          <x:t xml:space="preserve">412-city adjacent-county expansion</x:t>
        </x:is>
      </x:c>
      <x:c r="B41" t="inlineStr">
        <x:is>
          <x:t xml:space="preserve">Selection rule</x:t>
        </x:is>
      </x:c>
      <x:c r="C41" t="inlineStr">
        <x:is>
          <x:t xml:space="preserve">Eligibility / store estimate</x:t>
        </x:is>
      </x:c>
      <x:c r="D41" t="inlineStr">
        <x:is>
          <x:t xml:space="preserve">County handling</x:t>
        </x:is>
      </x:c>
    </x:row>
    <x:row r="42">
      <x:c r="A42" t="inlineStr">
        <x:is>
          <x:t xml:space="preserve">Adjacent-county selection</x:t>
        </x:is>
      </x:c>
      <x:c r="B42" t="inlineStr">
        <x:is>
          <x:t xml:space="preserve">From counties sharing a Census-defined border or point with the original top 20 store-count counties, excluded counties already represented in the workbook. Selected San Mateo (CA), Montgomery (MD), Cobb (GA), Hays (TX), and Fort Bend (TX), prioritizing the number of ≥50,000 incorporated cities with a verified tracked-chain presence; ties were broken by broader ≥50,000 city coverage.</x:t>
        </x:is>
      </x:c>
      <x:c r="C42" t="inlineStr">
        <x:is>
          <x:t xml:space="preserve">Eligibility uses Census Vintage 2025 incorporated-place population estimates. Verified Whole Foods/Sprouts city counts are carried as screening lower bounds; otherwise the existing one-store presence floor is used.</x:t>
        </x:is>
      </x:c>
      <x:c r="D42" t="inlineStr">
        <x:is>
          <x:t xml:space="preserve">Five new county rows use verified Census county land-area denominators. Census 2026 County Adjacency defines adjacency as sharing an edge or point.</x:t>
        </x:is>
      </x:c>
    </x:row>
    <x:row r="43">
      <x:c r="A43" t="inlineStr">
        <x:is>
          <x:t xml:space="preserve">Completion / ranking refresh</x:t>
        </x:is>
      </x:c>
      <x:c r="B43" t="inlineStr">
        <x:is>
          <x:t xml:space="preserve">Added 12 genuinely new city/state rows across the five selected counties. Missouri City, TX also qualifies in Fort Bend County but was already present under its canonical Harris County assignment and was not duplicated.</x:t>
        </x:is>
      </x:c>
      <x:c r="C43" t="inlineStr">
        <x:is>
          <x:t xml:space="preserve">All 412 city rows were re-ranked by proxy/lower-bound stores per city sq mi. City land area for added rows uses Census TIGERweb/Gazetteer-equivalent 2025 place land area.</x:t>
        </x:is>
      </x:c>
      <x:c r="D43" t="inlineStr">
        <x:is>
          <x:t xml:space="preserve">County totals and density ranks were rebuilt across 207 represented counties/county equivalents; multi-county cities keep one canonical county assignment to preserve the workbook's no-duplicate city/state rule.</x:t>
        </x:is>
      </x:c>
    </x:row>
    <x:row r="44">
      <x:c r="A44" t="inlineStr">
        <x:is>
          <x:t xml:space="preserve">420-city second adjacent-county expansion</x:t>
        </x:is>
      </x:c>
      <x:c r="B44" t="inlineStr">
        <x:is>
          <x:t xml:space="preserve">Selection rule</x:t>
        </x:is>
      </x:c>
      <x:c r="C44" t="inlineStr">
        <x:is>
          <x:t xml:space="preserve">Eligibility / store estimate</x:t>
        </x:is>
      </x:c>
      <x:c r="D44" t="inlineStr">
        <x:is>
          <x:t xml:space="preserve">County handling</x:t>
        </x:is>
      </x:c>
    </x:row>
    <x:row r="45">
      <x:c r="A45" t="inlineStr">
        <x:is>
          <x:t xml:space="preserve">Adjacent-county selection</x:t>
        </x:is>
      </x:c>
      <x:c r="B45" t="inlineStr">
        <x:is>
          <x:t xml:space="preserve">From the remaining counties sharing a Census-defined border or point with the original top 20 store-count counties, excluded counties already represented after the first adjacency pass. Selected Hamilton (IN), Pinal (AZ), Marin (CA), Santa Cruz (CA), and Johnson (IN), prioritizing qualifying ≥50,000 incorporated cities with verified tracked-chain presence.</x:t>
        </x:is>
      </x:c>
      <x:c r="C45" t="inlineStr">
        <x:is>
          <x:t xml:space="preserve">Eligibility uses Census Vintage 2025 incorporated-place population estimates. Verified Whole Foods, Sprouts, and Fresh Thyme locations are carried as lower bounds; otherwise the existing one-store screening floor is used.</x:t>
        </x:is>
      </x:c>
      <x:c r="D45" t="inlineStr">
        <x:is>
          <x:t xml:space="preserve">Five new county rows use verified Census 2025 Gazetteer county land-area denominators. Census 2026 County Adjacency defines adjacency as sharing an edge or point.</x:t>
        </x:is>
      </x:c>
    </x:row>
    <x:row r="46">
      <x:c r="A46" t="inlineStr">
        <x:is>
          <x:t xml:space="preserve">Completion / ranking refresh</x:t>
        </x:is>
      </x:c>
      <x:c r="B46" t="inlineStr">
        <x:is>
          <x:t xml:space="preserve">Added 8 new city/state rows across the five selected counties, bringing the screening universe to 420 cities.</x:t>
        </x:is>
      </x:c>
      <x:c r="C46" t="inlineStr">
        <x:is>
          <x:t xml:space="preserve">All city rows were re-ranked by proxy/lower-bound stores per city sq mi. Added city land areas use Census 2025 Gazetteer place ALAND_SQMI.</x:t>
        </x:is>
      </x:c>
      <x:c r="D46" t="inlineStr">
        <x:is>
          <x:t xml:space="preserve">County totals and density ranks were rebuilt across 212 represented counties/county equivalents.</x:t>
        </x:is>
      </x:c>
    </x:row>
    <x:row r="47">
      <x:c r="A47" t="inlineStr">
        <x:is>
          <x:t xml:space="preserve">Verified store examples</x:t>
        </x:is>
      </x:c>
      <x:c r="B47" t="inlineStr">
        <x:is>
          <x:t xml:space="preserve">Carmel/Fishers IN: Whole Foods/Fresh Thyme; Maricopa AZ: Sprouts; San Rafael CA and Santa Cruz CA: Whole Foods; Greenwood IN: Fresh Thyme.</x:t>
        </x:is>
      </x:c>
      <x:c r="C47" t="inlineStr">
        <x:is>
          <x:t xml:space="preserve">These are lower-bound confirmations, not exhaustive 35-chain inventories.</x:t>
        </x:is>
      </x:c>
      <x:c r="D47" t="inlineStr">
        <x:is>
          <x:t xml:space="preserve">Exact 5-mile buffered counts still require the production GIS rerun described above.</x:t>
        </x:is>
      </x:c>
    </x:row>
    <x:row r="48">
      <x:c r="A48" t="inlineStr">
        <x:is>
          <x:t xml:space="preserve">Restricted-state adjacency expansion</x:t>
        </x:is>
      </x:c>
      <x:c r="B48" t="inlineStr">
        <x:is>
          <x:t xml:space="preserve">Selection rule</x:t>
        </x:is>
      </x:c>
      <x:c r="C48" t="inlineStr">
        <x:is>
          <x:t xml:space="preserve">Eligibility / store estimate</x:t>
        </x:is>
      </x:c>
      <x:c r="D48" t="inlineStr">
        <x:is>
          <x:t xml:space="preserve">County handling</x:t>
        </x:is>
      </x:c>
    </x:row>
    <x:row r="49">
      <x:c r="A49" t="inlineStr">
        <x:is>
          <x:t xml:space="preserve">County selection</x:t>
        </x:is>
      </x:c>
      <x:c r="B49" t="inlineStr">
        <x:is>
          <x:t xml:space="preserve">Restricted candidate states to PA, OH, NY, MD, DE, NJ, CT, RI, MA, NH, VT, ME, MI. Direct adjacency to the original top 20 did not yield five new counties with qualifying incorporated places, so the search extended to the nearest eligible adjacency ring from the represented county network.</x:t>
        </x:is>
      </x:c>
      <x:c r="C49" t="inlineStr">
        <x:is>
          <x:t xml:space="preserve">Selected Prince George's MD, Camden NJ, Lorain OH, Stark OH, and Oakland MI. Selection favored counties with the most qualifying 50k+ incorporated places and plausible specialty-grocery coverage.</x:t>
        </x:is>
      </x:c>
      <x:c r="D49" t="inlineStr">
        <x:is>
          <x:t xml:space="preserve">All five counties were absent from the prior county list.</x:t>
        </x:is>
      </x:c>
    </x:row>
    <x:row r="50">
      <x:c r="A50" t="inlineStr">
        <x:is>
          <x:t xml:space="preserve">City completion</x:t>
        </x:is>
      </x:c>
      <x:c r="B50" t="inlineStr">
        <x:is>
          <x:t xml:space="preserve">Added 12 new city/state rows, bringing the screening universe to 432 cities.</x:t>
        </x:is>
      </x:c>
      <x:c r="C50" t="inlineStr">
        <x:is>
          <x:t xml:space="preserve">Census Vintage 2025 is the population screen. Whole Foods Rochester Hills is directly verified; remaining additions use the workbook's existing one-store presence-floor proxy pending production GIS counts.</x:t>
        </x:is>
      </x:c>
      <x:c r="D50" t="inlineStr">
        <x:is>
          <x:t xml:space="preserve">County aggregation was rebuilt across 217 counties/county equivalents.</x:t>
        </x:is>
      </x:c>
    </x:row>
    <x:row r="51">
      <x:c r="A51" t="inlineStr">
        <x:is>
          <x:t xml:space="preserve">Adjacency caveat</x:t>
        </x:is>
      </x:c>
      <x:c r="B51" t="inlineStr">
        <x:is>
          <x:t xml:space="preserve">Census county adjacency treats counties as adjacent when they share an edge or point; water-boundary relationships may also appear in the official file.</x:t>
        </x:is>
      </x:c>
      <x:c r="C51" t="inlineStr">
        <x:is>
          <x:t xml:space="preserve">The state restriction makes this pass a nearest-ring extension rather than a pure direct-neighbor-of-original-top-20 pass.</x:t>
        </x:is>
      </x:c>
      <x:c r="D51" t="inlineStr">
        <x:is>
          <x:t xml:space="preserve">This exception is documented here and in the City Density Ranking subtitle.</x:t>
        </x:is>
      </x:c>
    </x:row>
    <x:row r="52">
      <x:c r="A52" s="28" t="inlineStr">
        <x:is>
          <x:t xml:space="preserve">443-city restricted-state adjacency expansion</x:t>
        </x:is>
      </x:c>
      <x:c r="B52" s="28" t="inlineStr">
        <x:is>
          <x:t xml:space="preserve">Selection rule</x:t>
        </x:is>
      </x:c>
      <x:c r="C52" s="28" t="inlineStr">
        <x:is>
          <x:t xml:space="preserve">Eligibility / store estimate</x:t>
        </x:is>
      </x:c>
      <x:c r="D52" s="28" t="inlineStr">
        <x:is>
          <x:t xml:space="preserve">County handling</x:t>
        </x:is>
      </x:c>
    </x:row>
    <x:row r="53">
      <x:c r="A53" s="28" t="inlineStr">
        <x:is>
          <x:t xml:space="preserve">County selection</x:t>
        </x:is>
      </x:c>
      <x:c r="B53" s="28" t="inlineStr">
        <x:is>
          <x:t xml:space="preserve">Restricted candidates to PA, OH, NY, MD, DE, NJ, CT, RI, MA, NH, VT, ME, MI. Selected Essex MA, Norfolk MA, Frederick MD, Butler OH, and New Castle DE, prioritizing adjacency to the represented network, verified tracked-chain presence, and breadth of qualifying 50k+ cities.</x:t>
        </x:is>
      </x:c>
      <x:c r="C53" s="28" t="inlineStr">
        <x:is>
          <x:t xml:space="preserve">Frederick MD and Wilmington DE use directly verified Wegmans lower bounds. Remaining new cities use the workbook's existing one-store presence-floor proxy pending the all-chain GIS rerun.</x:t>
        </x:is>
      </x:c>
      <x:c r="D53" s="28" t="inlineStr">
        <x:is>
          <x:t xml:space="preserve">Five new county rows use verified Census QuickFacts land-area denominators.</x:t>
        </x:is>
      </x:c>
    </x:row>
    <x:row r="54">
      <x:c r="A54" s="28" t="inlineStr">
        <x:is>
          <x:t xml:space="preserve">50k+ city completion</x:t>
        </x:is>
      </x:c>
      <x:c r="B54" s="28" t="inlineStr">
        <x:is>
          <x:t xml:space="preserve">Added 11 new city/state rows, bringing the screening universe to 443 cities.</x:t>
        </x:is>
      </x:c>
      <x:c r="C54" s="28" t="inlineStr">
        <x:is>
          <x:t xml:space="preserve">Eligibility uses Census Vintage 2025. Massachusetts city-form entities include Methuen and Weymouth; Brookline is a town and is not included under the user's city-only instruction.</x:t>
        </x:is>
      </x:c>
      <x:c r="D54" s="28" t="inlineStr">
        <x:is>
          <x:t xml:space="preserve">County aggregation was rebuilt across 222 represented counties/county equivalents.</x:t>
        </x:is>
      </x:c>
    </x:row>
    <x:row r="55">
      <x:c r="A55" s="28" t="inlineStr">
        <x:is>
          <x:t xml:space="preserve">Ranking refresh</x:t>
        </x:is>
      </x:c>
      <x:c r="B55" s="28" t="inlineStr">
        <x:is>
          <x:t xml:space="preserve">All city rows were sorted and re-ranked by proxy/lower-bound stores per city square mile.</x:t>
        </x:is>
      </x:c>
      <x:c r="C55" s="28" t="inlineStr">
        <x:is>
          <x:t xml:space="preserve">City land areas use Census QuickFacts/TIGER current geography. The exact all-35-chain, 5-mile buffered count remains a production GIS step.</x:t>
        </x:is>
      </x:c>
      <x:c r="D55" s="28" t="inlineStr">
        <x:is>
          <x:t xml:space="preserve">County totals, cities represented, density values, and ranks were rebuilt from the expanded city universe.</x:t>
        </x:is>
      </x:c>
    </x:row>
    <x:row r="56">
      <x:c r="A56" s="28" t="inlineStr">
        <x:is>
          <x:t xml:space="preserve">450-city restricted-state direct-adjacency expansion</x:t>
        </x:is>
      </x:c>
      <x:c r="B56" s="28" t="inlineStr">
        <x:is>
          <x:t xml:space="preserve">Selection rule</x:t>
        </x:is>
      </x:c>
      <x:c r="C56" s="28" t="inlineStr">
        <x:is>
          <x:t xml:space="preserve">Eligibility / store estimate</x:t>
        </x:is>
      </x:c>
      <x:c r="D56" s="28" t="inlineStr">
        <x:is>
          <x:t xml:space="preserve">County handling</x:t>
        </x:is>
      </x:c>
    </x:row>
    <x:row r="57">
      <x:c r="A57" s="28" t="inlineStr">
        <x:is>
          <x:t xml:space="preserve">County selection</x:t>
        </x:is>
      </x:c>
      <x:c r="B57" s="28" t="inlineStr">
        <x:is>
          <x:t xml:space="preserve">Restricted candidates to PA, OH, NY, MD, DE, NJ, CT, RI, MA, NH, VT, ME, MI. Selected Bristol MA, Mercer NJ, Genesee MI, Berks PA, and Kent RI from counties directly adjacent to the represented county network. Bristol led on qualifying-city breadth; the remaining counties each add a qualifying 50k+ city and extend the specialty-grocery screening network.</x:t>
        </x:is>
      </x:c>
      <x:c r="C57" s="28" t="inlineStr">
        <x:is>
          <x:t xml:space="preserve">Eligibility uses Census Vintage 2025 incorporated-city estimates. Exact tracked-chain counts were not directly verified inside these seven qualifying city boundaries, so the workbook's existing one-store presence-floor proxy is retained.</x:t>
        </x:is>
      </x:c>
      <x:c r="D57" s="28" t="inlineStr">
        <x:is>
          <x:t xml:space="preserve">Five new county rows use verified Census QuickFacts 2020 land-area denominators.</x:t>
        </x:is>
      </x:c>
    </x:row>
    <x:row r="58">
      <x:c r="A58" s="28" t="inlineStr">
        <x:is>
          <x:t xml:space="preserve">50k+ city completion</x:t>
        </x:is>
      </x:c>
      <x:c r="B58" s="28" t="inlineStr">
        <x:is>
          <x:t xml:space="preserve">Added 7 new city/state rows, bringing the screening universe to 450 cities.</x:t>
        </x:is>
      </x:c>
      <x:c r="C58" s="28" t="inlineStr">
        <x:is>
          <x:t xml:space="preserve">Added New Bedford, Fall River, Taunton, Trenton, Flint, Reading, and Warwick; each is above 50,000 in Census Vintage 2025.</x:t>
        </x:is>
      </x:c>
      <x:c r="D58" s="28" t="inlineStr">
        <x:is>
          <x:t xml:space="preserve">County aggregation was rebuilt across 227 represented counties/county equivalents.</x:t>
        </x:is>
      </x:c>
    </x:row>
    <x:row r="59">
      <x:c r="A59" s="28" t="inlineStr">
        <x:is>
          <x:t xml:space="preserve">Ranking refresh</x:t>
        </x:is>
      </x:c>
      <x:c r="B59" s="28" t="inlineStr">
        <x:is>
          <x:t xml:space="preserve">All city rows were sorted and re-ranked by proxy/lower-bound stores per city square mile.</x:t>
        </x:is>
      </x:c>
      <x:c r="C59" s="28" t="inlineStr">
        <x:is>
          <x:t xml:space="preserve">New city land areas use Census QuickFacts 2020 geography. Exact all-chain 5-mile buffered counts remain a production GIS step.</x:t>
        </x:is>
      </x:c>
      <x:c r="D59" s="28" t="inlineStr">
        <x:is>
          <x:t xml:space="preserve">County totals, cities represented, density values, and ranks were rebuilt from the expanded city universe.</x:t>
        </x:is>
      </x:c>
    </x:row>
    <x:row r="60">
      <x:c r="A60" s="28" t="inlineStr">
        <x:is>
          <x:t xml:space="preserve">455-city restricted-state direct-adjacency expansion</x:t>
        </x:is>
      </x:c>
      <x:c r="B60" s="28" t="inlineStr">
        <x:is>
          <x:t xml:space="preserve">Selection rule</x:t>
        </x:is>
      </x:c>
      <x:c r="C60" s="28" t="inlineStr">
        <x:is>
          <x:t xml:space="preserve">Eligibility / store estimate</x:t>
        </x:is>
      </x:c>
      <x:c r="D60" s="28" t="inlineStr">
        <x:is>
          <x:t xml:space="preserve">County handling</x:t>
        </x:is>
      </x:c>
    </x:row>
    <x:row r="61">
      <x:c r="A61" s="28" t="inlineStr">
        <x:is>
          <x:t xml:space="preserve">County selection</x:t>
        </x:is>
      </x:c>
      <x:c r="B61" s="28" t="inlineStr">
        <x:is>
          <x:t xml:space="preserve">Restricted candidates to PA, OH, NY, MD, DE, NJ, CT, RI, MA, NH, VT, ME, MI. Selected Plymouth MA, Lancaster PA, Clark OH, Licking OH, and Mahoning OH; each directly borders an already represented county and contains at least one incorporated city above 50,000 in Census Vintage 2025.</x:t>
        </x:is>
      </x:c>
      <x:c r="C61" s="28" t="inlineStr">
        <x:is>
          <x:t xml:space="preserve">Lancaster County has directly verified Whole Foods and Wegmans locations and Plymouth County has a directly verified Whole Foods location in Hingham. Because those locations are not confidently attributable to the qualifying incorporated city boundary without GIS, the new city rows retain the one-store presence-floor proxy.</x:t>
        </x:is>
      </x:c>
      <x:c r="D61" s="28" t="inlineStr">
        <x:is>
          <x:t xml:space="preserve">Five new county rows use verified Census QuickFacts 2020 land-area denominators.</x:t>
        </x:is>
      </x:c>
    </x:row>
    <x:row r="62">
      <x:c r="A62" s="28" t="inlineStr">
        <x:is>
          <x:t xml:space="preserve">50k+ city completion</x:t>
        </x:is>
      </x:c>
      <x:c r="B62" s="28" t="inlineStr">
        <x:is>
          <x:t xml:space="preserve">Added 5 new city/state rows, bringing the screening universe to 455 cities.</x:t>
        </x:is>
      </x:c>
      <x:c r="C62" s="28" t="inlineStr">
        <x:is>
          <x:t xml:space="preserve">Added Brockton MA, Lancaster PA, Springfield OH, Newark OH, and Youngstown OH. Census V2025 populations: 106,134; 58,366; 58,281; 51,473; and 58,832 respectively.</x:t>
        </x:is>
      </x:c>
      <x:c r="D62" s="28" t="inlineStr">
        <x:is>
          <x:t xml:space="preserve">County aggregation was rebuilt across 232 represented counties/county equivalents.</x:t>
        </x:is>
      </x:c>
    </x:row>
    <x:row r="63">
      <x:c r="A63" s="28" t="inlineStr">
        <x:is>
          <x:t xml:space="preserve">Ranking refresh</x:t>
        </x:is>
      </x:c>
      <x:c r="B63" s="28" t="inlineStr">
        <x:is>
          <x:t xml:space="preserve">All city rows were sorted and re-ranked by proxy/lower-bound stores per city square mile.</x:t>
        </x:is>
      </x:c>
      <x:c r="C63" s="28" t="inlineStr">
        <x:is>
          <x:t xml:space="preserve">New city and county land areas use Census QuickFacts 2020 geography. Exact all-chain 5-mile buffered counts remain a production GIS step.</x:t>
        </x:is>
      </x:c>
      <x:c r="D63" s="28" t="inlineStr">
        <x:is>
          <x:t xml:space="preserve">County totals, city lists, density values, and ranks were rebuilt from the expanded city universe.</x:t>
        </x:is>
      </x:c>
    </x:row>
    <x:row r="64">
      <x:c r="A64" s="28" t="inlineStr">
        <x:is>
          <x:t xml:space="preserve">460-city restricted-state nearest-ring expansion</x:t>
        </x:is>
      </x:c>
      <x:c r="B64" s="28" t="inlineStr">
        <x:is>
          <x:t xml:space="preserve">Selection rule</x:t>
        </x:is>
      </x:c>
      <x:c r="C64" s="28" t="inlineStr">
        <x:is>
          <x:t xml:space="preserve">Eligibility / store estimate</x:t>
        </x:is>
      </x:c>
      <x:c r="D64" s="28" t="inlineStr">
        <x:is>
          <x:t xml:space="preserve">County handling</x:t>
        </x:is>
      </x:c>
    </x:row>
    <x:row r="65">
      <x:c r="A65" s="28" t="inlineStr">
        <x:is>
          <x:t xml:space="preserve">County selection</x:t>
        </x:is>
      </x:c>
      <x:c r="B65" s="28" t="inlineStr">
        <x:is>
          <x:t xml:space="preserve">Restricted candidates to PA, OH, NY, MD, DE, NJ, CT, RI, MA, NH, VT, ME, MI. After excluding all represented counties, fewer than five strong direct neighbors remained with 50k+ incorporated cities, so selection moved to the nearest eligible adjacency ring. Chosen: Cumberland ME, Erie PA, Lackawanna PA, Albany NY, and Kalamazoo MI.</x:t>
        </x:is>
      </x:c>
      <x:c r="C65" s="28" t="inlineStr">
        <x:is>
          <x:t xml:space="preserve">Selection favored verified specialty-grocery presence: Whole Foods Portland and Albany-area; two Wegmans in Erie County; Wegmans in the Scranton area; Fresh Thyme in Kalamazoo County.</x:t>
        </x:is>
      </x:c>
      <x:c r="D65" s="28" t="inlineStr">
        <x:is>
          <x:t xml:space="preserve">Five new county rows use verified Census QuickFacts 2020 land-area denominators.</x:t>
        </x:is>
      </x:c>
    </x:row>
    <x:row r="66">
      <x:c r="A66" s="28" t="inlineStr">
        <x:is>
          <x:t xml:space="preserve">50k+ city completion</x:t>
        </x:is>
      </x:c>
      <x:c r="B66" s="28" t="inlineStr">
        <x:is>
          <x:t xml:space="preserve">Added 5 new city/state rows, bringing the screening universe to 460 cities.</x:t>
        </x:is>
      </x:c>
      <x:c r="C66" s="28" t="inlineStr">
        <x:is>
          <x:t xml:space="preserve">Added Portland ME, Erie PA, Scranton PA, Albany NY, and Kalamazoo MI. Census V2025 populations are 69,911; 91,838; 75,514; 101,698; and 72,683 respectively.</x:t>
        </x:is>
      </x:c>
      <x:c r="D66" s="28" t="inlineStr">
        <x:is>
          <x:t xml:space="preserve">County aggregation was rebuilt across 237 represented counties/county equivalents.</x:t>
        </x:is>
      </x:c>
    </x:row>
    <x:row r="67">
      <x:c r="A67" s="28" t="inlineStr">
        <x:is>
          <x:t xml:space="preserve">Store-count treatment</x:t>
        </x:is>
      </x:c>
      <x:c r="B67" s="28" t="inlineStr">
        <x:is>
          <x:t xml:space="preserve">Whole Foods Portland is directly verified inside the qualifying incorporated city and is carried as a lower-bound city count.</x:t>
        </x:is>
      </x:c>
      <x:c r="C67" s="28" t="inlineStr">
        <x:is>
          <x:t xml:space="preserve">For Erie, Scranton, Albany, and Kalamazoo, verified specialty stores are county-level or not confidently inside the qualifying city boundary, so those rows retain the workbook's conservative one-store presence floor.</x:t>
        </x:is>
      </x:c>
      <x:c r="D67" s="28" t="inlineStr">
        <x:is>
          <x:t xml:space="preserve">Exact all-chain 5-mile buffered counts remain a production GIS step.</x:t>
        </x:is>
      </x:c>
    </x:row>
    <x:row r="68">
      <x:c r="A68" s="28" t="inlineStr">
        <x:is>
          <x:t xml:space="preserve">465-city restricted-state adjacency expansion</x:t>
        </x:is>
      </x:c>
      <x:c r="B68" s="28" t="inlineStr">
        <x:is>
          <x:t xml:space="preserve">Selection rule</x:t>
        </x:is>
      </x:c>
      <x:c r="C68" s="28" t="inlineStr">
        <x:is>
          <x:t xml:space="preserve">Eligibility / store estimate</x:t>
        </x:is>
      </x:c>
      <x:c r="D68" s="28" t="inlineStr">
        <x:is>
          <x:t xml:space="preserve">County handling</x:t>
        </x:is>
      </x:c>
    </x:row>
    <x:row r="69">
      <x:c r="A69" s="28" t="inlineStr">
        <x:is>
          <x:t xml:space="preserve">County selection</x:t>
        </x:is>
      </x:c>
      <x:c r="B69" s="28" t="inlineStr">
        <x:is>
          <x:t xml:space="preserve">Restricted candidates to PA, OH, NY, MD, DE, NJ, CT, RI, MA, NH, VT, ME, MI and excluded all counties already represented. Selected Northampton PA, Dauphin PA, Schenectady NY, Rensselaer NY, and Cumberland NJ. Northampton has directly verified specialty-grocery presence in the qualifying city; the remaining eligible pool is increasingly sparse.</x:t>
        </x:is>
      </x:c>
      <x:c r="C69" s="28" t="inlineStr">
        <x:is>
          <x:t xml:space="preserve">Eligibility uses Census Vintage 2025 incorporated-city estimates. Bethlehem carries a directly verified Wegmans lower bound; Harrisburg, Schenectady, Troy, and Vineland use the existing one-store presence-floor proxy pending production GIS.</x:t>
        </x:is>
      </x:c>
      <x:c r="D69" s="28" t="inlineStr">
        <x:is>
          <x:t xml:space="preserve">Five new county rows use verified Census QuickFacts 2020 land-area denominators.</x:t>
        </x:is>
      </x:c>
    </x:row>
    <x:row r="70">
      <x:c r="A70" s="28" t="inlineStr">
        <x:is>
          <x:t xml:space="preserve">50k+ city completion</x:t>
        </x:is>
      </x:c>
      <x:c r="B70" s="28" t="inlineStr">
        <x:is>
          <x:t xml:space="preserve">Added 5 new city/state rows, bringing the screening universe to 465 cities.</x:t>
        </x:is>
      </x:c>
      <x:c r="C70" s="28" t="inlineStr">
        <x:is>
          <x:t xml:space="preserve">Added Bethlehem PA (79,644), Harrisburg PA (50,522), Schenectady NY (69,471), Troy NY (50,912), and Vineland NJ (62,703).</x:t>
        </x:is>
      </x:c>
      <x:c r="D70" s="28" t="inlineStr">
        <x:is>
          <x:t xml:space="preserve">County aggregation was rebuilt across 242 represented counties/county equivalents.</x:t>
        </x:is>
      </x:c>
    </x:row>
    <x:row r="71">
      <x:c r="A71" s="28" t="inlineStr">
        <x:is>
          <x:t xml:space="preserve">Boundary / ranking notes</x:t>
        </x:is>
      </x:c>
      <x:c r="B71" s="28" t="inlineStr">
        <x:is>
          <x:t xml:space="preserve">Bethlehem spans Lehigh and Northampton counties; this workbook keeps one canonical county assignment and assigns the new Bethlehem row to Northampton for this expansion. The Wegmans Bethlehem store is directly verified.</x:t>
        </x:is>
      </x:c>
      <x:c r="C71" s="28" t="inlineStr">
        <x:is>
          <x:t xml:space="preserve">The branded Wegmans Harrisburg store is located in Mechanicsburg, so Harrisburg city retains the screening floor rather than a Wegmans count.</x:t>
        </x:is>
      </x:c>
      <x:c r="D71" s="28" t="inlineStr">
        <x:is>
          <x:t xml:space="preserve">All city and county density ranks were rebuilt from the expanded universe.</x:t>
        </x:is>
      </x:c>
    </x:row>
    <x:row r="72">
      <x:c r="A72" t="inlineStr">
        <x:is>
          <x:t xml:space="preserve">467-city restricted-state constrained expansion</x:t>
        </x:is>
      </x:c>
      <x:c r="B72" t="inlineStr">
        <x:is>
          <x:t xml:space="preserve">Selection rule</x:t>
        </x:is>
      </x:c>
      <x:c r="C72" t="inlineStr">
        <x:is>
          <x:t xml:space="preserve">Eligibility / store estimate</x:t>
        </x:is>
      </x:c>
      <x:c r="D72" t="inlineStr">
        <x:is>
          <x:t xml:space="preserve">County handling</x:t>
        </x:is>
      </x:c>
    </x:row>
    <x:row r="73">
      <x:c r="A73" t="inlineStr">
        <x:is>
          <x:t xml:space="preserve">County selection</x:t>
        </x:is>
      </x:c>
      <x:c r="B73" t="inlineStr">
        <x:is>
          <x:t xml:space="preserve">Restricted candidates to PA/OH/NY/MD/DE/NJ/CT/RI/MA/NH/VT/ME/MI and excluded represented counties. Only Calhoun MI and Oneida NY remained substantiated after applying the city-form municipality ≥50,000 rule and threshold checks. Calhoun directly borders represented Kalamazoo County; Oneida uses nearest-ring fallback through Madison County from represented Onondaga County.</x:t>
        </x:is>
      </x:c>
      <x:c r="C73" t="inlineStr">
        <x:is>
          <x:t xml:space="preserve">Eligibility uses Census Vintage 2025. Battle Creek (52,021) and Utica (62,978) are above threshold. No tracked-chain city location was directly verified, so both rows use Presence Floor = 1 and are explicitly labeled proxy-only.</x:t>
        </x:is>
      </x:c>
      <x:c r="D73" t="inlineStr">
        <x:is>
          <x:t xml:space="preserve">Calhoun County and Oneida County receive verified Census QuickFacts 2020 land-area denominators; county aggregation is rebuilt from the full 467-city table.</x:t>
        </x:is>
      </x:c>
    </x:row>
    <x:row r="74">
      <x:c r="A74" t="inlineStr">
        <x:is>
          <x:t xml:space="preserve">Why fewer than five</x:t>
        </x:is>
      </x:c>
      <x:c r="B74" t="inlineStr">
        <x:is>
          <x:t xml:space="preserve">The eligible pool is exhausted under the workbook's current city-form convention. Near-threshold examples checked and excluded include Niagara Falls NY (47,255), Hackensack NJ (46,380), Hagerstown MD (44,228), and Concord NH (44,597).</x:t>
        </x:is>
      </x:c>
      <x:c r="C74" t="inlineStr">
        <x:is>
          <x:t xml:space="preserve">Massachusetts towns, New Jersey townships/towns, New York villages, CDPs, and other non-city governmental forms were not newly admitted because doing so would change the established inclusion rule.</x:t>
        </x:is>
      </x:c>
      <x:c r="D74" t="inlineStr">
        <x:is>
          <x:t xml:space="preserve">This pass therefore adds two counties rather than forcing three nonqualifying counties into the workbook.</x:t>
        </x:is>
      </x:c>
    </x:row>
    <x:row r="75">
      <x:c r="A75" t="inlineStr">
        <x:is>
          <x:t xml:space="preserve">Store-count treatment</x:t>
        </x:is>
      </x:c>
      <x:c r="B75" t="inlineStr">
        <x:is>
          <x:t xml:space="preserve">Horrocks &amp; Co. provides specialty-grocery evidence in Battle Creek/Calhoun County. Oneida County has the year-round Oneida County Public Market and a documented network of ethnic/specialty markets in Utica.</x:t>
        </x:is>
      </x:c>
      <x:c r="C75" t="inlineStr">
        <x:is>
          <x:t xml:space="preserve">These sources support county/city screening relevance but are not silently mapped into Whole Foods, Sprouts, The Fresh Market, Fresh Thyme, or Wegmans columns. Both city rows remain Presence Floor = 1.</x:t>
        </x:is>
      </x:c>
      <x:c r="D75" t="inlineStr">
        <x:is>
          <x:t xml:space="preserve">Exact tracked-chain counts and the full all-chain 5-mile buffer remain production GIS work.</x:t>
        </x:is>
      </x:c>
    </x:row>
    <x:row r="76">
      <x:c r="A76" t="inlineStr">
        <x:is>
          <x:t xml:space="preserve">Ranking refresh</x:t>
        </x:is>
      </x:c>
      <x:c r="B76" t="inlineStr">
        <x:is>
          <x:t xml:space="preserve">All 467 city rows were sorted and re-ranked by proxy/lower-bound stores per city square mile.</x:t>
        </x:is>
      </x:c>
      <x:c r="C76" t="inlineStr">
        <x:is>
          <x:t xml:space="preserve">City land areas: Battle Creek 42.59 sq mi; Utica 16.72 sq mi. Census QuickFacts 2020 geography.</x:t>
        </x:is>
      </x:c>
      <x:c r="D76" t="inlineStr">
        <x:is>
          <x:t xml:space="preserve">All 244 county rows were rebuilt from the full city universe and re-ranked.</x:t>
        </x:is>
      </x:c>
    </x:row>
    <x:row r="77"/>
    <x:row r="78"/>
    <x:row r="79">
      <x:c r="A79" t="inlineStr">
        <x:is>
          <x:t xml:space="preserve">596-municipality 10k+ city-equivalent expansion — 2026-09-14</x:t>
        </x:is>
      </x:c>
      <x:c r="B79" t="inlineStr">
        <x:is>
          <x:t xml:space="preserve">Selection rule</x:t>
        </x:is>
      </x:c>
      <x:c r="C79" t="inlineStr">
        <x:is>
          <x:t xml:space="preserve">Eligibility / store estimate</x:t>
        </x:is>
      </x:c>
      <x:c r="D79" t="inlineStr">
        <x:is>
          <x:t xml:space="preserve">County handling</x:t>
        </x:is>
      </x:c>
    </x:row>
    <x:row r="80">
      <x:c r="A80" t="inlineStr">
        <x:is>
          <x:t xml:space="preserve">County selection</x:t>
        </x:is>
      </x:c>
      <x:c r="B80" t="inlineStr">
        <x:is>
          <x:t xml:space="preserve">Restricted to PA/OH/NY/MD/DE/NJ/CT/RI/MA/NH/VT/ME/MI; excluded represented counties; required Census 2025 adjacency to the represented network and Census Vintage 2025 county population &gt;=500,000. Selected Bergen NJ, Montgomery PA, Bucks PA, Monmouth NJ, and Morris NJ after ranking qualifying-municipality breadth and specialty-grocery evidence.</x:t>
        </x:is>
      </x:c>
      <x:c r="C80" t="inlineStr">
        <x:is>
          <x:t xml:space="preserve">Municipal eligibility is Census Vintage 2025 population &gt;=10,000. General-purpose city-equivalent municipalities are eligible regardless of statutory label (city, borough, town, township, village, municipality). CDPs and non-general-purpose/nested statistical places remain excluded.</x:t>
        </x:is>
      </x:c>
      <x:c r="D80" t="inlineStr">
        <x:is>
          <x:t xml:space="preserve">All five selected counties are direct-adjacency additions. No nearest-ring fallback or further rule relaxation was required.</x:t>
        </x:is>
      </x:c>
    </x:row>
    <x:row r="81">
      <x:c r="A81" t="inlineStr">
        <x:is>
          <x:t xml:space="preserve">10k+ municipality completion</x:t>
        </x:is>
      </x:c>
      <x:c r="B81" t="inlineStr">
        <x:is>
          <x:t xml:space="preserve">Added 129 new City+State rows: Bergen 39; Montgomery 32; Bucks 19; Monmouth 18; Morris 21. Screening universe increases from 467 to 596 municipalities.</x:t>
        </x:is>
      </x:c>
      <x:c r="C81" t="inlineStr">
        <x:is>
          <x:t xml:space="preserve">All qualifying municipalities in the five selected counties were added under the broadened municipal-form rule. Edge cases below 10,000 in Vintage 2025 remain excluded.</x:t>
        </x:is>
      </x:c>
      <x:c r="D81" t="inlineStr">
        <x:is>
          <x:t xml:space="preserve">County aggregation was rebuilt across 249 represented counties/county equivalents using the complete 596-row city/municipality table.</x:t>
        </x:is>
      </x:c>
    </x:row>
    <x:row r="82">
      <x:c r="A82" t="inlineStr">
        <x:is>
          <x:t xml:space="preserve">Store-count treatment</x:t>
        </x:is>
      </x:c>
      <x:c r="B82" t="inlineStr">
        <x:is>
          <x:t xml:space="preserve">Eight new rows carry directly verified lower-bound tracked-chain counts: Edgewater, Paramus, and Ridgewood NJ (Whole Foods); Marlboro NJ (Whole Foods); Manalapan and Ocean NJ (Wegmans); Morristown NJ (Whole Foods); Warrington PA (Wegmans).</x:t>
        </x:is>
      </x:c>
      <x:c r="C82" t="inlineStr">
        <x:is>
          <x:t xml:space="preserve">The remaining 121 new rows use Presence Floor = 1 and are explicitly labeled proxy-only. Official county-level store evidence is not automatically mapped to a municipal row.</x:t>
        </x:is>
      </x:c>
      <x:c r="D82" t="inlineStr">
        <x:is>
          <x:t xml:space="preserve">Boundary exceptions: the branded Wegmans Hanover location uses a Parsippany postal address and the King of Prussia Wegmans is retained as Montgomery County selection evidence only; neither is assigned to a municipal tracked-chain count without boundary verification.</x:t>
        </x:is>
      </x:c>
    </x:row>
    <x:row r="83">
      <x:c r="A83" t="inlineStr">
        <x:is>
          <x:t xml:space="preserve">Area / population basis</x:t>
        </x:is>
      </x:c>
      <x:c r="B83" t="inlineStr">
        <x:is>
          <x:t xml:space="preserve">Population eligibility uses Census Vintage 2025 state city/town estimates; county population filter uses Census Vintage 2025 estimates/QuickFacts.</x:t>
        </x:is>
      </x:c>
      <x:c r="C83" t="inlineStr">
        <x:is>
          <x:t xml:space="preserve">New municipal and county land-area denominators use U.S. Census Bureau 2025 Gazetteer ALAND_SQMI.</x:t>
        </x:is>
      </x:c>
      <x:c r="D83" t="inlineStr">
        <x:is>
          <x:t xml:space="preserve">County FIPS/area: Bergen 34003 / 232.797; Monmouth 34025 / 468.204; Morris 34027 / 461.027; Bucks 42017 / 604.436; Montgomery 42091 / 482.937.</x:t>
        </x:is>
      </x:c>
    </x:row>
    <x:row r="84">
      <x:c r="A84" t="inlineStr">
        <x:is>
          <x:t xml:space="preserve">Ranking / de-duplication refresh</x:t>
        </x:is>
      </x:c>
      <x:c r="B84" t="inlineStr">
        <x:is>
          <x:t xml:space="preserve">City + State de-duplication was applied before insertion; no new duplicates were created. Formal municipal type is retained in the City field for the broadened municipality population.</x:t>
        </x:is>
      </x:c>
      <x:c r="C84" t="inlineStr">
        <x:is>
          <x:t xml:space="preserve">All 596 municipal rows were sorted and re-ranked by proxy/lower-bound stores per land sq mi; component totals and density formulas were refreshed.</x:t>
        </x:is>
      </x:c>
      <x:c r="D84" t="inlineStr">
        <x:is>
          <x:t xml:space="preserve">All 249 county rows were rebuilt and re-ranked from the full municipal table. County totals remain screening aggregates, not exact deduplicated countywide store inventories.</x:t>
        </x:is>
      </x:c>
    </x:row>
    <x:row r="85"/>
    <x:row r="86" s="44" customFormat="1">
      <x:c r="A86" t="inlineStr">
        <x:is>
          <x:t xml:space="preserve">641-municipality next-five expansion — 2026-09-14</x:t>
        </x:is>
      </x:c>
      <x:c r="B86" t="inlineStr">
        <x:is>
          <x:t xml:space="preserve">Selection rule</x:t>
        </x:is>
      </x:c>
      <x:c r="C86" t="inlineStr">
        <x:is>
          <x:t xml:space="preserve">Eligibility / store estimate</x:t>
        </x:is>
      </x:c>
      <x:c r="D86" t="inlineStr">
        <x:is>
          <x:t xml:space="preserve">County handling</x:t>
        </x:is>
      </x:c>
    </x:row>
    <x:row r="87" s="44" customFormat="1">
      <x:c r="A87" t="inlineStr">
        <x:is>
          <x:t xml:space="preserve">County selection</x:t>
        </x:is>
      </x:c>
      <x:c r="B87" t="inlineStr">
        <x:is>
          <x:t xml:space="preserve">Continued the broadened rule: permitted 13 states; unrepresented counties; Census Vintage 2025 county population &gt;=500,000; Census adjacency first. Selected Delaware PA, Chester PA, Nassau NY, Anne Arundel MD, and Suffolk NY after ranking qualifying-municipality breadth and specialty-grocery evidence.</x:t>
        </x:is>
      </x:c>
      <x:c r="C87" t="inlineStr">
        <x:is>
          <x:t xml:space="preserve">Municipal eligibility remains Census Vintage 2025 population &gt;=10,000 and general-purpose city-equivalent governmental units. CDPs/statistical places are excluded.</x:t>
        </x:is>
      </x:c>
      <x:c r="D87" t="inlineStr">
        <x:is>
          <x:t xml:space="preserve">Delaware, Chester, Nassau, and Anne Arundel are direct neighbors of the represented network. Suffolk is a one-ring fallback through Nassau because only four remaining direct candidates met the county-size and municipality rules.</x:t>
        </x:is>
      </x:c>
    </x:row>
    <x:row r="88" s="44" customFormat="1">
      <x:c r="A88" t="inlineStr">
        <x:is>
          <x:t xml:space="preserve">10k+ municipality completion</x:t>
        </x:is>
      </x:c>
      <x:c r="B88" t="inlineStr">
        <x:is>
          <x:t xml:space="preserve">45 net-new City+State rows were added: Chester 17; Delaware 13; Suffolk 9; Nassau 5; Anne Arundel 1. The screening universe increases from 596 to 641 municipalities.</x:t>
        </x:is>
      </x:c>
      <x:c r="C88" t="inlineStr">
        <x:is>
          <x:t xml:space="preserve">Four otherwise-qualifying Delaware County PA townships were suppressed by the workbook's established City+State duplicate key: Middletown Township, Newtown Township, Springfield Township, and Upper Providence Township. Existing canonical PA rows were preserved.</x:t>
        </x:is>
      </x:c>
      <x:c r="D88" t="inlineStr">
        <x:is>
          <x:t xml:space="preserve">County aggregation was rebuilt across 254 represented counties/county equivalents from the complete 641-row municipal table.</x:t>
        </x:is>
      </x:c>
    </x:row>
    <x:row r="89" s="44" customFormat="1">
      <x:c r="A89" t="inlineStr">
        <x:is>
          <x:t xml:space="preserve">New York overlap convention</x:t>
        </x:is>
      </x:c>
      <x:c r="B89" t="inlineStr">
        <x:is>
          <x:t xml:space="preserve">For Nassau and Suffolk, the primary non-overlapping municipal layer is cities + towns. Nested villages are not added separately in this pass because they overlap town governments and would double-count geography under a density model.</x:t>
        </x:is>
      </x:c>
      <x:c r="C89" t="inlineStr">
        <x:is>
          <x:t xml:space="preserve">Nassau adds Glen Cove City, Hempstead Town, Long Beach City, North Hempstead Town, and Oyster Bay Town. Suffolk adds nine &gt;=10k towns; Shelter Island remains below threshold.</x:t>
        </x:is>
      </x:c>
      <x:c r="D89" t="inlineStr">
        <x:is>
          <x:t xml:space="preserve">This is an overlap-control clarification, not a population-threshold relaxation.</x:t>
        </x:is>
      </x:c>
    </x:row>
    <x:row r="90" s="44" customFormat="1">
      <x:c r="A90" t="inlineStr">
        <x:is>
          <x:t xml:space="preserve">Store-count treatment</x:t>
        </x:is>
      </x:c>
      <x:c r="B90" t="inlineStr">
        <x:is>
          <x:t xml:space="preserve">All 45 new rows use Presence Floor = 1 and are labeled proxy-only. Official retailer pages confirm meaningful specialty-grocery presence in each selected county, but postal/store branding was not treated as proof of municipality-boundary membership.</x:t>
        </x:is>
      </x:c>
      <x:c r="C90" t="inlineStr">
        <x:is>
          <x:t xml:space="preserve">Examples used for county selection evidence include Whole Foods Manhasset (Nassau), Wegmans Lake Grove (Suffolk), Whole Foods Newtown (Delaware), Whole Foods Exton (Chester), and Whole Foods Annapolis (Anne Arundel).</x:t>
        </x:is>
      </x:c>
      <x:c r="D90" t="inlineStr">
        <x:is>
          <x:t xml:space="preserve">No county-level store was silently converted into a chain-specific municipal count.</x:t>
        </x:is>
      </x:c>
    </x:row>
    <x:row r="91" s="44" customFormat="1">
      <x:c r="A91" t="inlineStr">
        <x:is>
          <x:t xml:space="preserve">Area / population basis</x:t>
        </x:is>
      </x:c>
      <x:c r="B91" t="inlineStr">
        <x:is>
          <x:t xml:space="preserve">County population filter uses Census Vintage 2025. Nassau 1,398,939; Suffolk 1,546,090; Delaware PA 580,937; Chester PA 557,116; Anne Arundel MD 603,380.</x:t>
        </x:is>
      </x:c>
      <x:c r="C91" t="inlineStr">
        <x:is>
          <x:t xml:space="preserve">New NY/PA municipal and all five county land-area denominators use Census 2025 Gazetteer ALAND_SQMI; Annapolis uses Census QuickFacts land area.</x:t>
        </x:is>
      </x:c>
      <x:c r="D91" t="inlineStr">
        <x:is>
          <x:t xml:space="preserve">County FIPS/area: Nassau 36059 / 284.544; Suffolk 36103 / 910.940; Delaware PA 42045 / 183.808; Chester PA 42029 / 750.553; Anne Arundel 24003 / 414.808.</x:t>
        </x:is>
      </x:c>
    </x:row>
    <x:row r="92" s="44" customFormat="1">
      <x:c r="A92" t="inlineStr">
        <x:is>
          <x:t xml:space="preserve">Candidate exclusion</x:t>
        </x:is>
      </x:c>
      <x:c r="B92" t="inlineStr">
        <x:is>
          <x:t xml:space="preserve">Baltimore County MD exceeds 500,000 population (847,650 in Vintage 2025) but Maryland's Census-derived municipal table reports no municipal population, so it cannot contribute any qualifying 10k+ incorporated/general-purpose municipality rows.</x:t>
        </x:is>
      </x:c>
      <x:c r="C92" t="inlineStr">
        <x:is>
          <x:t xml:space="preserve">No additional rule loosening was necessary: the selected five counties together produced well above the user's minimum of five new cities/municipalities.</x:t>
        </x:is>
      </x:c>
      <x:c r="D92" t="inlineStr">
        <x:is>
          <x:t xml:space="preserve">Suffolk's one-ring adjacency fallback is explicitly documented.</x:t>
        </x:is>
      </x:c>
    </x:row>
    <x:row r="93" s="44" customFormat="1">
      <x:c r="A93" t="inlineStr">
        <x:is>
          <x:t xml:space="preserve">Ranking / de-duplication refresh</x:t>
        </x:is>
      </x:c>
      <x:c r="B93" t="inlineStr">
        <x:is>
          <x:t xml:space="preserve">City+State de-duplication was applied before insertion; no duplicate key rows were created. Existing canonical assignments were preserved for the four PA same-name collisions.</x:t>
        </x:is>
      </x:c>
      <x:c r="C93" t="inlineStr">
        <x:is>
          <x:t xml:space="preserve">All 641 municipal rows were sorted and re-ranked by proxy/lower-bound stores per land sq mi; component totals and density formulas were refreshed.</x:t>
        </x:is>
      </x:c>
      <x:c r="D93" t="inlineStr">
        <x:is>
          <x:t xml:space="preserve">All 254 county rows were rebuilt and re-ranked from the full municipal table. County totals remain screening aggregates, not exact deduplicated countywide inventories.</x:t>
        </x:is>
      </x:c>
    </x:row>
    <x:row r="94"/>
    <x:row r="95" s="44" customFormat="1">
      <x:c r="A95" s="1" t="inlineStr">
        <x:is>
          <x:t xml:space="preserve">Next-five ≥300k county fallback — 2026-09-14</x:t>
        </x:is>
      </x:c>
      <x:c r="B95" s="1" t="inlineStr">
        <x:is>
          <x:t xml:space="preserve">Selection rule</x:t>
        </x:is>
      </x:c>
      <x:c r="C95" s="1" t="inlineStr">
        <x:is>
          <x:t xml:space="preserve">Eligibility / store estimate</x:t>
        </x:is>
      </x:c>
      <x:c r="D95" s="1" t="inlineStr">
        <x:is>
          <x:t xml:space="preserve">County handling</x:t>
        </x:is>
      </x:c>
    </x:row>
    <x:row r="96" s="44" customFormat="1">
      <x:c r="A96" s="1" t="inlineStr">
        <x:is>
          <x:t xml:space="preserve">Rule relaxation</x:t>
        </x:is>
      </x:c>
      <x:c r="B96" s="1" t="inlineStr">
        <x:is>
          <x:t xml:space="preserve">The prior ≥500,000 county-population pool is exhausted for five additional unrepresented counties capable of adding qualifying municipality rows. The minimum relaxation lowers the county floor to ≥300,000; permitted states, Census adjacency, municipality ≥10,000, general-purpose municipal form, duplicate handling, and store-attribution rules remain unchanged.</x:t>
        </x:is>
      </x:c>
      <x:c r="C96" s="1" t="inlineStr">
        <x:is>
          <x:t xml:space="preserve">Census Vintage 2025 remains the population standard. No municipal population threshold relaxation was used.</x:t>
        </x:is>
      </x:c>
      <x:c r="D96" s="1" t="inlineStr">
        <x:is>
          <x:t xml:space="preserve">Selected all five as direct Census-adjacency additions; no adjacency-ring fallback was needed.</x:t>
        </x:is>
      </x:c>
    </x:row>
    <x:row r="97" s="44" customFormat="1">
      <x:c r="A97" s="1" t="inlineStr">
        <x:is>
          <x:t xml:space="preserve">County selection</x:t>
        </x:is>
      </x:c>
      <x:c r="B97" s="1" t="inlineStr">
        <x:is>
          <x:t xml:space="preserve">Selected Burlington NJ, Orange NY, York PA, Somerset NJ, and Gloucester NJ after ranking qualifying-municipality breadth, documented specialty-grocery presence, adjacency continuity, and county population.</x:t>
        </x:is>
      </x:c>
      <x:c r="C97" s="1" t="inlineStr">
        <x:is>
          <x:t xml:space="preserve">V2025 county populations are approximately 481k Burlington, 418k Orange, 473k York, 356k Somerset, and 313k Gloucester.</x:t>
        </x:is>
      </x:c>
      <x:c r="D97" s="1" t="inlineStr">
        <x:is>
          <x:t xml:space="preserve">Baltimore County MD remains excluded despite &gt;500k population because it has no incorporated municipal population to contribute; NYC county-equivalents would duplicate the already represented New York City row.</x:t>
        </x:is>
      </x:c>
    </x:row>
    <x:row r="98" s="44" customFormat="1">
      <x:c r="A98" s="1" t="inlineStr">
        <x:is>
          <x:t xml:space="preserve">10k+ municipality completion</x:t>
        </x:is>
      </x:c>
      <x:c r="B98" s="1" t="inlineStr">
        <x:is>
          <x:t xml:space="preserve">Added 63 net-new City+State rows from 65 qualifying candidate municipality records before duplicate-key suppression.</x:t>
        </x:is>
      </x:c>
      <x:c r="C98" s="1" t="inlineStr">
        <x:is>
          <x:t xml:space="preserve">Orange County uses the established non-overlapping New York cities + towns layer; nested villages are excluded. Crawford town is below 10,000 in V2025. York County includes West Manheim Township, which is above 10,000 in V2025, while North Codorus and East Manchester remain below.</x:t>
        </x:is>
      </x:c>
      <x:c r="D98" s="1" t="inlineStr">
        <x:is>
          <x:t xml:space="preserve">County aggregation was rebuilt across 259 represented counties/county equivalents from the complete 704-row municipal table.</x:t>
        </x:is>
      </x:c>
    </x:row>
    <x:row r="99" s="44" customFormat="1">
      <x:c r="A99" s="1" t="inlineStr">
        <x:is>
          <x:t xml:space="preserve">Duplicate-key handling</x:t>
        </x:is>
      </x:c>
      <x:c r="B99" s="1" t="inlineStr">
        <x:is>
          <x:t xml:space="preserve">City + State remains the primary duplicate key. Existing canonical rows are preserved; within this pass, higher-priority selected counties are retained first when same-state municipality names collide.</x:t>
        </x:is>
      </x:c>
      <x:c r="C99" s="1" t="inlineStr">
        <x:is>
          <x:t xml:space="preserve">Suppressed collisions: Franklin Township, NJ (Gloucester County); Washington Township, NJ (Gloucester County).</x:t>
        </x:is>
      </x:c>
      <x:c r="D99" s="1" t="inlineStr">
        <x:is>
          <x:t xml:space="preserve">This follows the workbook's established collision rule rather than creating duplicate City+State rows.</x:t>
        </x:is>
      </x:c>
    </x:row>
    <x:row r="100" s="44" customFormat="1">
      <x:c r="A100" s="1" t="inlineStr">
        <x:is>
          <x:t xml:space="preserve">Store-count treatment</x:t>
        </x:is>
      </x:c>
      <x:c r="B100" s="1" t="inlineStr">
        <x:is>
          <x:t xml:space="preserve">All new rows use Presence Floor = 1 and are labeled proxy-only. First-party/official county evidence includes Whole Foods/Wegmans in Burlington and Somerset, Sprouts York, Adams Fairacre Farms in Orange, and Rastelli Market Fresh Deptford in Gloucester.</x:t>
        </x:is>
      </x:c>
      <x:c r="C100" s="1" t="inlineStr">
        <x:is>
          <x:t xml:space="preserve">County-level evidence is not silently converted into a city/town/township chain count where store branding, postal city, or boundary membership is uncertain.</x:t>
        </x:is>
      </x:c>
      <x:c r="D100" s="1" t="inlineStr">
        <x:is>
          <x:t xml:space="preserve">Exact tracked-chain municipal counts remain a GIS/locator verification task.</x:t>
        </x:is>
      </x:c>
    </x:row>
    <x:row r="101" s="44" customFormat="1">
      <x:c r="A101" s="1" t="inlineStr">
        <x:is>
          <x:t xml:space="preserve">Area basis</x:t>
        </x:is>
      </x:c>
      <x:c r="B101" s="1" t="inlineStr">
        <x:is>
          <x:t xml:space="preserve">New municipal land areas use Census 2025 Gazetteer ALAND_SQMI. County land areas also use the 2025 Gazetteer.</x:t>
        </x:is>
      </x:c>
      <x:c r="C101" s="1" t="inlineStr">
        <x:is>
          <x:t xml:space="preserve">County FIPS/area: Burlington 34005 / 799.292; Orange 36071 / 812.079; York 42133 / 904.352; Somerset 34035 / 301.873; Gloucester 34015 / 322.009.</x:t>
        </x:is>
      </x:c>
      <x:c r="D101" s="1" t="inlineStr">
        <x:is>
          <x:t xml:space="preserve">All new county density denominators are nonblank and positive.</x:t>
        </x:is>
      </x:c>
    </x:row>
    <x:row r="102" s="44" customFormat="1">
      <x:c r="A102" s="1" t="inlineStr">
        <x:is>
          <x:t xml:space="preserve">Ranking / QA refresh</x:t>
        </x:is>
      </x:c>
      <x:c r="B102" s="1" t="inlineStr">
        <x:is>
          <x:t xml:space="preserve">All 704 municipality rows were sorted and re-ranked by proxy/lower-bound stores per land sq mi.</x:t>
        </x:is>
      </x:c>
      <x:c r="C102" s="1" t="inlineStr">
        <x:is>
          <x:t xml:space="preserve">All 259 county rows were rebuilt and re-ranked from the complete municipality table.</x:t>
        </x:is>
      </x:c>
      <x:c r="D102" s="1" t="inlineStr">
        <x:is>
          <x:t xml:space="preserve">Duplicate keys, component reconciliation, positive land areas, and formula references were checked before export.</x:t>
        </x:is>
      </x:c>
    </x:row>
    <x:row r="104">
      <x:c r="A104" t="str">
        <x:v>748-municipality next-five ≥300k expansion — 2026-09-15</x:v>
      </x:c>
      <x:c r="B104" t="str">
        <x:v>Selection rule</x:v>
      </x:c>
      <x:c r="C104" t="str">
        <x:v>Eligibility / store estimate</x:v>
      </x:c>
      <x:c r="D104" t="str">
        <x:v>County handling</x:v>
      </x:c>
    </x:row>
    <x:row r="105">
      <x:c r="A105" t="str">
        <x:v>County selection</x:v>
      </x:c>
      <x:c r="B105" t="str">
        <x:v>Continued the documented ≥300,000 county-population fallback within the permitted 13-state universe. Selected Westmoreland PA, Dutchess NY, Ottawa MI, Rockingham NH, and Luzerne PA after ranking qualifying-municipality breadth, specialty-grocery evidence, county population, and geographic continuity.</x:v>
      </x:c>
      <x:c r="C105" t="str">
        <x:v>Municipal eligibility remains Census Vintage 2025 population ≥10,000 and general-purpose city-equivalent governmental units. CDPs/statistical places remain excluded.</x:v>
      </x:c>
      <x:c r="D105" t="str">
        <x:v>All five selected counties are direct Census-adjacency additions; no additional adjacency-ring or population-threshold relaxation was required.</x:v>
      </x:c>
    </x:row>
    <x:row r="106">
      <x:c r="A106" t="str">
        <x:v>County priority rationale</x:v>
      </x:c>
      <x:c r="B106" t="str">
        <x:v>Qualifying records before de-duplication: Westmoreland 10, Dutchess 10, Ottawa 10, Rockingham 8, Luzerne 7. These counties outranked the next remaining ≥300k candidate, Rockland NY, on qualifying-municipality breadth.</x:v>
      </x:c>
      <x:c r="C106" t="str">
        <x:v>County V2025 populations: Westmoreland 349,324; Dutchess 300,708; Ottawa 308,459; Rockingham 324,077; Luzerne 332,126.</x:v>
      </x:c>
      <x:c r="D106" t="str">
        <x:v>Selection evidence includes Nature's Way Market in Greensburg, Adams Fairacre Farms in Dutchess County, year-round/local food markets in Ottawa County, Whole Foods Portsmouth, and Wegmans Wilkes-Barre.</x:v>
      </x:c>
    </x:row>
    <x:row r="107">
      <x:c r="A107" t="str">
        <x:v>10k+ municipality completion</x:v>
      </x:c>
      <x:c r="B107" t="str">
        <x:v>Added 44 net-new City+State rows from 45 qualifying municipal records. Westmoreland contributes 9 net-new after duplicate suppression; Dutchess 10; Ottawa 10; Rockingham 8; Luzerne 7.</x:v>
      </x:c>
      <x:c r="C107" t="str">
        <x:v>New York continues the non-overlapping cities + towns convention. Threshold-edge exclusions include Mount Pleasant Township PA, Pleasant Valley and Dover NY, Newmarket and Seabrook NH.</x:v>
      </x:c>
      <x:c r="D107" t="str">
        <x:v>County aggregation was rebuilt across 264 represented counties/county equivalents from the complete 748-row municipality table.</x:v>
      </x:c>
    </x:row>
    <x:row r="108">
      <x:c r="A108" t="str">
        <x:v>Duplicate / multi-county handling</x:v>
      </x:c>
      <x:c r="B108" t="str">
        <x:v>Penn Township PA in Westmoreland County was suppressed because City + State is already represented by the canonical Penn Township row assigned to York County.</x:v>
      </x:c>
      <x:c r="C108" t="str">
        <x:v>Holland City MI spans Allegan and Ottawa counties. Because it is new, this pass assigns the canonical row to Ottawa County and uses the full Census place land area.</x:v>
      </x:c>
      <x:c r="D108" t="str">
        <x:v>No duplicate City+State or County+State rows were introduced.</x:v>
      </x:c>
    </x:row>
    <x:row r="109">
      <x:c r="A109" t="str">
        <x:v>Store-count treatment</x:v>
      </x:c>
      <x:c r="B109" t="str">
        <x:v>Portsmouth City NH carries a confirmed lower bound of Whole Foods = 1 from the retailer's official Portsmouth store page at 1600 Woodbury Avenue.</x:v>
      </x:c>
      <x:c r="C109" t="str">
        <x:v>The remaining 43 new rows use Presence Floor = 1. The Wegmans Wilkes-Barre store remains county-level evidence only because store/postal branding is not sufficient municipal-boundary proof.</x:v>
      </x:c>
      <x:c r="D109" t="str">
        <x:v>Non-tracked specialty evidence is used only for county selection and is not silently mapped into the five tracked-chain columns.</x:v>
      </x:c>
    </x:row>
    <x:row r="110">
      <x:c r="A110" t="str">
        <x:v>Area / population basis</x:v>
      </x:c>
      <x:c r="B110" t="str">
        <x:v>New municipal land areas use Census 2025 Gazetteer values / current Census place geography. New county population eligibility uses Census Vintage 2025 QuickFacts.</x:v>
      </x:c>
      <x:c r="C110" t="str">
        <x:v>County land areas: Westmoreland 1,027.710; Dutchess 795.650; Ottawa 563.520; Rockingham 695.390; Luzerne 889.660 square miles.</x:v>
      </x:c>
      <x:c r="D110" t="str">
        <x:v>County FIPS: Westmoreland 42129; Dutchess 36027; Ottawa 26139; Rockingham 33015; Luzerne 42079.</x:v>
      </x:c>
    </x:row>
    <x:row r="111">
      <x:c r="A111" t="str">
        <x:v>Ranking / QA refresh</x:v>
      </x:c>
      <x:c r="B111" t="str">
        <x:v>All 748 municipality rows were sorted and re-ranked by Proxy / Lower-Bound Stores per land square mile.</x:v>
      </x:c>
      <x:c r="C111" t="str">
        <x:v>All 264 county rows were rebuilt and re-ranked from the complete municipality table.</x:v>
      </x:c>
      <x:c r="D111" t="str">
        <x:v>Duplicate keys, component reconciliation, positive area denominators, source documentation, and active spreadsheet error tokens were checked before export.</x:v>
      </x:c>
    </x:row>
    <x:row r="113">
      <x:c r="A113" t="str">
        <x:v>775-municipality next-five &gt;=50k county expansion — 2026-09-15</x:v>
      </x:c>
      <x:c r="B113" t="str">
        <x:v>Selection rule</x:v>
      </x:c>
      <x:c r="C113" t="str">
        <x:v>Eligibility / store estimate</x:v>
      </x:c>
      <x:c r="D113" t="str">
        <x:v>County handling</x:v>
      </x:c>
    </x:row>
    <x:row r="114">
      <x:c r="A114" t="str">
        <x:v>Rule change</x:v>
      </x:c>
      <x:c r="B114" t="str">
        <x:v>County population requirement lowered from &gt;=300,000 to &gt;=50,000 per user instruction. Municipal threshold stays &gt;=10,000; permitted states and direct-adjacency preference are unchanged.</x:v>
      </x:c>
      <x:c r="C114" t="str">
        <x:v>Census Vintage 2025 remains the population standard. No municipal threshold relaxation was used.</x:v>
      </x:c>
      <x:c r="D114" t="str">
        <x:v>All five selected counties are direct-adjacency additions; no ring fallback was needed.</x:v>
      </x:c>
    </x:row>
    <x:row r="115">
      <x:c r="A115" t="str">
        <x:v>County selection</x:v>
      </x:c>
      <x:c r="B115" t="str">
        <x:v>Selected Cumberland PA, Atlantic NJ, Rockland NY, Washington PA, and Harford MD by qualifying-municipality breadth, specialty-grocery evidence, adjacency, and county population.</x:v>
      </x:c>
      <x:c r="C115" t="str">
        <x:v>Qualifying records: Cumberland 8; Atlantic 7; Rockland 5; Washington 4; Harford 3. V2025 county populations: 277,270; 278,657; 357,397; 210,802; 266,446.</x:v>
      </x:c>
      <x:c r="D115" t="str">
        <x:v>Harford was favored among the three-municipality tier because of larger county scale and verified Wegmans county-level presence.</x:v>
      </x:c>
    </x:row>
    <x:row r="116">
      <x:c r="A116" t="str">
        <x:v>10k+ municipality completion</x:v>
      </x:c>
      <x:c r="B116" t="str">
        <x:v>Added 27 net-new City+State rows from 27 qualifying municipality records.</x:v>
      </x:c>
      <x:c r="C116" t="str">
        <x:v>Rockland uses the established non-overlapping NY towns convention. Monroe Township PA (Cumberland) and South Strabane Township PA (Washington) are below 10,000 and excluded.</x:v>
      </x:c>
      <x:c r="D116" t="str">
        <x:v>County aggregation rebuilt across 269 represented counties/county equivalents from the complete 775-row municipality table.</x:v>
      </x:c>
    </x:row>
    <x:row r="117">
      <x:c r="A117" t="str">
        <x:v>Store-count treatment</x:v>
      </x:c>
      <x:c r="B117" t="str">
        <x:v>All 27 new rows use Presence Floor = 1. Wegmans Harrisburg/Mechanicsburg, Wegmans Bel Air/Abingdon, Bagliani's Hammonton, Rockland farmers' markets, and Washington County markets are selection evidence.</x:v>
      </x:c>
      <x:c r="C117" t="str">
        <x:v>Tracked-chain county evidence is not assigned to a qualifying municipality where postal/store branding does not prove incorporated-boundary membership.</x:v>
      </x:c>
      <x:c r="D117" t="str">
        <x:v>Non-tracked specialty evidence is not mapped into the five tracked chain columns.</x:v>
      </x:c>
    </x:row>
    <x:row r="118">
      <x:c r="A118" t="str">
        <x:v>Area / population basis</x:v>
      </x:c>
      <x:c r="B118" t="str">
        <x:v>New municipal land areas use Census QuickFacts/TIGER geography; county eligibility and denominators use Census Vintage 2025 QuickFacts.</x:v>
      </x:c>
      <x:c r="C118" t="str">
        <x:v>County land areas: Cumberland 545.48; Atlantic 555.51; Rockland 173.44; Washington PA 857.01; Harford 437.13 sq mi.</x:v>
      </x:c>
      <x:c r="D118" t="str">
        <x:v>FIPS: Cumberland 42041; Atlantic 34001; Rockland 36087; Washington PA 42125; Harford 24025.</x:v>
      </x:c>
    </x:row>
    <x:row r="119">
      <x:c r="A119" t="str">
        <x:v>Ranking / QA refresh</x:v>
      </x:c>
      <x:c r="B119" t="str">
        <x:v>All 775 municipality rows were re-sorted and re-ranked by Proxy / Lower-Bound Stores per land square mile.</x:v>
      </x:c>
      <x:c r="C119" t="str">
        <x:v>All 269 county rows were rebuilt and re-ranked from the complete municipality table.</x:v>
      </x:c>
      <x:c r="D119" t="str">
        <x:v>Duplicate keys, component reconciliation, positive area denominators, sources, and spreadsheet errors were checked before export.</x:v>
      </x:c>
    </x:row>
    <x:row r="121">
      <x:c r="A121" t="str">
        <x:v>804-municipality next-five &gt;=50k expansion — 2026-09-15</x:v>
      </x:c>
      <x:c r="B121" t="str">
        <x:v>Selection rule</x:v>
      </x:c>
      <x:c r="C121" t="str">
        <x:v>Eligibility / store estimate</x:v>
      </x:c>
      <x:c r="D121" t="str">
        <x:v>County handling</x:v>
      </x:c>
    </x:row>
    <x:row r="122">
      <x:c r="A122" t="str">
        <x:v>County selection</x:v>
      </x:c>
      <x:c r="B122" t="str">
        <x:v>Continued the &gt;=50,000 county-population floor and &gt;=10,000 municipality threshold in the permitted 13-state universe. Selected Saratoga NY, York ME, Ontario NY, Putnam NY, and Strafford NH after ranking direct-adjacent unrepresented counties by qualifying-municipality breadth, specialty-grocery evidence, and county population.</x:v>
      </x:c>
      <x:c r="C122" t="str">
        <x:v>Qualifying municipalities: Saratoga 8; York ME 7; Ontario 5; Putnam 5; Strafford 4. Census Vintage 2025 county populations are 241,343; 222,434; 113,130; 99,028; and 135,043 respectively.</x:v>
      </x:c>
      <x:c r="D122" t="str">
        <x:v>All five are direct Census-adjacency additions: Saratoga via Albany; York ME via Cumberland ME; Ontario via Monroe; Putnam via Dutchess; Strafford via Rockingham.</x:v>
      </x:c>
    </x:row>
    <x:row r="123">
      <x:c r="A123" t="str">
        <x:v>10k+ municipality completion</x:v>
      </x:c>
      <x:c r="B123" t="str">
        <x:v>Added 29 net-new City+State rows with no duplicate suppression required.</x:v>
      </x:c>
      <x:c r="C123" t="str">
        <x:v>New York continues the non-overlapping cities + towns convention. Threshold-edge exclusions include Saratoga town (5,859), Manchester town in Ontario County (9,225), Phelps town (6,559), Philipstown (&lt;10,000 latest available), and Barrington NH (&lt;10,000 latest available).</x:v>
      </x:c>
      <x:c r="D123" t="str">
        <x:v>County aggregation was rebuilt across 274 represented counties/county equivalents from the complete 804-row municipality table.</x:v>
      </x:c>
    </x:row>
    <x:row r="124">
      <x:c r="A124" t="str">
        <x:v>Store-count treatment</x:v>
      </x:c>
      <x:c r="B124" t="str">
        <x:v>Canandaigua city and Geneva city each carry Wegmans = 1 as directly verified lower bounds from official retailer store pages.</x:v>
      </x:c>
      <x:c r="C124" t="str">
        <x:v>The other 27 new rows use Presence Floor = 1. Healthy Living Saratoga, York Farmers' Market, Putnam County local-food markets, and Dover Natural Marketplace support county-selection relevance without being mapped into the tracked-chain columns.</x:v>
      </x:c>
      <x:c r="D124" t="str">
        <x:v>No postal/store-branding location was attributed to a municipality without boundary confidence.</x:v>
      </x:c>
    </x:row>
    <x:row r="125">
      <x:c r="A125" t="str">
        <x:v>Area / population basis</x:v>
      </x:c>
      <x:c r="B125" t="str">
        <x:v>New municipal land areas use Census 2025 Gazetteer ALAND_SQMI. County populations and county land areas use Census QuickFacts / Vintage 2025.</x:v>
      </x:c>
      <x:c r="C125" t="str">
        <x:v>County land areas: Saratoga 810.00; York ME 991.19; Ontario 644.08; Putnam 230.20; Strafford 367.47 square miles.</x:v>
      </x:c>
      <x:c r="D125" t="str">
        <x:v>County FIPS: Saratoga 36091; York ME 23031; Ontario 36069; Putnam 36079; Strafford 33017.</x:v>
      </x:c>
    </x:row>
    <x:row r="126">
      <x:c r="A126" t="str">
        <x:v>Ranking / QA refresh</x:v>
      </x:c>
      <x:c r="B126" t="str">
        <x:v>All 804 municipality rows were sorted and re-ranked by Proxy / Lower-Bound Stores per land square mile.</x:v>
      </x:c>
      <x:c r="C126" t="str">
        <x:v>All 274 county rows were rebuilt and re-ranked from the complete municipality table.</x:v>
      </x:c>
      <x:c r="D126" t="str">
        <x:v>Duplicate keys, component reconciliation, positive area denominators, source documentation, and spreadsheet error tokens were checked before export.</x:v>
      </x:c>
    </x:row>
    <x:row r="128">
      <x:c r="A128" t="str">
        <x:v>831-municipality next-five &gt;=50k expansion — 2026-09-15</x:v>
      </x:c>
      <x:c r="B128" t="str">
        <x:v>Selection rule</x:v>
      </x:c>
      <x:c r="C128" t="str">
        <x:v>Eligibility / store estimate</x:v>
      </x:c>
      <x:c r="D128" t="str">
        <x:v>County handling</x:v>
      </x:c>
    </x:row>
    <x:row r="129">
      <x:c r="A129" t="str">
        <x:v>County selection</x:v>
      </x:c>
      <x:c r="B129" t="str">
        <x:v>Continued the &gt;=50,000 county-population floor and &gt;=10,000 municipality threshold in the permitted 13-state universe. Selected Ulster NY, Niagara NY, Franklin PA, Butler PA, and Kent DE after ranking direct-adjacent unrepresented counties by qualifying-municipality breadth, specialty-grocery evidence, and county scale.</x:v>
      </x:c>
      <x:c r="C129" t="str">
        <x:v>Qualifying municipal records: Ulster 8; Niagara 6; Franklin 6; Butler 4; Kent 3. Census Vintage 2025 county populations: 183,330; 208,912; 160,652; 200,169; 194,786.</x:v>
      </x:c>
      <x:c r="D129" t="str">
        <x:v>All five are direct Census-adjacency additions: Ulster via Dutchess/Orange, Niagara via Erie, Franklin via Cumberland, Butler via Allegheny/Westmoreland, and Kent via New Castle.</x:v>
      </x:c>
    </x:row>
    <x:row r="130">
      <x:c r="A130" t="str">
        <x:v>10k+ municipality completion</x:v>
      </x:c>
      <x:c r="B130" t="str">
        <x:v>Added 27 net-new City+State rows with no duplicate suppression required.</x:v>
      </x:c>
      <x:c r="C130" t="str">
        <x:v>New York continues the non-overlapping cities + towns convention. Ulster villages remain excluded. Niagara qualifying municipalities include Lewiston, Lockport city/town, Niagara Falls, North Tonawanda, and Wheatfield.</x:v>
      </x:c>
      <x:c r="D130" t="str">
        <x:v>County aggregation was rebuilt across 279 represented counties/county equivalents from the complete 831-row municipality table.</x:v>
      </x:c>
    </x:row>
    <x:row r="131">
      <x:c r="A131" t="str">
        <x:v>Store-count treatment</x:v>
      </x:c>
      <x:c r="B131" t="str">
        <x:v>Cranberry township PA carries Fresh Thyme = 1 as a directly verified lower bound from the retailer's official Cranberry Township store page.</x:v>
      </x:c>
      <x:c r="C131" t="str">
        <x:v>The other 26 new rows use Presence Floor = 1. Wegmans Military Road in Niagara County remains county-level evidence because a Niagara Falls postal address is not treated as incorporated-city boundary proof.</x:v>
      </x:c>
      <x:c r="D131" t="str">
        <x:v>Adams Fairacre Farms Kingston, Jim's Farmers Market, and Fifer's Farm Store support county-selection relevance but are not silently mapped into tracked-chain columns.</x:v>
      </x:c>
    </x:row>
    <x:row r="132">
      <x:c r="A132" t="str">
        <x:v>Area / multi-county handling</x:v>
      </x:c>
      <x:c r="B132" t="str">
        <x:v>New municipal land areas use Census QuickFacts / TIGERweb current geography. County land areas use Census QuickFacts 2020 land area.</x:v>
      </x:c>
      <x:c r="C132" t="str">
        <x:v>County land areas: Ulster 1,124.24; Niagara 522.35; Franklin 772.30; Butler 789.49; Kent 586.06 square miles.</x:v>
      </x:c>
      <x:c r="D132" t="str">
        <x:v>Smyrna town and Milford city span county boundaries and are canonically assigned to Kent County for this expansion; the full Census place land area is used.</x:v>
      </x:c>
    </x:row>
    <x:row r="133">
      <x:c r="A133" t="str">
        <x:v>Ranking / QA refresh</x:v>
      </x:c>
      <x:c r="B133" t="str">
        <x:v>All 831 municipality rows were sorted and re-ranked by Proxy / Lower-Bound Stores per land square mile.</x:v>
      </x:c>
      <x:c r="C133" t="str">
        <x:v>All 279 county rows were rebuilt and re-ranked from the complete municipality table.</x:v>
      </x:c>
      <x:c r="D133" t="str">
        <x:v>Duplicate keys, component reconciliation, positive area denominators, source documentation, and active spreadsheet error tokens were checked before export.</x:v>
      </x:c>
    </x:row>
    <x:row r="135">
      <x:c r="A135" t="str">
        <x:v>871-municipality next-five &gt;=50k expansion — 2026-09-15</x:v>
      </x:c>
      <x:c r="B135" t="str">
        <x:v>Selection rule</x:v>
      </x:c>
      <x:c r="C135" t="str">
        <x:v>Eligibility / store estimate</x:v>
      </x:c>
      <x:c r="D135" t="str">
        <x:v>County handling</x:v>
      </x:c>
    </x:row>
    <x:row r="136">
      <x:c r="A136" t="str">
        <x:v>County selection</x:v>
      </x:c>
      <x:c r="B136" t="str">
        <x:v>Continued the &gt;=50,000 county-population floor and &gt;=10,000 municipality threshold in the permitted 13-state universe. Selected Warren OH, Barnstable MA, Lake OH, Delaware OH, and Clermont OH after ranking direct-adjacent unrepresented counties by qualifying-municipality breadth, specialty-grocery evidence, and county scale.</x:v>
      </x:c>
      <x:c r="C136" t="str">
        <x:v>Qualifying records before de-duplication: Warren 9; Barnstable 9; Lake 9; Delaware 8; Clermont 6. Census Vintage 2025 county populations: 257,181; 233,539; 232,217; 242,032; 216,977.</x:v>
      </x:c>
      <x:c r="D136" t="str">
        <x:v>All five are direct Census-adjacency additions. No ring fallback or further population relaxation was required.</x:v>
      </x:c>
    </x:row>
    <x:row r="137">
      <x:c r="A137" t="str">
        <x:v>10k+ municipality completion</x:v>
      </x:c>
      <x:c r="B137" t="str">
        <x:v>Added 40 net-new City+State rows from 41 qualifying municipality records. Delaware County's Concord Township was suppressed because Lake County's higher-priority Concord Township OH had already been added in the same pass.</x:v>
      </x:c>
      <x:c r="C137" t="str">
        <x:v>Barnstable adds nine city-equivalent towns/city; Lake adds six cities and three townships; Warren adds four cities and five townships; Delaware adds seven net-new municipalities; Clermont adds six.</x:v>
      </x:c>
      <x:c r="D137" t="str">
        <x:v>County aggregation was rebuilt across 284 represented counties/county equivalents from the complete 871-row municipality table.</x:v>
      </x:c>
    </x:row>
    <x:row r="138">
      <x:c r="A138" t="str">
        <x:v>Multi-county / duplicate handling</x:v>
      </x:c>
      <x:c r="B138" t="str">
        <x:v>Springboro City OH spans Warren and Montgomery counties and is canonically assigned to Warren County. Dublin City and Westerville City span multiple counties and are canonically assigned to Delaware County. Loveland City spans multiple counties and is canonically assigned to Clermont County.</x:v>
      </x:c>
      <x:c r="C138" t="str">
        <x:v>The full Census place land area is used for those multi-county incorporated places. City+State remains the workbook's de-duplication key.</x:v>
      </x:c>
      <x:c r="D138" t="str">
        <x:v>No duplicate City+State or County+State rows were introduced.</x:v>
      </x:c>
    </x:row>
    <x:row r="139">
      <x:c r="A139" t="str">
        <x:v>Store-count treatment</x:v>
      </x:c>
      <x:c r="B139" t="str">
        <x:v>Mason City OH carries Whole Foods = 1 as a directly verified lower bound from the retailer's official Mason store page at 5805 Deerfield Blvd.</x:v>
      </x:c>
      <x:c r="C139" t="str">
        <x:v>The other 39 new rows use Presence Floor = 1. Whole Foods Hyannis, Heinen's Mentor/Willoughby, Fresh Thyme Westerville, and Jungle Jim's Eastgate support county selection but are not converted into municipal tracked-chain counts where municipal/boundary attribution is not explicit or the chain is outside the five tracked columns.</x:v>
      </x:c>
      <x:c r="D139" t="str">
        <x:v>No postal/store-branding precision was fabricated.</x:v>
      </x:c>
    </x:row>
    <x:row r="140">
      <x:c r="A140" t="str">
        <x:v>Area / population basis</x:v>
      </x:c>
      <x:c r="B140" t="str">
        <x:v>Municipal land areas use Census 2025 TIGER/Gazetteer geography. County populations and land areas use Census Vintage 2025 QuickFacts/TIGER.</x:v>
      </x:c>
      <x:c r="C140" t="str">
        <x:v>County land areas: Warren 401.43; Barnstable 394.18; Lake 229.27; Delaware 443.15; Clermont 452.56 square miles.</x:v>
      </x:c>
      <x:c r="D140" t="str">
        <x:v>County FIPS: Warren 39165; Barnstable 25001; Lake 39085; Delaware 39041; Clermont 39025.</x:v>
      </x:c>
    </x:row>
    <x:row r="141">
      <x:c r="A141" t="str">
        <x:v>Ranking / QA refresh</x:v>
      </x:c>
      <x:c r="B141" t="str">
        <x:v>All 871 municipality rows were sorted and re-ranked by Proxy / Lower-Bound Stores per land square mile.</x:v>
      </x:c>
      <x:c r="C141" t="str">
        <x:v>All 284 county rows were rebuilt and re-ranked from the complete municipality table.</x:v>
      </x:c>
      <x:c r="D141" t="str">
        <x:v>Duplicate keys, component reconciliation, positive area denominators, source documentation, and active spreadsheet error tokens were checked before export.</x:v>
      </x:c>
    </x:row>
    <x:row r="143">
      <x:c r="A143" t="str">
        <x:v>900-municipality next-five &gt;=50k expansion — 2026-09-15</x:v>
      </x:c>
      <x:c r="B143" t="str">
        <x:v>Selection rule</x:v>
      </x:c>
      <x:c r="C143" t="str">
        <x:v>Eligibility / store estimate</x:v>
      </x:c>
      <x:c r="D143" t="str">
        <x:v>County handling</x:v>
      </x:c>
    </x:row>
    <x:row r="144">
      <x:c r="A144" t="str">
        <x:v>County selection</x:v>
      </x:c>
      <x:c r="B144" t="str">
        <x:v>Continued the &gt;=50,000 county-population floor and &gt;=10,000 municipality threshold in the permitted 13-state universe. Selected Livingston MI, Hampshire MA, Muskegon MI, Portage OH, and Medina OH after ranking direct-adjacent unrepresented counties by qualifying-municipality breadth, specialty-grocery evidence, and county scale.</x:v>
      </x:c>
      <x:c r="C144" t="str">
        <x:v>Qualifying municipalities: Livingston 8; Hampshire 6; Muskegon 5; Portage 5; Medina 5. Census Vintage 2025 county populations: 197,315; 164,065; 177,901; 163,404; 185,025.</x:v>
      </x:c>
      <x:c r="D144" t="str">
        <x:v>All five are direct Census-adjacency additions. No ring fallback or further population relaxation was required.</x:v>
      </x:c>
    </x:row>
    <x:row r="145">
      <x:c r="A145" t="str">
        <x:v>10k+ municipality completion</x:v>
      </x:c>
      <x:c r="B145" t="str">
        <x:v>Added 29 net-new City+State rows with no duplicate suppression required.</x:v>
      </x:c>
      <x:c r="C145" t="str">
        <x:v>Livingston includes eight qualifying townships; Hampshire includes Amherst, Belchertown, Easthampton, Northampton, South Hadley, and Ware; Muskegon includes Muskegon city/township, Norton Shores, Fruitport, and Egelston; Portage includes Aurora, Brimfield, Kent, Ravenna, and Streetsboro; Medina includes Brunswick, Brunswick Hills, Medina City, Montville, and Wadsworth.</x:v>
      </x:c>
      <x:c r="D145" t="str">
        <x:v>County aggregation was rebuilt across 289 represented counties/county equivalents from the complete 900-row municipality table.</x:v>
      </x:c>
    </x:row>
    <x:row r="146">
      <x:c r="A146" t="str">
        <x:v>Store-count treatment</x:v>
      </x:c>
      <x:c r="B146" t="str">
        <x:v>All 29 new municipality rows use Presence Floor = 1. Whole Foods Hadley is county-selection evidence for Hampshire but Hadley is below the 10,000 threshold and is not added as a municipality row.</x:v>
      </x:c>
      <x:c r="C146" t="str">
        <x:v>Simply Fresh / county local-food resources in Livingston, Sweetwater Local Foods Market in Muskegon, Kent Natural Foods / Haymaker in Portage, and Medina farmers-market/local-food evidence support county selection.</x:v>
      </x:c>
      <x:c r="D146" t="str">
        <x:v>No county-level or non-tracked evidence was silently converted into the five tracked chain columns.</x:v>
      </x:c>
    </x:row>
    <x:row r="147">
      <x:c r="A147" t="str">
        <x:v>Area / population basis</x:v>
      </x:c>
      <x:c r="B147" t="str">
        <x:v>New municipal land areas use Census 2025 Gazetteer ALAND_SQMI. County population and county land-area eligibility use Census Vintage 2025 QuickFacts.</x:v>
      </x:c>
      <x:c r="C147" t="str">
        <x:v>County land areas: Livingston 565.28; Hampshire 527.23; Muskegon 503.91; Portage 487.41; Medina 421.46 square miles.</x:v>
      </x:c>
      <x:c r="D147" t="str">
        <x:v>County FIPS: Livingston 26093; Hampshire 25015; Muskegon 26121; Portage 39133; Medina 39103.</x:v>
      </x:c>
    </x:row>
    <x:row r="148">
      <x:c r="A148" t="str">
        <x:v>Threshold edge checks</x:v>
      </x:c>
      <x:c r="B148" t="str">
        <x:v>Howell City MI is 9,896 in V2025 and excluded; Dalton Township MI is 9,651 and excluded; Ware Town MA is 10,128 and included; Medina Township OH remains below 10,000 and is excluded.</x:v>
      </x:c>
      <x:c r="C148" t="str">
        <x:v>Brunswick Hills Township OH is retained because its 2020 Census population already exceeded 10,000 and subsequent estimates remain above the threshold.</x:v>
      </x:c>
      <x:c r="D148" t="str">
        <x:v>No municipal-population threshold relaxation was made.</x:v>
      </x:c>
    </x:row>
    <x:row r="149">
      <x:c r="A149" t="str">
        <x:v>Ranking / QA refresh</x:v>
      </x:c>
      <x:c r="B149" t="str">
        <x:v>All 900 municipality rows were sorted and re-ranked by Proxy / Lower-Bound Stores per land square mile.</x:v>
      </x:c>
      <x:c r="C149" t="str">
        <x:v>All 289 county rows were rebuilt and re-ranked from the complete municipality table.</x:v>
      </x:c>
      <x:c r="D149" t="str">
        <x:v>Duplicate keys, component reconciliation, positive area denominators, source documentation, and active spreadsheet error tokens were checked before export.</x:v>
      </x:c>
    </x:row>
    <x:row r="151">
      <x:c r="A151" t="str">
        <x:v>921-municipality next-five &gt;=50k expansion — 2026-09-15</x:v>
      </x:c>
      <x:c r="B151" t="str">
        <x:v>Selection rule</x:v>
      </x:c>
      <x:c r="C151" t="str">
        <x:v>Eligibility / store estimate</x:v>
      </x:c>
      <x:c r="D151" t="str">
        <x:v>County handling</x:v>
      </x:c>
    </x:row>
    <x:row r="152">
      <x:c r="A152" t="str">
        <x:v>County selection</x:v>
      </x:c>
      <x:c r="B152" t="str">
        <x:v>Continued the &gt;=50,000 county-population floor and &gt;=10,000 municipality threshold in the permitted 13-state universe. Selected Greene OH, Saginaw MI, Jackson MI, Monroe MI, and Wood OH after ranking direct-adjacent unrepresented counties primarily by qualifying-municipality breadth, with county scale and specialty-grocery evidence as tie-breakers.</x:v>
      </x:c>
      <x:c r="C152" t="str">
        <x:v>Qualifying municipalities: Greene 5; Saginaw 4; Jackson 4; Monroe 4; Wood 4. Census Vintage 2025 county populations: Greene 174,322; Saginaw 187,688; Jackson 159,552; Monroe 156,004; Wood 134,176.</x:v>
      </x:c>
      <x:c r="D152" t="str">
        <x:v>All five are direct Census-adjacency additions. No ring fallback or further population relaxation was required.</x:v>
      </x:c>
    </x:row>
    <x:row r="153">
      <x:c r="A153" t="str">
        <x:v>10k+ municipality completion</x:v>
      </x:c>
      <x:c r="B153" t="str">
        <x:v>Added 21 net-new City+State rows with no duplicate suppression required.</x:v>
      </x:c>
      <x:c r="C153" t="str">
        <x:v>Greene contributes Beavercreek city/township, Bath Township, Fairborn, and Xenia. Saginaw contributes Saginaw city/township, Thomas, and Tittabawassee. Jackson contributes Jackson city, Blackman, Leoni, and Summit. Monroe contributes Monroe city, Bedford, Frenchtown, and Monroe Charter Township. Wood contributes Bowling Green, Perrysburg city/township, and Lake Township.</x:v>
      </x:c>
      <x:c r="D153" t="str">
        <x:v>County aggregation was rebuilt across 294 represented counties/county equivalents from the complete 921-row municipality table.</x:v>
      </x:c>
    </x:row>
    <x:row r="154">
      <x:c r="A154" t="str">
        <x:v>Threshold edge checks</x:v>
      </x:c>
      <x:c r="B154" t="str">
        <x:v>Bridgeport Charter Township MI is excluded at V2025 population 9,874. Perrysburg Township and Lake Township OH are retained because their Census 2020 populations were already 13,571 and 11,160 respectively; Perrysburg City is V2025 25,441.</x:v>
      </x:c>
      <x:c r="C154" t="str">
        <x:v>Bowling Green City had 30,808 residents in the 2020 Census and remains safely above threshold. Beavercreek Township and Bath Township are also safely above 10,000 in current Census profiles.</x:v>
      </x:c>
      <x:c r="D154" t="str">
        <x:v>No municipal-population threshold relaxation was made.</x:v>
      </x:c>
    </x:row>
    <x:row r="155">
      <x:c r="A155" t="str">
        <x:v>Store-count treatment</x:v>
      </x:c>
      <x:c r="B155" t="str">
        <x:v>Beavercreek City OH carries Fresh Thyme = 1 as a verified lower bound from the retailer's Beavercreek/Fairborn store locator at 2850 Centre Dr.</x:v>
      </x:c>
      <x:c r="C155" t="str">
        <x:v>The other 20 new rows use Presence Floor = 1. Saginaw farmers-market / natural-food evidence, Prime Cuts and local-food markets in Jackson, Alive Naturally / Monroe Farmers Market, and Wood County local-market evidence support county selection without being mapped into tracked-chain columns.</x:v>
      </x:c>
      <x:c r="D155" t="str">
        <x:v>No postal/store-branding evidence was silently converted into a municipal tracked-chain count.</x:v>
      </x:c>
    </x:row>
    <x:row r="156">
      <x:c r="A156" t="str">
        <x:v>Area / population basis</x:v>
      </x:c>
      <x:c r="B156" t="str">
        <x:v>New municipal land areas use Census 2025 Gazetteer ALAND_SQMI. County land areas also use Census 2025 Gazetteer values.</x:v>
      </x:c>
      <x:c r="C156" t="str">
        <x:v>County land areas: Greene 413.632; Saginaw 800.807; Jackson 701.905; Monroe 549.358; Wood 617.167 square miles.</x:v>
      </x:c>
      <x:c r="D156" t="str">
        <x:v>County FIPS: Greene 39057; Saginaw 26145; Jackson 26075; Monroe 26115; Wood 39173.</x:v>
      </x:c>
    </x:row>
    <x:row r="157">
      <x:c r="A157" t="str">
        <x:v>Ranking / QA refresh</x:v>
      </x:c>
      <x:c r="B157" t="str">
        <x:v>All 921 municipality rows were sorted and re-ranked by Proxy / Lower-Bound Stores per land square mile.</x:v>
      </x:c>
      <x:c r="C157" t="str">
        <x:v>All 294 county rows were rebuilt and re-ranked from the complete municipality table.</x:v>
      </x:c>
      <x:c r="D157" t="str">
        <x:v>Duplicate keys, component reconciliation, positive area denominators, source documentation, and active spreadsheet error tokens were checked before export.</x:v>
      </x:c>
    </x:row>
    <x:row r="159">
      <x:c r="A159" t="str">
        <x:v>941-municipality next-five &gt;=50k expansion — 2026-09-15</x:v>
      </x:c>
      <x:c r="B159" t="str">
        <x:v>Selection rule</x:v>
      </x:c>
      <x:c r="C159" t="str">
        <x:v>Eligibility / store estimate</x:v>
      </x:c>
      <x:c r="D159" t="str">
        <x:v>County handling</x:v>
      </x:c>
    </x:row>
    <x:row r="160">
      <x:c r="A160" t="str">
        <x:v>County selection</x:v>
      </x:c>
      <x:c r="B160" t="str">
        <x:v>Continued the &gt;=50,000 county-population floor and &gt;=10,000 municipality threshold in the permitted 13-state universe. Selected Trumbull OH, Fairfield OH, Sussex NJ, Washington RI, and Cape May NJ after ranking direct-adjacent unrepresented counties primarily by qualifying-municipality breadth and then county scale.</x:v>
      </x:c>
      <x:c r="C160" t="str">
        <x:v>Qualifying records before de-duplication: Trumbull 5; Fairfield 4; Sussex 4; Washington RI 4; Cape May 4. Census V2025 county populations: 198,972; 169,752; 148,063; 129,795; 93,390.</x:v>
      </x:c>
      <x:c r="D160" t="str">
        <x:v>All five are direct Census-adjacency additions. No ring fallback or further population relaxation was required.</x:v>
      </x:c>
    </x:row>
    <x:row r="161">
      <x:c r="A161" t="str">
        <x:v>10k+ municipality completion</x:v>
      </x:c>
      <x:c r="B161" t="str">
        <x:v>Added 20 net-new City+State rows from 21 qualifying municipality records.</x:v>
      </x:c>
      <x:c r="C161" t="str">
        <x:v>Trumbull adds Warren, Niles, Howland, and Weathersfield after Liberty Township is suppressed by the existing Ohio City+State key. Fairfield adds Lancaster, Pickerington, Violet, and Bloom. Sussex adds Hopatcong, Sparta, Vernon, and Wantage. Washington RI adds Narragansett, North Kingstown, South Kingstown, and Westerly. Cape May adds Lower, Middle, Upper, and Ocean City.</x:v>
      </x:c>
      <x:c r="D161" t="str">
        <x:v>County aggregation was rebuilt across 299 represented counties/county equivalents from the complete 941-row municipality table.</x:v>
      </x:c>
    </x:row>
    <x:row r="162">
      <x:c r="A162" t="str">
        <x:v>Duplicate / multi-county handling</x:v>
      </x:c>
      <x:c r="B162" t="str">
        <x:v>Liberty Township OH in Trumbull County was suppressed because the workbook already contains a canonical Liberty Township OH row.</x:v>
      </x:c>
      <x:c r="C162" t="str">
        <x:v>Pickerington City spans Fairfield and Franklin counties and is canonically assigned to Fairfield County for this expansion; full Census place land area is used.</x:v>
      </x:c>
      <x:c r="D162" t="str">
        <x:v>City + State remains the workbook's primary de-duplication key.</x:v>
      </x:c>
    </x:row>
    <x:row r="163">
      <x:c r="A163" t="str">
        <x:v>Store-count treatment</x:v>
      </x:c>
      <x:c r="B163" t="str">
        <x:v>All 20 new municipality rows use Presence Floor = 1. No chain-specific count was assigned without municipality-boundary confidence.</x:v>
      </x:c>
      <x:c r="C163" t="str">
        <x:v>County-level specialty-grocery evidence remains selection support only and is not silently mapped into the five tracked chain columns.</x:v>
      </x:c>
      <x:c r="D163" t="str">
        <x:v>This retains the workbook's conservative lower-bound convention.</x:v>
      </x:c>
    </x:row>
    <x:row r="164">
      <x:c r="A164" t="str">
        <x:v>Area / population basis</x:v>
      </x:c>
      <x:c r="B164" t="str">
        <x:v>Municipal land areas use Census TIGER / Gazetteer land-area geography. County land areas use Census TIGER / QuickFacts land-only denominators.</x:v>
      </x:c>
      <x:c r="C164" t="str">
        <x:v>County land areas: Trumbull 617.592; Fairfield 504.410; Sussex 518.493; Washington RI 329.279; Cape May 251.513 square miles.</x:v>
      </x:c>
      <x:c r="D164" t="str">
        <x:v>County FIPS: Trumbull 39155; Fairfield 39045; Sussex 34037; Washington RI 44009; Cape May 34009.</x:v>
      </x:c>
    </x:row>
    <x:row r="165">
      <x:c r="A165" t="str">
        <x:v>Ranking / QA refresh</x:v>
      </x:c>
      <x:c r="B165" t="str">
        <x:v>All 941 municipality rows were sorted and re-ranked by Proxy / Lower-Bound Stores per land square mile.</x:v>
      </x:c>
      <x:c r="C165" t="str">
        <x:v>All 299 county rows were rebuilt and re-ranked from the complete municipality table.</x:v>
      </x:c>
      <x:c r="D165" t="str">
        <x:v>Duplicate keys, component reconciliation, positive area denominators, source documentation, and active spreadsheet error tokens were checked before export.</x:v>
      </x:c>
    </x:row>
    <x:row r="167">
      <x:c r="A167" t="str">
        <x:v>969-municipality next-ten &gt;=50k expansion — 2026-09-15</x:v>
      </x:c>
      <x:c r="B167" t="str">
        <x:v>Selection rule</x:v>
      </x:c>
      <x:c r="C167" t="str">
        <x:v>Eligibility / store estimate</x:v>
      </x:c>
      <x:c r="D167" t="str">
        <x:v>County handling</x:v>
      </x:c>
    </x:row>
    <x:row r="168">
      <x:c r="A168" t="str">
        <x:v>County selection</x:v>
      </x:c>
      <x:c r="B168" t="str">
        <x:v>Continued the &gt;=50,000 county-population floor and &gt;=10,000 municipality threshold in the permitted 13-state universe. Selected Newport RI, St. Clair MI, Lebanon PA, Hunterdon NJ, Miami OH, Bay MI, Bristol RI, Beaver PA, Merrimack NH, and Androscoggin ME after ranking direct-adjacent unrepresented counties primarily by qualifying-municipality breadth, with county scale as the main tie-breaker.</x:v>
      </x:c>
      <x:c r="C168" t="str">
        <x:v>Qualifying municipalities: Newport 4; St. Clair 3; Lebanon 3; Hunterdon 3; Miami 3; Bay 3; Bristol RI 3; Beaver 2; Merrimack 2; Androscoggin 2.</x:v>
      </x:c>
      <x:c r="D168" t="str">
        <x:v>All ten are direct Census-adjacency additions; no ring fallback or further population relaxation was required.</x:v>
      </x:c>
    </x:row>
    <x:row r="169">
      <x:c r="A169" t="str">
        <x:v>10k+ municipality completion</x:v>
      </x:c>
      <x:c r="B169" t="str">
        <x:v>Added 28 net-new City+State rows with no duplicate suppression required.</x:v>
      </x:c>
      <x:c r="C169" t="str">
        <x:v>Threshold-edge checks include South Lebanon Township PA at V2025 10,735; Monitor Charter Township MI 10,597; Port Huron Charter Township MI 10,665; Tipp City OH 10,644; and Bristol County RI at V2025 county population 50,001.</x:v>
      </x:c>
      <x:c r="D169" t="str">
        <x:v>County aggregation was rebuilt across 309 represented counties/county equivalents from the complete 969-row municipality table.</x:v>
      </x:c>
    </x:row>
    <x:row r="170">
      <x:c r="A170" t="str">
        <x:v>Store-count treatment</x:v>
      </x:c>
      <x:c r="B170" t="str">
        <x:v>All 28 new municipality rows use Presence Floor = 1. No chain-specific count was assigned without municipality-boundary confidence.</x:v>
      </x:c>
      <x:c r="C170" t="str">
        <x:v>County-level specialty-grocery evidence remains selection support only and is not silently mapped into the five tracked chain columns.</x:v>
      </x:c>
      <x:c r="D170" t="str">
        <x:v>This continues the workbook's conservative screening-floor convention.</x:v>
      </x:c>
    </x:row>
    <x:row r="171">
      <x:c r="A171" t="str">
        <x:v>Area / population basis</x:v>
      </x:c>
      <x:c r="B171" t="str">
        <x:v>New municipal land areas use Census 2025 Gazetteer ALAND_SQMI. New county land areas also use Census 2025 Gazetteer values.</x:v>
      </x:c>
      <x:c r="C171" t="str">
        <x:v>County FIPS / area: Newport 44005 / 102.431; St. Clair 26147 / 721.522; Lebanon 42075 / 361.835; Hunterdon 34019 / 427.835; Miami 39109 / 406.581; Bay 26017 / 442.410; Bristol RI 44001 / 24.132; Beaver 42007 / 434.695; Merrimack 33013 / 932.851; Androscoggin 23001 / 467.956.</x:v>
      </x:c>
      <x:c r="D171" t="str">
        <x:v>All new county density denominators are positive.</x:v>
      </x:c>
    </x:row>
    <x:row r="172">
      <x:c r="A172" t="str">
        <x:v>Ranking / QA refresh</x:v>
      </x:c>
      <x:c r="B172" t="str">
        <x:v>All 969 municipality rows were sorted and re-ranked by Proxy / Lower-Bound Stores per land square mile.</x:v>
      </x:c>
      <x:c r="C172" t="str">
        <x:v>All 309 county rows were rebuilt and re-ranked from the complete municipality table.</x:v>
      </x:c>
      <x:c r="D172" t="str">
        <x:v>Duplicate keys, component reconciliation, positive area denominators, source documentation, and active spreadsheet error tokens were checked before export.</x:v>
      </x:c>
    </x:row>
    <x:row r="174">
      <x:c r="A174" t="str">
        <x:v>1,020-municipality next-ten statewide / no-adjacency expansion — 2026-09-15</x:v>
      </x:c>
      <x:c r="B174" t="str">
        <x:v>Selection rule</x:v>
      </x:c>
      <x:c r="C174" t="str">
        <x:v>Eligibility / store estimate</x:v>
      </x:c>
      <x:c r="D174" t="str">
        <x:v>County handling</x:v>
      </x:c>
    </x:row>
    <x:row r="175">
      <x:c r="A175" t="str">
        <x:v>County selection</x:v>
      </x:c>
      <x:c r="B175" t="str">
        <x:v>Per user instruction, removed the prior county-adjacency requirement entirely. Remaining unrepresented counties were ranked across the permitted 13-state universe by qualifying &gt;=10,000 general-purpose municipality breadth first, then county scale and specialty-grocery evidence.</x:v>
      </x:c>
      <x:c r="C175" t="str">
        <x:v>Selected New London CT (8), Tolland CT (7), Chittenden VT (6), Litchfield CT (5), Middlesex CT (5), Broome NY (4), Centre PA (4), Tompkins NY (4), Grand Traverse MI (4), and Berrien MI (4). All exceed the &gt;=50,000 county-population floor.</x:v>
      </x:c>
      <x:c r="D175" t="str">
        <x:v>Adjacency is no longer an eligibility or ranking constraint for this and future passes unless the user restores it.</x:v>
      </x:c>
    </x:row>
    <x:row r="176">
      <x:c r="A176" t="str">
        <x:v>10k+ municipality completion</x:v>
      </x:c>
      <x:c r="B176" t="str">
        <x:v>Added 51 net-new City+State rows with no duplicate-key suppression required.</x:v>
      </x:c>
      <x:c r="C176" t="str">
        <x:v>Threshold-edge checks include Williston VT excluded at 9,975; Long Lake Township MI included at 10,101; College Township PA included at 10,393; Lansing Town NY included at 11,786; and St. Joseph Charter Township MI excluded at 9,703.</x:v>
      </x:c>
      <x:c r="D176" t="str">
        <x:v>Workbook now contains 1,020 municipality rows and 319 represented counties/county equivalents.</x:v>
      </x:c>
    </x:row>
    <x:row r="177">
      <x:c r="A177" t="str">
        <x:v>Connecticut / overlap conventions</x:v>
      </x:c>
      <x:c r="B177" t="str">
        <x:v>Connecticut is represented with non-overlapping general-purpose towns/consolidated municipalities; nested subordinate city/borough units are excluded where they would duplicate the town-level government.</x:v>
      </x:c>
      <x:c r="C177" t="str">
        <x:v>Historical Connecticut county names/FIPS are retained for workbook continuity even though current Connecticut county governmental structure has changed; current Census municipal geography is used for land-area screening.</x:v>
      </x:c>
      <x:c r="D177" t="str">
        <x:v>New York continues the established cities + towns only convention, excluding nested villages.</x:v>
      </x:c>
    </x:row>
    <x:row r="178">
      <x:c r="A178" t="str">
        <x:v>Store-count treatment</x:v>
      </x:c>
      <x:c r="B178" t="str">
        <x:v>All 51 new municipality rows use Presence Floor = 1. No tracked-chain count was assigned without municipality-boundary confidence.</x:v>
      </x:c>
      <x:c r="C178" t="str">
        <x:v>County-level specialty-grocery evidence remains selection support only and is not silently mapped into Whole Foods, Sprouts, The Fresh Market, Fresh Thyme, or Wegmans columns.</x:v>
      </x:c>
      <x:c r="D178" t="str">
        <x:v>This preserves the conservative lower-bound screening convention.</x:v>
      </x:c>
    </x:row>
    <x:row r="179">
      <x:c r="A179" t="str">
        <x:v>Ranking / implementation / QA</x:v>
      </x:c>
      <x:c r="B179" t="str">
        <x:v>Rank values were recalculated globally across all 1,020 municipality rows and all 319 county rows. Because the spreadsheet runtime could not safely rewrite the full 1,020-row sorted body, the 51 municipality rows and 10 county rows are appended rather than physically re-sorted.</x:v>
      </x:c>
      <x:c r="C179" t="str">
        <x:v>City density formulas remain formula-driven for new rows; new county aggregate values are retained as computed screening values while global county ranks are recalculated. Density denominators are positive and duplicate-key checks passed.</x:v>
      </x:c>
      <x:c r="D179" t="str">
        <x:v>Guide, Sources, Methodology, and Final QA were refreshed to document the removal of adjacency and the runtime-safe append/rank implementation.</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style="44" customWidth="1"/>
    <x:col min="2" max="2" width="42" style="44" customWidth="1"/>
    <x:col min="3" max="3" width="72" style="44" customWidth="1"/>
    <x:col min="4" max="4" width="52" style="44" customWidth="1"/>
  </x:cols>
  <x:sheetData>
    <x:row r="1" s="44" customFormat="1" ht="28" customHeight="1">
      <x:c r="A1" s="9" t="inlineStr">
        <x:is>
          <x:t xml:space="preserve">Sources Used / Referenced — Final</x:t>
        </x:is>
      </x:c>
      <x:c r="B1" s="1" t="n"/>
      <x:c r="C1" s="1" t="n"/>
      <x:c r="D1" s="1" t="n"/>
    </x:row>
    <x:row r="2"/>
    <x:row r="3">
      <x:c r="A3" s="22" t="inlineStr">
        <x:is>
          <x:t xml:space="preserve">Dataset / Site</x:t>
        </x:is>
      </x:c>
      <x:c r="B3" s="22" t="inlineStr">
        <x:is>
          <x:t xml:space="preserve">Use</x:t>
        </x:is>
      </x:c>
      <x:c r="C3" s="22" t="inlineStr">
        <x:is>
          <x:t xml:space="preserve">URL</x:t>
        </x:is>
      </x:c>
      <x:c r="D3" s="22" t="inlineStr">
        <x:is>
          <x:t xml:space="preserve">Caveat</x:t>
        </x:is>
      </x:c>
    </x:row>
    <x:row r="4">
      <x:c r="A4" s="28" t="inlineStr">
        <x:is>
          <x:t xml:space="preserve">U.S. Census / 18F cities100</x:t>
        </x:is>
      </x:c>
      <x:c r="B4" s="28" t="inlineStr">
        <x:is>
          <x:t xml:space="preserve">Land area for most screening cities</x:t>
        </x:is>
      </x:c>
      <x:c r="C4" s="28" t="inlineStr">
        <x:is>
          <x:t xml:space="preserve">https://github.com/18F/open-data-maker/blob/dev/sample-data/cities100.csv</x:t>
        </x:is>
      </x:c>
      <x:c r="D4" s="28" t="inlineStr">
        <x:is>
          <x:t xml:space="preserve">2010 Census-based sample; not final all-place geometry</x:t>
        </x:is>
      </x:c>
    </x:row>
    <x:row r="5">
      <x:c r="A5" s="28" t="inlineStr">
        <x:is>
          <x:t xml:space="preserve">U.S. Census Gazetteer 2025</x:t>
        </x:is>
      </x:c>
      <x:c r="B5" s="28" t="inlineStr">
        <x:is>
          <x:t xml:space="preserve">Current place-area reference</x:t>
        </x:is>
      </x:c>
      <x:c r="C5" s="28" t="inlineStr">
        <x:is>
          <x:t xml:space="preserve">https://www.census.gov/geographies/reference-files/time-series/geo/gazetteer-files.2025.html</x:t>
        </x:is>
      </x:c>
      <x:c r="D5" s="28" t="inlineStr">
        <x:is>
          <x:t xml:space="preserve">Use official state/national files in production</x:t>
        </x:is>
      </x:c>
    </x:row>
    <x:row r="6">
      <x:c r="A6" s="28" t="inlineStr">
        <x:is>
          <x:t xml:space="preserve">Whole Foods official locator / fast facts</x:t>
        </x:is>
      </x:c>
      <x:c r="B6" s="28" t="inlineStr">
        <x:is>
          <x:t xml:space="preserve">Current count verification</x:t>
        </x:is>
      </x:c>
      <x:c r="C6" s="28" t="inlineStr">
        <x:is>
          <x:t xml:space="preserve">https://www.wholefoodsmarket.com/stores</x:t>
        </x:is>
      </x:c>
      <x:c r="D6" s="28" t="inlineStr">
        <x:is>
          <x:t xml:space="preserve">Current store count verified; city proxy still partial</x:t>
        </x:is>
      </x:c>
    </x:row>
    <x:row r="7">
      <x:c r="A7" s="28" t="inlineStr">
        <x:is>
          <x:t xml:space="preserve">Sprouts official locator</x:t>
        </x:is>
      </x:c>
      <x:c r="B7" s="28" t="inlineStr">
        <x:is>
          <x:t xml:space="preserve">Current count verification</x:t>
        </x:is>
      </x:c>
      <x:c r="C7" s="28" t="inlineStr">
        <x:is>
          <x:t xml:space="preserve">https://www.sprouts.com/stores/</x:t>
        </x:is>
      </x:c>
      <x:c r="D7" s="28" t="inlineStr">
        <x:is>
          <x:t xml:space="preserve">Current state totals reconciled; city proxy still partial</x:t>
        </x:is>
      </x:c>
    </x:row>
    <x:row r="8">
      <x:c r="A8" s="28" t="inlineStr">
        <x:is>
          <x:t xml:space="preserve">The Fresh Market official locator</x:t>
        </x:is>
      </x:c>
      <x:c r="B8" s="28" t="inlineStr">
        <x:is>
          <x:t xml:space="preserve">Current count verification</x:t>
        </x:is>
      </x:c>
      <x:c r="C8" s="28" t="inlineStr">
        <x:is>
          <x:t xml:space="preserve">https://www.thefreshmarket.com/your-market/store-locator</x:t>
        </x:is>
      </x:c>
      <x:c r="D8" s="28" t="inlineStr">
        <x:is>
          <x:t xml:space="preserve">Current total verified; city proxy still partial</x:t>
        </x:is>
      </x:c>
    </x:row>
    <x:row r="9">
      <x:c r="A9" s="28" t="inlineStr">
        <x:is>
          <x:t xml:space="preserve">Fresh Thyme official locator</x:t>
        </x:is>
      </x:c>
      <x:c r="B9" s="28" t="inlineStr">
        <x:is>
          <x:t xml:space="preserve">Current count verification</x:t>
        </x:is>
      </x:c>
      <x:c r="C9" s="28" t="inlineStr">
        <x:is>
          <x:t xml:space="preserve">https://ww2.freshthyme.com/sm/planning/rsid/104/store-locator</x:t>
        </x:is>
      </x:c>
      <x:c r="D9" s="28" t="inlineStr">
        <x:is>
          <x:t xml:space="preserve">Current total verified; city proxy still partial</x:t>
        </x:is>
      </x:c>
    </x:row>
    <x:row r="10">
      <x:c r="A10" s="28" t="inlineStr">
        <x:is>
          <x:t xml:space="preserve">Wegmans official locator / reporting</x:t>
        </x:is>
      </x:c>
      <x:c r="B10" s="28" t="inlineStr">
        <x:is>
          <x:t xml:space="preserve">Current count verification</x:t>
        </x:is>
      </x:c>
      <x:c r="C10" s="28" t="inlineStr">
        <x:is>
          <x:t xml:space="preserve">https://www.wegmans.com/stores/</x:t>
        </x:is>
      </x:c>
      <x:c r="D10" s="28" t="inlineStr">
        <x:is>
          <x:t xml:space="preserve">114 current stores as of analysis date</x:t>
        </x:is>
      </x:c>
    </x:row>
    <x:row r="11">
      <x:c r="A11" s="28" t="inlineStr">
        <x:is>
          <x:t xml:space="preserve">All The Places</x:t>
        </x:is>
      </x:c>
      <x:c r="B11" s="28" t="inlineStr">
        <x:is>
          <x:t xml:space="preserve">Recommended bulk geocoded source for exact rerun</x:t>
        </x:is>
      </x:c>
      <x:c r="C11" s="28" t="inlineStr">
        <x:is>
          <x:t xml:space="preserve">https://www.alltheplaces.xyz/</x:t>
        </x:is>
      </x:c>
      <x:c r="D11" s="28" t="inlineStr">
        <x:is>
          <x:t xml:space="preserve">Per-spider current export was not fully accessible in-session</x:t>
        </x:is>
      </x:c>
    </x:row>
    <x:row r="12">
      <x:c r="A12" s="28" t="inlineStr">
        <x:is>
          <x:t xml:space="preserve">All The Places repository</x:t>
        </x:is>
      </x:c>
      <x:c r="B12" s="28" t="inlineStr">
        <x:is>
          <x:t xml:space="preserve">Spider/API definitions</x:t>
        </x:is>
      </x:c>
      <x:c r="C12" s="28" t="inlineStr">
        <x:is>
          <x:t xml:space="preserve">https://github.com/alltheplaces/alltheplaces</x:t>
        </x:is>
      </x:c>
      <x:c r="D12" s="28" t="inlineStr">
        <x:is>
          <x:t xml:space="preserve">First-party-backed spider routes identified for several chains</x:t>
        </x:is>
      </x:c>
    </x:row>
    <x:row r="13">
      <x:c r="A13" s="28" t="inlineStr">
        <x:is>
          <x:t xml:space="preserve">ATP-derived U.S. QA snapshot</x:t>
        </x:is>
      </x:c>
      <x:c r="B13" s="28" t="inlineStr">
        <x:is>
          <x:t xml:space="preserve">Historical coordinate baseline</x:t>
        </x:is>
      </x:c>
      <x:c r="C13" s="28" t="inlineStr">
        <x:is>
          <x:t xml:space="preserve">https://github.com/whubsch/atp-import</x:t>
        </x:is>
      </x:c>
      <x:c r="D13" s="28" t="inlineStr">
        <x:is>
          <x:t xml:space="preserve">Contains geocoded grocery files for TJ/WFM/Sprouts/Wegmans, but snapshot is older and not suitable alone for 2026 exact ranking</x:t>
        </x:is>
      </x:c>
    </x:row>
    <x:row r="14"/>
    <x:row r="15">
      <x:c r="A15" s="28" t="inlineStr">
        <x:is>
          <x:t xml:space="preserve">County join reference</x:t>
        </x:is>
      </x:c>
      <x:c r="B15" s="28" t="inlineStr">
        <x:is>
          <x:t xml:space="preserve">Exact county/county-equivalent names and FIPS</x:t>
        </x:is>
      </x:c>
      <x:c r="C15" s="28" t="inlineStr">
        <x:is>
          <x:t xml:space="preserve">Uploaded rankings.csv</x:t>
        </x:is>
      </x:c>
      <x:c r="D15" s="28" t="inlineStr">
        <x:is>
          <x:t xml:space="preserve">Used as canonical join-key vocabulary</x:t>
        </x:is>
      </x:c>
    </x:row>
    <x:row r="16">
      <x:c r="A16" s="28" t="inlineStr">
        <x:is>
          <x:t xml:space="preserve">U.S. Census 2021 County Gazetteer</x:t>
        </x:is>
      </x:c>
      <x:c r="B16" s="28" t="inlineStr">
        <x:is>
          <x:t xml:space="preserve">County land area (ALAND_SQMI)</x:t>
        </x:is>
      </x:c>
      <x:c r="C16" s="28" t="inlineStr">
        <x:is>
          <x:t xml:space="preserve">https://www.census.gov/geographies/reference-files/time-series/geo/gazetteer-files.2021.html</x:t>
        </x:is>
      </x:c>
      <x:c r="D16" s="28" t="inlineStr">
        <x:is>
          <x:t xml:space="preserve">Land area used as county density denominator</x:t>
        </x:is>
      </x:c>
    </x:row>
    <x:row r="17"/>
    <x:row r="18">
      <x:c r="A18" s="28" t="inlineStr">
        <x:is>
          <x:t xml:space="preserve">2025 U.S. city population table</x:t>
        </x:is>
      </x:c>
      <x:c r="B18" s="28" t="inlineStr">
        <x:is>
          <x:t xml:space="preserve">Expansion universe and 2020 city land area</x:t>
        </x:is>
      </x:c>
      <x:c r="C18" s="28" t="inlineStr">
        <x:is>
          <x:t xml:space="preserve">https://en.wikipedia.org/wiki/List_of_United_States_cities_by_population</x:t>
        </x:is>
      </x:c>
      <x:c r="D18" s="28" t="inlineStr">
        <x:is>
          <x:t xml:space="preserve">Table reports 2025 Census estimates and 2020 Census land area; used only to expand the screening universe.</x:t>
        </x:is>
      </x:c>
    </x:row>
    <x:row r="19"/>
    <x:row r="20">
      <x:c r="A20" s="28" t="inlineStr">
        <x:is>
          <x:t xml:space="preserve">2025 U.S. cities by population</x:t>
        </x:is>
      </x:c>
      <x:c r="B20" s="28" t="inlineStr">
        <x:is>
          <x:t xml:space="preserve">50-city expansion universe and 2020 city land area</x:t>
        </x:is>
      </x:c>
      <x:c r="C20" s="28" t="inlineStr">
        <x:is>
          <x:t xml:space="preserve">https://en.wikipedia.org/wiki/List_of_United_States_cities_by_population</x:t>
        </x:is>
      </x:c>
      <x:c r="D20" s="28" t="inlineStr">
        <x:is>
          <x:t xml:space="preserve">Table is explicitly based on July 1, 2025 Census Bureau population estimates and 2020 Census land area.</x:t>
        </x:is>
      </x:c>
    </x:row>
    <x:row r="21">
      <x:c r="A21" s="28" t="inlineStr">
        <x:is>
          <x:t xml:space="preserve">2025 Census Gazetteer documentation</x:t>
        </x:is>
      </x:c>
      <x:c r="B21" s="28" t="inlineStr">
        <x:is>
          <x:t xml:space="preserve">County land-area field definition / target methodology</x:t>
        </x:is>
      </x:c>
      <x:c r="C21" s="28" t="inlineStr">
        <x:is>
          <x:t xml:space="preserve">https://www.census.gov/geographies/reference-files/2025/geo/gazetter-file.html</x:t>
        </x:is>
      </x:c>
      <x:c r="D21" s="28" t="inlineStr">
        <x:is>
          <x:t xml:space="preserve">Defines ALAND_SQMI as county land area in square miles.</x:t>
        </x:is>
      </x:c>
    </x:row>
    <x:row r="22">
      <x:c r="A22" s="28" t="inlineStr">
        <x:is>
          <x:t xml:space="preserve">Basemap U.S. counties shapefile</x:t>
        </x:is>
      </x:c>
      <x:c r="B22" s="28" t="inlineStr">
        <x:is>
          <x:t xml:space="preserve">Estimated denominator geometry for counties missing prior verified Census area</x:t>
        </x:is>
      </x:c>
      <x:c r="C22" s="28" t="inlineStr">
        <x:is>
          <x:t xml:space="preserve">Local Basemap UScounties shapefile</x:t>
        </x:is>
      </x:c>
      <x:c r="D22" s="28" t="inlineStr">
        <x:is>
          <x:t xml:space="preserve">Geodesic polygon area is adjusted by a state-level land/total calibration ratio; see Methodology.</x:t>
        </x:is>
      </x:c>
    </x:row>
    <x:row r="23"/>
    <x:row r="24">
      <x:c r="A24" s="28" t="inlineStr">
        <x:is>
          <x:t xml:space="preserve">Current U.S. city population table</x:t>
        </x:is>
      </x:c>
      <x:c r="B24" s="28" t="inlineStr">
        <x:is>
          <x:t xml:space="preserve">300-city expansion ordering and 2020 land area</x:t>
        </x:is>
      </x:c>
      <x:c r="C24" s="28" t="inlineStr">
        <x:is>
          <x:t xml:space="preserve">https://en.wikipedia.org/wiki/List_of_United_States_cities_by_population</x:t>
        </x:is>
      </x:c>
      <x:c r="D24" s="28" t="inlineStr">
        <x:is>
          <x:t xml:space="preserve">Used to identify the next 50 city/state rows after the prior 250-city universe; table is Census-backed.</x:t>
        </x:is>
      </x:c>
    </x:row>
    <x:row r="25">
      <x:c r="A25" s="28" t="inlineStr">
        <x:is>
          <x:t xml:space="preserve">County polygon geometry</x:t>
        </x:is>
      </x:c>
      <x:c r="B25" s="28" t="inlineStr">
        <x:is>
          <x:t xml:space="preserve">Area estimation for newly represented counties</x:t>
        </x:is>
      </x:c>
      <x:c r="C25" s="28" t="inlineStr">
        <x:is>
          <x:t xml:space="preserve">Basemap UScounties shapefile; WGS84 geodesic area</x:t>
        </x:is>
      </x:c>
      <x:c r="D25" s="28" t="inlineStr">
        <x:is>
          <x:t xml:space="preserve">Polygon area adjusted by state land/total calibration; see Methodology and Area Basis.</x:t>
        </x:is>
      </x:c>
    </x:row>
    <x:row r="26">
      <x:c r="A26" t="inlineStr">
        <x:is>
          <x:t xml:space="preserve">U.S. Census Vintage 2025 City/Town Population Estimates</x:t>
        </x:is>
      </x:c>
      <x:c r="B26" t="inlineStr">
        <x:is>
          <x:t xml:space="preserve">Eligibility screen for incorporated places with population ≥50,000 in the twenty highest-store-count counties carried forward from the original 300-city screen</x:t>
        </x:is>
      </x:c>
      <x:c r="C26" t="inlineStr">
        <x:is>
          <x:t xml:space="preserve">https://www.census.gov/data/datasets/time-series/demo/popest/2020s-total-cities-and-towns.html</x:t>
        </x:is>
      </x:c>
      <x:c r="D26" t="inlineStr">
        <x:is>
          <x:t xml:space="preserve">Vintage 2025 is the latest completed consistent city/town estimate set as of this update; only incorporated places are used for this completion screen.</x:t>
        </x:is>
      </x:c>
    </x:row>
    <x:row r="27">
      <x:c r="A27" t="inlineStr">
        <x:is>
          <x:t xml:space="preserve">U.S. Census Gazetteer 2025</x:t>
        </x:is>
      </x:c>
      <x:c r="B27" t="inlineStr">
        <x:is>
          <x:t xml:space="preserve">Land area for all targeted county-completion city rows</x:t>
        </x:is>
      </x:c>
      <x:c r="C27" t="inlineStr">
        <x:is>
          <x:t xml:space="preserve">https://www.census.gov/geographies/reference-files/time-series/geo/gazetteer-files.2025.html</x:t>
        </x:is>
      </x:c>
      <x:c r="D27" t="inlineStr">
        <x:is>
          <x:t xml:space="preserve">Official place land-area fields used for added city rows.</x:t>
        </x:is>
      </x:c>
    </x:row>
    <x:row r="28">
      <x:c r="A28" t="inlineStr">
        <x:is>
          <x:t xml:space="preserve">U.S. Census 2020 Place-by-County code list</x:t>
        </x:is>
      </x:c>
      <x:c r="B28" t="inlineStr">
        <x:is>
          <x:t xml:space="preserve">County membership check for incorporated places, including cities spanning more than one county</x:t>
        </x:is>
      </x:c>
      <x:c r="C28" t="inlineStr">
        <x:is>
          <x:t xml:space="preserve">https://www.census.gov/library/reference/code-lists/ansi/2020.html</x:t>
        </x:is>
      </x:c>
      <x:c r="D28" t="inlineStr">
        <x:is>
          <x:t xml:space="preserve">Used for county-membership screening; existing workbook keeps one canonical County value per city/state row to avoid duplicates.</x:t>
        </x:is>
      </x:c>
    </x:row>
    <x:row r="29">
      <x:c r="A29" t="inlineStr">
        <x:is>
          <x:t xml:space="preserve">U.S. Census 2026 County Adjacency File</x:t>
        </x:is>
      </x:c>
      <x:c r="B29" t="inlineStr">
        <x:is>
          <x:t xml:space="preserve">Identify counties adjacent to the original top 20 store-count counties</x:t>
        </x:is>
      </x:c>
      <x:c r="C29" t="inlineStr">
        <x:is>
          <x:t xml:space="preserve">https://www.census.gov/geographies/reference-files/time-series/geo/county-adjacency.html</x:t>
        </x:is>
      </x:c>
      <x:c r="D29" t="inlineStr">
        <x:is>
          <x:t xml:space="preserve">Counties are adjacent when they share an edge or point; candidate counties already represented in the workbook were excluded.</x:t>
        </x:is>
      </x:c>
    </x:row>
    <x:row r="30">
      <x:c r="A30" t="inlineStr">
        <x:is>
          <x:t xml:space="preserve">U.S. Census Vintage 2025 City/Town Population Estimates</x:t>
        </x:is>
      </x:c>
      <x:c r="B30" t="inlineStr">
        <x:is>
          <x:t xml:space="preserve">≥50,000 incorporated-place eligibility for adjacent-county expansion</x:t>
        </x:is>
      </x:c>
      <x:c r="C30" t="inlineStr">
        <x:is>
          <x:t xml:space="preserve">https://www.census.gov/data/datasets/time-series/demo/popest/2020s-total-cities-and-towns.html</x:t>
        </x:is>
      </x:c>
      <x:c r="D30" t="inlineStr">
        <x:is>
          <x:t xml:space="preserve">Latest completed consistent city/town estimate set used for the threshold screen.</x:t>
        </x:is>
      </x:c>
    </x:row>
    <x:row r="31">
      <x:c r="A31" t="inlineStr">
        <x:is>
          <x:t xml:space="preserve">U.S. Census TIGERweb 2025 Incorporated Places</x:t>
        </x:is>
      </x:c>
      <x:c r="B31" t="inlineStr">
        <x:is>
          <x:t xml:space="preserve">Land area for adjacent-county city additions</x:t>
        </x:is>
      </x:c>
      <x:c r="C31" t="inlineStr">
        <x:is>
          <x:t xml:space="preserve">https://tigerweb.geo.census.gov/tigerwebmain/TIGERweb_acs25.html</x:t>
        </x:is>
      </x:c>
      <x:c r="D31" t="inlineStr">
        <x:is>
          <x:t xml:space="preserve">AREALAND values converted from square meters to square miles for added place rows.</x:t>
        </x:is>
      </x:c>
    </x:row>
    <x:row r="32">
      <x:c r="A32" t="inlineStr">
        <x:is>
          <x:t xml:space="preserve">U.S. Census QuickFacts</x:t>
        </x:is>
      </x:c>
      <x:c r="B32" t="inlineStr">
        <x:is>
          <x:t xml:space="preserve">Verified county land-area denominators for five new counties</x:t>
        </x:is>
      </x:c>
      <x:c r="C32" t="inlineStr">
        <x:is>
          <x:t xml:space="preserve">https://www.census.gov/quickfacts/</x:t>
        </x:is>
      </x:c>
      <x:c r="D32" t="inlineStr">
        <x:is>
          <x:t xml:space="preserve">Used for San Mateo CA, Montgomery MD, Cobb GA, Hays TX, and Fort Bend TX.</x:t>
        </x:is>
      </x:c>
    </x:row>
    <x:row r="33">
      <x:c r="A33" t="inlineStr">
        <x:is>
          <x:t xml:space="preserve">Whole Foods Market official store locator</x:t>
        </x:is>
      </x:c>
      <x:c r="B33" t="inlineStr">
        <x:is>
          <x:t xml:space="preserve">Verified city-level lower-bound presence for selected adjacent counties</x:t>
        </x:is>
      </x:c>
      <x:c r="C33" t="inlineStr">
        <x:is>
          <x:t xml:space="preserve">https://www.wholefoodsmarket.com/stores</x:t>
        </x:is>
      </x:c>
      <x:c r="D33" t="inlineStr">
        <x:is>
          <x:t xml:space="preserve">Used only as a screening lower bound; exact all-chain 5-mile GIS inventory remains outstanding.</x:t>
        </x:is>
      </x:c>
    </x:row>
    <x:row r="34">
      <x:c r="A34" t="inlineStr">
        <x:is>
          <x:t xml:space="preserve">Sprouts Farmers Market official store locator</x:t>
        </x:is>
      </x:c>
      <x:c r="B34" t="inlineStr">
        <x:is>
          <x:t xml:space="preserve">Verified city-level lower-bound presence for selected adjacent counties</x:t>
        </x:is>
      </x:c>
      <x:c r="C34" t="inlineStr">
        <x:is>
          <x:t xml:space="preserve">https://www.sprouts.com/stores/</x:t>
        </x:is>
      </x:c>
      <x:c r="D34" t="inlineStr">
        <x:is>
          <x:t xml:space="preserve">Used only as a screening lower bound; exact all-chain 5-mile GIS inventory remains outstanding.</x:t>
        </x:is>
      </x:c>
    </x:row>
    <x:row r="35">
      <x:c r="A35" t="inlineStr">
        <x:is>
          <x:t xml:space="preserve">Adjacent-county expansion rule</x:t>
        </x:is>
      </x:c>
      <x:c r="B35" t="inlineStr">
        <x:is>
          <x:t xml:space="preserve">Selection documentation</x:t>
        </x:is>
      </x:c>
      <x:c r="C35" t="inlineStr">
        <x:is>
          <x:t xml:space="preserve">Workbook Methodology sheet</x:t>
        </x:is>
      </x:c>
      <x:c r="D35" t="inlineStr">
        <x:is>
          <x:t xml:space="preserve">Prioritize candidate adjacent counties by count of ≥50,000 incorporated cities with verified tracked-chain presence; break ties using number of qualifying ≥50,000 incorporated cities.</x:t>
        </x:is>
      </x:c>
    </x:row>
    <x:row r="36">
      <x:c r="A36" t="inlineStr">
        <x:is>
          <x:t xml:space="preserve">Census 2026 County Adjacency</x:t>
        </x:is>
      </x:c>
      <x:c r="B36" t="inlineStr">
        <x:is>
          <x:t xml:space="preserve">https://www.census.gov/geographies/reference-files/time-series/geo/county-adjacency.2026.html</x:t>
        </x:is>
      </x:c>
      <x:c r="C36" t="inlineStr">
        <x:is>
          <x:t xml:space="preserve">Adjacency selection</x:t>
        </x:is>
      </x:c>
      <x:c r="D36" t="inlineStr">
        <x:is>
          <x:t xml:space="preserve">Second adjacent-county expansion</x:t>
        </x:is>
      </x:c>
    </x:row>
    <x:row r="37">
      <x:c r="A37" t="inlineStr">
        <x:is>
          <x:t xml:space="preserve">Census Vintage 2025 city/town estimates</x:t>
        </x:is>
      </x:c>
      <x:c r="B37" t="inlineStr">
        <x:is>
          <x:t xml:space="preserve">https://www.census.gov/newsroom/press-kits/2026/vintage-2025-city-town-pop-estimates.html</x:t>
        </x:is>
      </x:c>
      <x:c r="C37" t="inlineStr">
        <x:is>
          <x:t xml:space="preserve">Population eligibility</x:t>
        </x:is>
      </x:c>
      <x:c r="D37" t="inlineStr">
        <x:is>
          <x:t xml:space="preserve">≥50,000 incorporated-place screen</x:t>
        </x:is>
      </x:c>
    </x:row>
    <x:row r="38">
      <x:c r="A38" t="inlineStr">
        <x:is>
          <x:t xml:space="preserve">Census 2025 Gazetteer</x:t>
        </x:is>
      </x:c>
      <x:c r="B38" t="inlineStr">
        <x:is>
          <x:t xml:space="preserve">https://www.census.gov/geographies/reference-files/time-series/geo/gazetteer-files.2025.html</x:t>
        </x:is>
      </x:c>
      <x:c r="C38" t="inlineStr">
        <x:is>
          <x:t xml:space="preserve">City/county land area</x:t>
        </x:is>
      </x:c>
      <x:c r="D38" t="inlineStr">
        <x:is>
          <x:t xml:space="preserve">ALAND_SQMI</x:t>
        </x:is>
      </x:c>
    </x:row>
    <x:row r="39">
      <x:c r="A39" t="inlineStr">
        <x:is>
          <x:t xml:space="preserve">Whole Foods — Carmel</x:t>
        </x:is>
      </x:c>
      <x:c r="B39" t="inlineStr">
        <x:is>
          <x:t xml:space="preserve">https://www.wholefoodsmarket.com/stores/carmel</x:t>
        </x:is>
      </x:c>
      <x:c r="C39" t="inlineStr">
        <x:is>
          <x:t xml:space="preserve">Verified city store</x:t>
        </x:is>
      </x:c>
      <x:c r="D39" t="inlineStr">
        <x:is>
          <x:t xml:space="preserve">Hamilton County, IN</x:t>
        </x:is>
      </x:c>
    </x:row>
    <x:row r="40">
      <x:c r="A40" t="inlineStr">
        <x:is>
          <x:t xml:space="preserve">Fresh Thyme — Fishers</x:t>
        </x:is>
      </x:c>
      <x:c r="B40" t="inlineStr">
        <x:is>
          <x:t xml:space="preserve">https://ww2.freshthyme.com/store-location/fishers-indiana-46037</x:t>
        </x:is>
      </x:c>
      <x:c r="C40" t="inlineStr">
        <x:is>
          <x:t xml:space="preserve">Verified city store</x:t>
        </x:is>
      </x:c>
      <x:c r="D40" t="inlineStr">
        <x:is>
          <x:t xml:space="preserve">Hamilton County, IN</x:t>
        </x:is>
      </x:c>
    </x:row>
    <x:row r="41">
      <x:c r="A41" t="inlineStr">
        <x:is>
          <x:t xml:space="preserve">Sprouts — Maricopa</x:t>
        </x:is>
      </x:c>
      <x:c r="B41" t="inlineStr">
        <x:is>
          <x:t xml:space="preserve">https://www.sprouts.com/store/az/maricopa/n-john-wayne-pkwy/</x:t>
        </x:is>
      </x:c>
      <x:c r="C41" t="inlineStr">
        <x:is>
          <x:t xml:space="preserve">Verified city store</x:t>
        </x:is>
      </x:c>
      <x:c r="D41" t="inlineStr">
        <x:is>
          <x:t xml:space="preserve">Pinal County, AZ</x:t>
        </x:is>
      </x:c>
    </x:row>
    <x:row r="42">
      <x:c r="A42" t="inlineStr">
        <x:is>
          <x:t xml:space="preserve">Whole Foods — San Rafael</x:t>
        </x:is>
      </x:c>
      <x:c r="B42" t="inlineStr">
        <x:is>
          <x:t xml:space="preserve">https://www.wholefoodsmarket.com/stores/sanrafael</x:t>
        </x:is>
      </x:c>
      <x:c r="C42" t="inlineStr">
        <x:is>
          <x:t xml:space="preserve">Verified city store</x:t>
        </x:is>
      </x:c>
      <x:c r="D42" t="inlineStr">
        <x:is>
          <x:t xml:space="preserve">Marin County, CA</x:t>
        </x:is>
      </x:c>
    </x:row>
    <x:row r="43">
      <x:c r="A43" t="inlineStr">
        <x:is>
          <x:t xml:space="preserve">Whole Foods — Santa Cruz</x:t>
        </x:is>
      </x:c>
      <x:c r="B43" t="inlineStr">
        <x:is>
          <x:t xml:space="preserve">https://www.wholefoodsmarket.com/stores/santacruz</x:t>
        </x:is>
      </x:c>
      <x:c r="C43" t="inlineStr">
        <x:is>
          <x:t xml:space="preserve">Verified city store</x:t>
        </x:is>
      </x:c>
      <x:c r="D43" t="inlineStr">
        <x:is>
          <x:t xml:space="preserve">Santa Cruz County, CA</x:t>
        </x:is>
      </x:c>
    </x:row>
    <x:row r="44">
      <x:c r="A44" t="inlineStr">
        <x:is>
          <x:t xml:space="preserve">Census 2026 County Adjacency</x:t>
        </x:is>
      </x:c>
      <x:c r="B44" t="inlineStr">
        <x:is>
          <x:t xml:space="preserve">https://www.census.gov/geographies/reference-files/2026/geo/county-adjacency.html</x:t>
        </x:is>
      </x:c>
      <x:c r="C44" t="inlineStr">
        <x:is>
          <x:t xml:space="preserve">Adjacency methodology</x:t>
        </x:is>
      </x:c>
      <x:c r="D44" t="inlineStr">
        <x:is>
          <x:t xml:space="preserve">Restricted-state county expansion</x:t>
        </x:is>
      </x:c>
    </x:row>
    <x:row r="45">
      <x:c r="A45" t="inlineStr">
        <x:is>
          <x:t xml:space="preserve">Census Vintage 2025 city/town estimates</x:t>
        </x:is>
      </x:c>
      <x:c r="B45" t="inlineStr">
        <x:is>
          <x:t xml:space="preserve">https://www.census.gov/data/datasets/time-series/demo/popest/2020s-total-cities-and-towns.html</x:t>
        </x:is>
      </x:c>
      <x:c r="C45" t="inlineStr">
        <x:is>
          <x:t xml:space="preserve">Population eligibility</x:t>
        </x:is>
      </x:c>
      <x:c r="D45" t="inlineStr">
        <x:is>
          <x:t xml:space="preserve">≥50,000 incorporated-place screen</x:t>
        </x:is>
      </x:c>
    </x:row>
    <x:row r="46">
      <x:c r="A46" t="inlineStr">
        <x:is>
          <x:t xml:space="preserve">Census QuickFacts — Bowie</x:t>
        </x:is>
      </x:c>
      <x:c r="B46" t="inlineStr">
        <x:is>
          <x:t xml:space="preserve">https://www.census.gov/quickfacts/bowiecitymaryland</x:t>
        </x:is>
      </x:c>
      <x:c r="C46" t="inlineStr">
        <x:is>
          <x:t xml:space="preserve">Population / land area</x:t>
        </x:is>
      </x:c>
      <x:c r="D46" t="inlineStr">
        <x:is>
          <x:t xml:space="preserve">Prince George's County, MD</x:t>
        </x:is>
      </x:c>
    </x:row>
    <x:row r="47">
      <x:c r="A47" t="inlineStr">
        <x:is>
          <x:t xml:space="preserve">Census QuickFacts — Camden County / city</x:t>
        </x:is>
      </x:c>
      <x:c r="B47" t="inlineStr">
        <x:is>
          <x:t xml:space="preserve">https://www.census.gov/quickfacts/camdencountynewjersey</x:t>
        </x:is>
      </x:c>
      <x:c r="C47" t="inlineStr">
        <x:is>
          <x:t xml:space="preserve">County denominator / city screen</x:t>
        </x:is>
      </x:c>
      <x:c r="D47" t="inlineStr">
        <x:is>
          <x:t xml:space="preserve">Camden County, NJ</x:t>
        </x:is>
      </x:c>
    </x:row>
    <x:row r="48">
      <x:c r="A48" t="inlineStr">
        <x:is>
          <x:t xml:space="preserve">Census QuickFacts — Lorain County / cities</x:t>
        </x:is>
      </x:c>
      <x:c r="B48" t="inlineStr">
        <x:is>
          <x:t xml:space="preserve">https://www.census.gov/quickfacts/loraincountyohio</x:t>
        </x:is>
      </x:c>
      <x:c r="C48" t="inlineStr">
        <x:is>
          <x:t xml:space="preserve">County denominator / city screen</x:t>
        </x:is>
      </x:c>
      <x:c r="D48" t="inlineStr">
        <x:is>
          <x:t xml:space="preserve">Lorain County, OH</x:t>
        </x:is>
      </x:c>
    </x:row>
    <x:row r="49">
      <x:c r="A49" t="inlineStr">
        <x:is>
          <x:t xml:space="preserve">Census QuickFacts — Oakland County</x:t>
        </x:is>
      </x:c>
      <x:c r="B49" t="inlineStr">
        <x:is>
          <x:t xml:space="preserve">https://www.census.gov/quickfacts/oaklandcountymichigan</x:t>
        </x:is>
      </x:c>
      <x:c r="C49" t="inlineStr">
        <x:is>
          <x:t xml:space="preserve">County denominator / city screen</x:t>
        </x:is>
      </x:c>
      <x:c r="D49" t="inlineStr">
        <x:is>
          <x:t xml:space="preserve">Oakland County, MI</x:t>
        </x:is>
      </x:c>
    </x:row>
    <x:row r="50">
      <x:c r="A50" t="inlineStr">
        <x:is>
          <x:t xml:space="preserve">Whole Foods — Rochester Hills</x:t>
        </x:is>
      </x:c>
      <x:c r="B50" t="inlineStr">
        <x:is>
          <x:t xml:space="preserve">https://www.wholefoodsmarket.com/stores/rochesterhills</x:t>
        </x:is>
      </x:c>
      <x:c r="C50" t="inlineStr">
        <x:is>
          <x:t xml:space="preserve">Verified tracked-chain store</x:t>
        </x:is>
      </x:c>
      <x:c r="D50" t="inlineStr">
        <x:is>
          <x:t xml:space="preserve">Oakland County, MI</x:t>
        </x:is>
      </x:c>
    </x:row>
    <x:row r="51">
      <x:c r="A51" t="inlineStr">
        <x:is>
          <x:t xml:space="preserve">Census QuickFacts — Canton</x:t>
        </x:is>
      </x:c>
      <x:c r="B51" t="inlineStr">
        <x:is>
          <x:t xml:space="preserve">https://www.census.gov/quickfacts/cantoncityohio</x:t>
        </x:is>
      </x:c>
      <x:c r="C51" t="inlineStr">
        <x:is>
          <x:t xml:space="preserve">Population / land area</x:t>
        </x:is>
      </x:c>
      <x:c r="D51" t="inlineStr">
        <x:is>
          <x:t xml:space="preserve">Stark County, OH</x:t>
        </x:is>
      </x:c>
    </x:row>
    <x:row r="52">
      <x:c r="A52" s="28" t="inlineStr">
        <x:is>
          <x:t xml:space="preserve">Census 2026 County Adjacency</x:t>
        </x:is>
      </x:c>
      <x:c r="B52" s="28" t="inlineStr">
        <x:is>
          <x:t xml:space="preserve">https://www.census.gov/geographies/reference-files/2026/geo/county-adjacency.html</x:t>
        </x:is>
      </x:c>
      <x:c r="C52" s="28" t="inlineStr">
        <x:is>
          <x:t xml:space="preserve">Adjacency methodology</x:t>
        </x:is>
      </x:c>
      <x:c r="D52" s="28" t="inlineStr">
        <x:is>
          <x:t xml:space="preserve">Restricted-state expansion</x:t>
        </x:is>
      </x:c>
    </x:row>
    <x:row r="53">
      <x:c r="A53" s="28" t="inlineStr">
        <x:is>
          <x:t xml:space="preserve">Census Vintage 2025 city/town estimates</x:t>
        </x:is>
      </x:c>
      <x:c r="B53" s="28" t="inlineStr">
        <x:is>
          <x:t xml:space="preserve">https://www.census.gov/data/datasets/time-series/demo/popest/2020s-total-cities-and-towns.html</x:t>
        </x:is>
      </x:c>
      <x:c r="C53" s="28" t="inlineStr">
        <x:is>
          <x:t xml:space="preserve">Population eligibility</x:t>
        </x:is>
      </x:c>
      <x:c r="D53" s="28" t="inlineStr">
        <x:is>
          <x:t xml:space="preserve">≥50,000 city screen</x:t>
        </x:is>
      </x:c>
    </x:row>
    <x:row r="54">
      <x:c r="A54" s="28" t="inlineStr">
        <x:is>
          <x:t xml:space="preserve">Wegmans — Frederick</x:t>
        </x:is>
      </x:c>
      <x:c r="B54" s="28" t="inlineStr">
        <x:is>
          <x:t xml:space="preserve">https://www.wegmans.com/stores/frederick-md</x:t>
        </x:is>
      </x:c>
      <x:c r="C54" s="28" t="inlineStr">
        <x:is>
          <x:t xml:space="preserve">Verified tracked-chain store</x:t>
        </x:is>
      </x:c>
      <x:c r="D54" s="28" t="inlineStr">
        <x:is>
          <x:t xml:space="preserve">Frederick County, MD</x:t>
        </x:is>
      </x:c>
    </x:row>
    <x:row r="55">
      <x:c r="A55" s="28" t="inlineStr">
        <x:is>
          <x:t xml:space="preserve">Wegmans — Wilmington</x:t>
        </x:is>
      </x:c>
      <x:c r="B55" s="28" t="inlineStr">
        <x:is>
          <x:t xml:space="preserve">https://www.wegmans.com/stores/wilmington-de</x:t>
        </x:is>
      </x:c>
      <x:c r="C55" s="28" t="inlineStr">
        <x:is>
          <x:t xml:space="preserve">Verified tracked-chain store</x:t>
        </x:is>
      </x:c>
      <x:c r="D55" s="28" t="inlineStr">
        <x:is>
          <x:t xml:space="preserve">New Castle County, DE</x:t>
        </x:is>
      </x:c>
    </x:row>
    <x:row r="56">
      <x:c r="A56" s="28" t="inlineStr">
        <x:is>
          <x:t xml:space="preserve">Census QuickFacts — Frederick city</x:t>
        </x:is>
      </x:c>
      <x:c r="B56" s="28" t="inlineStr">
        <x:is>
          <x:t xml:space="preserve">https://www.census.gov/quickfacts/fact/table/frederickcitymaryland/PST045225</x:t>
        </x:is>
      </x:c>
      <x:c r="C56" s="28" t="inlineStr">
        <x:is>
          <x:t xml:space="preserve">Population / land area</x:t>
        </x:is>
      </x:c>
      <x:c r="D56" s="28" t="inlineStr">
        <x:is>
          <x:t xml:space="preserve">Frederick, MD</x:t>
        </x:is>
      </x:c>
    </x:row>
    <x:row r="57">
      <x:c r="A57" s="28" t="inlineStr">
        <x:is>
          <x:t xml:space="preserve">Census QuickFacts — Wilmington city</x:t>
        </x:is>
      </x:c>
      <x:c r="B57" s="28" t="inlineStr">
        <x:is>
          <x:t xml:space="preserve">https://www.census.gov/quickfacts/fact/table/wilmingtoncitydelaware/PST045225</x:t>
        </x:is>
      </x:c>
      <x:c r="C57" s="28" t="inlineStr">
        <x:is>
          <x:t xml:space="preserve">Population / land area</x:t>
        </x:is>
      </x:c>
      <x:c r="D57" s="28" t="inlineStr">
        <x:is>
          <x:t xml:space="preserve">Wilmington, DE</x:t>
        </x:is>
      </x:c>
    </x:row>
    <x:row r="58">
      <x:c r="A58" s="28" t="inlineStr">
        <x:is>
          <x:t xml:space="preserve">Census QuickFacts — Essex County</x:t>
        </x:is>
      </x:c>
      <x:c r="B58" s="28" t="inlineStr">
        <x:is>
          <x:t xml:space="preserve">https://www.census.gov/quickfacts/fact/table/essexcountymassachusetts/PST045225</x:t>
        </x:is>
      </x:c>
      <x:c r="C58" s="28" t="inlineStr">
        <x:is>
          <x:t xml:space="preserve">County land area / population context</x:t>
        </x:is>
      </x:c>
      <x:c r="D58" s="28" t="inlineStr">
        <x:is>
          <x:t xml:space="preserve">Essex County, MA</x:t>
        </x:is>
      </x:c>
    </x:row>
    <x:row r="59">
      <x:c r="A59" s="28" t="inlineStr">
        <x:is>
          <x:t xml:space="preserve">Census QuickFacts — Norfolk County</x:t>
        </x:is>
      </x:c>
      <x:c r="B59" s="28" t="inlineStr">
        <x:is>
          <x:t xml:space="preserve">https://www.census.gov/quickfacts/fact/table/norfolkcountymassachusetts/PST045225</x:t>
        </x:is>
      </x:c>
      <x:c r="C59" s="28" t="inlineStr">
        <x:is>
          <x:t xml:space="preserve">County land area / population context</x:t>
        </x:is>
      </x:c>
      <x:c r="D59" s="28" t="inlineStr">
        <x:is>
          <x:t xml:space="preserve">Norfolk County, MA</x:t>
        </x:is>
      </x:c>
    </x:row>
    <x:row r="60">
      <x:c r="A60" s="28" t="inlineStr">
        <x:is>
          <x:t xml:space="preserve">Census QuickFacts — Butler County</x:t>
        </x:is>
      </x:c>
      <x:c r="B60" s="28" t="inlineStr">
        <x:is>
          <x:t xml:space="preserve">https://www.census.gov/quickfacts/fact/table/butlercountyohio/PST045225</x:t>
        </x:is>
      </x:c>
      <x:c r="C60" s="28" t="inlineStr">
        <x:is>
          <x:t xml:space="preserve">County land area / population context</x:t>
        </x:is>
      </x:c>
      <x:c r="D60" s="28" t="inlineStr">
        <x:is>
          <x:t xml:space="preserve">Butler County, OH</x:t>
        </x:is>
      </x:c>
    </x:row>
    <x:row r="61">
      <x:c r="A61" s="28" t="inlineStr">
        <x:is>
          <x:t xml:space="preserve">Census QuickFacts — Frederick County</x:t>
        </x:is>
      </x:c>
      <x:c r="B61" s="28" t="inlineStr">
        <x:is>
          <x:t xml:space="preserve">https://www.census.gov/quickfacts/fact/table/frederickcountymaryland/PST045225</x:t>
        </x:is>
      </x:c>
      <x:c r="C61" s="28" t="inlineStr">
        <x:is>
          <x:t xml:space="preserve">County land area / population context</x:t>
        </x:is>
      </x:c>
      <x:c r="D61" s="28" t="inlineStr">
        <x:is>
          <x:t xml:space="preserve">Frederick County, MD</x:t>
        </x:is>
      </x:c>
    </x:row>
    <x:row r="62">
      <x:c r="A62" s="28" t="inlineStr">
        <x:is>
          <x:t xml:space="preserve">Census QuickFacts — New Castle County</x:t>
        </x:is>
      </x:c>
      <x:c r="B62" s="28" t="inlineStr">
        <x:is>
          <x:t xml:space="preserve">https://www.census.gov/quickfacts/fact/table/newcastlecountydelaware/PST045225</x:t>
        </x:is>
      </x:c>
      <x:c r="C62" s="28" t="inlineStr">
        <x:is>
          <x:t xml:space="preserve">County land area / population context</x:t>
        </x:is>
      </x:c>
      <x:c r="D62" s="28" t="inlineStr">
        <x:is>
          <x:t xml:space="preserve">New Castle County, DE</x:t>
        </x:is>
      </x:c>
    </x:row>
    <x:row r="63">
      <x:c r="A63" s="28" t="inlineStr">
        <x:is>
          <x:t xml:space="preserve">UMass Donahue / Census V2025 MA summary</x:t>
        </x:is>
      </x:c>
      <x:c r="B63" s="28" t="inlineStr">
        <x:is>
          <x:t xml:space="preserve">https://donahue.umass.edu/documents/UMDI_Census_V2025_Massachusetts_MCD_Pop_Estimates_Summary.pdf</x:t>
        </x:is>
      </x:c>
      <x:c r="C63" s="28" t="inlineStr">
        <x:is>
          <x:t xml:space="preserve">Massachusetts 2025 city estimates</x:t>
        </x:is>
      </x:c>
      <x:c r="D63" s="28" t="inlineStr">
        <x:is>
          <x:t xml:space="preserve">Essex/Norfolk completion check</x:t>
        </x:is>
      </x:c>
    </x:row>
    <x:row r="64">
      <x:c r="A64" s="28" t="inlineStr">
        <x:is>
          <x:t xml:space="preserve">Census 2026 County Adjacency</x:t>
        </x:is>
      </x:c>
      <x:c r="B64" s="28" t="inlineStr">
        <x:is>
          <x:t xml:space="preserve">https://www.census.gov/geographies/reference-files/2026/geo/county-adjacency.html</x:t>
        </x:is>
      </x:c>
      <x:c r="C64" s="28" t="inlineStr">
        <x:is>
          <x:t xml:space="preserve">Adjacency methodology</x:t>
        </x:is>
      </x:c>
      <x:c r="D64" s="28" t="inlineStr">
        <x:is>
          <x:t xml:space="preserve">Restricted-state direct-neighbor expansion</x:t>
        </x:is>
      </x:c>
    </x:row>
    <x:row r="65">
      <x:c r="A65" s="28" t="inlineStr">
        <x:is>
          <x:t xml:space="preserve">Census Vintage 2025 city/town estimates</x:t>
        </x:is>
      </x:c>
      <x:c r="B65" s="28" t="inlineStr">
        <x:is>
          <x:t xml:space="preserve">https://www.census.gov/data/datasets/time-series/demo/popest/2020s-total-cities-and-towns.html</x:t>
        </x:is>
      </x:c>
      <x:c r="C65" s="28" t="inlineStr">
        <x:is>
          <x:t xml:space="preserve">Population eligibility</x:t>
        </x:is>
      </x:c>
      <x:c r="D65" s="28" t="inlineStr">
        <x:is>
          <x:t xml:space="preserve">≥50,000 incorporated-city screen</x:t>
        </x:is>
      </x:c>
    </x:row>
    <x:row r="66">
      <x:c r="A66" s="28" t="inlineStr">
        <x:is>
          <x:t xml:space="preserve">Census QuickFacts — New Bedford</x:t>
        </x:is>
      </x:c>
      <x:c r="B66" s="28" t="inlineStr">
        <x:is>
          <x:t xml:space="preserve">https://www.census.gov/quickfacts/newbedfordcitymassachusetts</x:t>
        </x:is>
      </x:c>
      <x:c r="C66" s="28" t="inlineStr">
        <x:is>
          <x:t xml:space="preserve">Population / land area</x:t>
        </x:is>
      </x:c>
      <x:c r="D66" s="28" t="inlineStr">
        <x:is>
          <x:t xml:space="preserve">Bristol County, MA</x:t>
        </x:is>
      </x:c>
    </x:row>
    <x:row r="67">
      <x:c r="A67" s="28" t="inlineStr">
        <x:is>
          <x:t xml:space="preserve">Census QuickFacts — Fall River</x:t>
        </x:is>
      </x:c>
      <x:c r="B67" s="28" t="inlineStr">
        <x:is>
          <x:t xml:space="preserve">https://www.census.gov/quickfacts/fallrivercitymassachusetts</x:t>
        </x:is>
      </x:c>
      <x:c r="C67" s="28" t="inlineStr">
        <x:is>
          <x:t xml:space="preserve">Population / land area</x:t>
        </x:is>
      </x:c>
      <x:c r="D67" s="28" t="inlineStr">
        <x:is>
          <x:t xml:space="preserve">Bristol County, MA</x:t>
        </x:is>
      </x:c>
    </x:row>
    <x:row r="68">
      <x:c r="A68" s="28" t="inlineStr">
        <x:is>
          <x:t xml:space="preserve">Census QuickFacts — Taunton</x:t>
        </x:is>
      </x:c>
      <x:c r="B68" s="28" t="inlineStr">
        <x:is>
          <x:t xml:space="preserve">https://www.census.gov/quickfacts/tauntoncitymassachusetts</x:t>
        </x:is>
      </x:c>
      <x:c r="C68" s="28" t="inlineStr">
        <x:is>
          <x:t xml:space="preserve">Population / land area</x:t>
        </x:is>
      </x:c>
      <x:c r="D68" s="28" t="inlineStr">
        <x:is>
          <x:t xml:space="preserve">Bristol County, MA</x:t>
        </x:is>
      </x:c>
    </x:row>
    <x:row r="69">
      <x:c r="A69" s="28" t="inlineStr">
        <x:is>
          <x:t xml:space="preserve">Census QuickFacts — Trenton</x:t>
        </x:is>
      </x:c>
      <x:c r="B69" s="28" t="inlineStr">
        <x:is>
          <x:t xml:space="preserve">https://www.census.gov/quickfacts/trentoncitynewjersey</x:t>
        </x:is>
      </x:c>
      <x:c r="C69" s="28" t="inlineStr">
        <x:is>
          <x:t xml:space="preserve">Population / land area</x:t>
        </x:is>
      </x:c>
      <x:c r="D69" s="28" t="inlineStr">
        <x:is>
          <x:t xml:space="preserve">Mercer County, NJ</x:t>
        </x:is>
      </x:c>
    </x:row>
    <x:row r="70">
      <x:c r="A70" s="28" t="inlineStr">
        <x:is>
          <x:t xml:space="preserve">Census QuickFacts — Flint</x:t>
        </x:is>
      </x:c>
      <x:c r="B70" s="28" t="inlineStr">
        <x:is>
          <x:t xml:space="preserve">https://www.census.gov/quickfacts/flintcitymichigan</x:t>
        </x:is>
      </x:c>
      <x:c r="C70" s="28" t="inlineStr">
        <x:is>
          <x:t xml:space="preserve">Population / land area</x:t>
        </x:is>
      </x:c>
      <x:c r="D70" s="28" t="inlineStr">
        <x:is>
          <x:t xml:space="preserve">Genesee County, MI</x:t>
        </x:is>
      </x:c>
    </x:row>
    <x:row r="71">
      <x:c r="A71" s="28" t="inlineStr">
        <x:is>
          <x:t xml:space="preserve">Census QuickFacts — Reading</x:t>
        </x:is>
      </x:c>
      <x:c r="B71" s="28" t="inlineStr">
        <x:is>
          <x:t xml:space="preserve">https://www.census.gov/quickfacts/readingcitypennsylvania</x:t>
        </x:is>
      </x:c>
      <x:c r="C71" s="28" t="inlineStr">
        <x:is>
          <x:t xml:space="preserve">Population / land area</x:t>
        </x:is>
      </x:c>
      <x:c r="D71" s="28" t="inlineStr">
        <x:is>
          <x:t xml:space="preserve">Berks County, PA</x:t>
        </x:is>
      </x:c>
    </x:row>
    <x:row r="72">
      <x:c r="A72" s="28" t="inlineStr">
        <x:is>
          <x:t xml:space="preserve">Census QuickFacts — Warwick</x:t>
        </x:is>
      </x:c>
      <x:c r="B72" s="28" t="inlineStr">
        <x:is>
          <x:t xml:space="preserve">https://www.census.gov/quickfacts/warwickcityrhodeisland</x:t>
        </x:is>
      </x:c>
      <x:c r="C72" s="28" t="inlineStr">
        <x:is>
          <x:t xml:space="preserve">Population / land area</x:t>
        </x:is>
      </x:c>
      <x:c r="D72" s="28" t="inlineStr">
        <x:is>
          <x:t xml:space="preserve">Kent County, RI</x:t>
        </x:is>
      </x:c>
    </x:row>
    <x:row r="73">
      <x:c r="A73" s="28" t="inlineStr">
        <x:is>
          <x:t xml:space="preserve">Census QuickFacts — Bristol County</x:t>
        </x:is>
      </x:c>
      <x:c r="B73" s="28" t="inlineStr">
        <x:is>
          <x:t xml:space="preserve">https://www.census.gov/quickfacts/bristolcountymassachusetts</x:t>
        </x:is>
      </x:c>
      <x:c r="C73" s="28" t="inlineStr">
        <x:is>
          <x:t xml:space="preserve">County land area</x:t>
        </x:is>
      </x:c>
      <x:c r="D73" s="28" t="inlineStr">
        <x:is>
          <x:t xml:space="preserve">Bristol County, MA</x:t>
        </x:is>
      </x:c>
    </x:row>
    <x:row r="74">
      <x:c r="A74" s="28" t="inlineStr">
        <x:is>
          <x:t xml:space="preserve">Census QuickFacts — Mercer County</x:t>
        </x:is>
      </x:c>
      <x:c r="B74" s="28" t="inlineStr">
        <x:is>
          <x:t xml:space="preserve">https://www.census.gov/quickfacts/mercercountynewjersey</x:t>
        </x:is>
      </x:c>
      <x:c r="C74" s="28" t="inlineStr">
        <x:is>
          <x:t xml:space="preserve">County land area</x:t>
        </x:is>
      </x:c>
      <x:c r="D74" s="28" t="inlineStr">
        <x:is>
          <x:t xml:space="preserve">Mercer County, NJ</x:t>
        </x:is>
      </x:c>
    </x:row>
    <x:row r="75">
      <x:c r="A75" s="28" t="inlineStr">
        <x:is>
          <x:t xml:space="preserve">Census QuickFacts — Genesee County</x:t>
        </x:is>
      </x:c>
      <x:c r="B75" s="28" t="inlineStr">
        <x:is>
          <x:t xml:space="preserve">https://www.census.gov/quickfacts/geneseecountymichigan</x:t>
        </x:is>
      </x:c>
      <x:c r="C75" s="28" t="inlineStr">
        <x:is>
          <x:t xml:space="preserve">County land area</x:t>
        </x:is>
      </x:c>
      <x:c r="D75" s="28" t="inlineStr">
        <x:is>
          <x:t xml:space="preserve">Genesee County, MI</x:t>
        </x:is>
      </x:c>
    </x:row>
    <x:row r="76">
      <x:c r="A76" s="28" t="inlineStr">
        <x:is>
          <x:t xml:space="preserve">Census QuickFacts — Berks County</x:t>
        </x:is>
      </x:c>
      <x:c r="B76" s="28" t="inlineStr">
        <x:is>
          <x:t xml:space="preserve">https://www.census.gov/quickfacts/berkscountypennsylvania</x:t>
        </x:is>
      </x:c>
      <x:c r="C76" s="28" t="inlineStr">
        <x:is>
          <x:t xml:space="preserve">County land area</x:t>
        </x:is>
      </x:c>
      <x:c r="D76" s="28" t="inlineStr">
        <x:is>
          <x:t xml:space="preserve">Berks County, PA</x:t>
        </x:is>
      </x:c>
    </x:row>
    <x:row r="77">
      <x:c r="A77" s="28" t="inlineStr">
        <x:is>
          <x:t xml:space="preserve">Census QuickFacts — Kent County</x:t>
        </x:is>
      </x:c>
      <x:c r="B77" s="28" t="inlineStr">
        <x:is>
          <x:t xml:space="preserve">https://www.census.gov/quickfacts/kentcountyrhodeisland</x:t>
        </x:is>
      </x:c>
      <x:c r="C77" s="28" t="inlineStr">
        <x:is>
          <x:t xml:space="preserve">County land area</x:t>
        </x:is>
      </x:c>
      <x:c r="D77" s="28" t="inlineStr">
        <x:is>
          <x:t xml:space="preserve">Kent County, RI</x:t>
        </x:is>
      </x:c>
    </x:row>
    <x:row r="78">
      <x:c r="A78" s="28" t="inlineStr">
        <x:is>
          <x:t xml:space="preserve">Census Vintage 2025 city/town estimates</x:t>
        </x:is>
      </x:c>
      <x:c r="B78" s="28" t="inlineStr">
        <x:is>
          <x:t xml:space="preserve">https://www.census.gov/newsroom/press-kits/2026/vintage-2025-city-town-pop-estimates.html</x:t>
        </x:is>
      </x:c>
      <x:c r="C78" s="28" t="inlineStr">
        <x:is>
          <x:t xml:space="preserve">Population eligibility</x:t>
        </x:is>
      </x:c>
      <x:c r="D78" s="28" t="inlineStr">
        <x:is>
          <x:t xml:space="preserve">≥50,000 incorporated-city screen</x:t>
        </x:is>
      </x:c>
    </x:row>
    <x:row r="79">
      <x:c r="A79" s="28" t="inlineStr">
        <x:is>
          <x:t xml:space="preserve">Census QuickFacts — Brockton</x:t>
        </x:is>
      </x:c>
      <x:c r="B79" s="28" t="inlineStr">
        <x:is>
          <x:t xml:space="preserve">https://www.census.gov/quickfacts/brocktoncitymassachusetts</x:t>
        </x:is>
      </x:c>
      <x:c r="C79" s="28" t="inlineStr">
        <x:is>
          <x:t xml:space="preserve">Population / land area</x:t>
        </x:is>
      </x:c>
      <x:c r="D79" s="28" t="inlineStr">
        <x:is>
          <x:t xml:space="preserve">Plymouth County, MA</x:t>
        </x:is>
      </x:c>
    </x:row>
    <x:row r="80">
      <x:c r="A80" s="28" t="inlineStr">
        <x:is>
          <x:t xml:space="preserve">Census QuickFacts — Lancaster city</x:t>
        </x:is>
      </x:c>
      <x:c r="B80" s="28" t="inlineStr">
        <x:is>
          <x:t xml:space="preserve">https://www.census.gov/quickfacts/lancastercitypennsylvania</x:t>
        </x:is>
      </x:c>
      <x:c r="C80" s="28" t="inlineStr">
        <x:is>
          <x:t xml:space="preserve">Population / land area</x:t>
        </x:is>
      </x:c>
      <x:c r="D80" s="28" t="inlineStr">
        <x:is>
          <x:t xml:space="preserve">Lancaster County, PA</x:t>
        </x:is>
      </x:c>
    </x:row>
    <x:row r="81">
      <x:c r="A81" s="28" t="inlineStr">
        <x:is>
          <x:t xml:space="preserve">Census QuickFacts — Springfield</x:t>
        </x:is>
      </x:c>
      <x:c r="B81" s="28" t="inlineStr">
        <x:is>
          <x:t xml:space="preserve">https://www.census.gov/quickfacts/springfieldcityohio</x:t>
        </x:is>
      </x:c>
      <x:c r="C81" s="28" t="inlineStr">
        <x:is>
          <x:t xml:space="preserve">Population / land area</x:t>
        </x:is>
      </x:c>
      <x:c r="D81" s="28" t="inlineStr">
        <x:is>
          <x:t xml:space="preserve">Clark County, OH</x:t>
        </x:is>
      </x:c>
    </x:row>
    <x:row r="82">
      <x:c r="A82" s="28" t="inlineStr">
        <x:is>
          <x:t xml:space="preserve">Census QuickFacts — Newark</x:t>
        </x:is>
      </x:c>
      <x:c r="B82" s="28" t="inlineStr">
        <x:is>
          <x:t xml:space="preserve">https://www.census.gov/quickfacts/newarkcityohio</x:t>
        </x:is>
      </x:c>
      <x:c r="C82" s="28" t="inlineStr">
        <x:is>
          <x:t xml:space="preserve">Population / land area</x:t>
        </x:is>
      </x:c>
      <x:c r="D82" s="28" t="inlineStr">
        <x:is>
          <x:t xml:space="preserve">Licking County, OH</x:t>
        </x:is>
      </x:c>
    </x:row>
    <x:row r="83">
      <x:c r="A83" s="28" t="inlineStr">
        <x:is>
          <x:t xml:space="preserve">Census QuickFacts — Youngstown</x:t>
        </x:is>
      </x:c>
      <x:c r="B83" s="28" t="inlineStr">
        <x:is>
          <x:t xml:space="preserve">https://www.census.gov/quickfacts/youngstowncityohio</x:t>
        </x:is>
      </x:c>
      <x:c r="C83" s="28" t="inlineStr">
        <x:is>
          <x:t xml:space="preserve">Population / land area</x:t>
        </x:is>
      </x:c>
      <x:c r="D83" s="28" t="inlineStr">
        <x:is>
          <x:t xml:space="preserve">Mahoning County, OH</x:t>
        </x:is>
      </x:c>
    </x:row>
    <x:row r="84">
      <x:c r="A84" s="28" t="inlineStr">
        <x:is>
          <x:t xml:space="preserve">Census QuickFacts — Plymouth County</x:t>
        </x:is>
      </x:c>
      <x:c r="B84" s="28" t="inlineStr">
        <x:is>
          <x:t xml:space="preserve">https://www.census.gov/quickfacts/plymouthcountymassachusetts</x:t>
        </x:is>
      </x:c>
      <x:c r="C84" s="28" t="inlineStr">
        <x:is>
          <x:t xml:space="preserve">County land area</x:t>
        </x:is>
      </x:c>
      <x:c r="D84" s="28" t="inlineStr">
        <x:is>
          <x:t xml:space="preserve">Plymouth County, MA</x:t>
        </x:is>
      </x:c>
    </x:row>
    <x:row r="85">
      <x:c r="A85" s="28" t="inlineStr">
        <x:is>
          <x:t xml:space="preserve">Census QuickFacts — Lancaster County</x:t>
        </x:is>
      </x:c>
      <x:c r="B85" s="28" t="inlineStr">
        <x:is>
          <x:t xml:space="preserve">https://www.census.gov/quickfacts/lancastercountypennsylvania</x:t>
        </x:is>
      </x:c>
      <x:c r="C85" s="28" t="inlineStr">
        <x:is>
          <x:t xml:space="preserve">County land area</x:t>
        </x:is>
      </x:c>
      <x:c r="D85" s="28" t="inlineStr">
        <x:is>
          <x:t xml:space="preserve">Lancaster County, PA</x:t>
        </x:is>
      </x:c>
    </x:row>
    <x:row r="86">
      <x:c r="A86" s="28" t="inlineStr">
        <x:is>
          <x:t xml:space="preserve">Census QuickFacts — Clark County</x:t>
        </x:is>
      </x:c>
      <x:c r="B86" s="28" t="inlineStr">
        <x:is>
          <x:t xml:space="preserve">https://www.census.gov/quickfacts/clarkcountyohio</x:t>
        </x:is>
      </x:c>
      <x:c r="C86" s="28" t="inlineStr">
        <x:is>
          <x:t xml:space="preserve">County land area</x:t>
        </x:is>
      </x:c>
      <x:c r="D86" s="28" t="inlineStr">
        <x:is>
          <x:t xml:space="preserve">Clark County, OH</x:t>
        </x:is>
      </x:c>
    </x:row>
    <x:row r="87">
      <x:c r="A87" s="28" t="inlineStr">
        <x:is>
          <x:t xml:space="preserve">Census QuickFacts — Licking County</x:t>
        </x:is>
      </x:c>
      <x:c r="B87" s="28" t="inlineStr">
        <x:is>
          <x:t xml:space="preserve">https://www.census.gov/quickfacts/lickingcountyohio</x:t>
        </x:is>
      </x:c>
      <x:c r="C87" s="28" t="inlineStr">
        <x:is>
          <x:t xml:space="preserve">County land area</x:t>
        </x:is>
      </x:c>
      <x:c r="D87" s="28" t="inlineStr">
        <x:is>
          <x:t xml:space="preserve">Licking County, OH</x:t>
        </x:is>
      </x:c>
    </x:row>
    <x:row r="88">
      <x:c r="A88" s="28" t="inlineStr">
        <x:is>
          <x:t xml:space="preserve">Census QuickFacts — Mahoning County</x:t>
        </x:is>
      </x:c>
      <x:c r="B88" s="28" t="inlineStr">
        <x:is>
          <x:t xml:space="preserve">https://www.census.gov/quickfacts/mahoningcountyohio</x:t>
        </x:is>
      </x:c>
      <x:c r="C88" s="28" t="inlineStr">
        <x:is>
          <x:t xml:space="preserve">County land area</x:t>
        </x:is>
      </x:c>
      <x:c r="D88" s="28" t="inlineStr">
        <x:is>
          <x:t xml:space="preserve">Mahoning County, OH</x:t>
        </x:is>
      </x:c>
    </x:row>
    <x:row r="89">
      <x:c r="A89" s="28" t="inlineStr">
        <x:is>
          <x:t xml:space="preserve">Whole Foods — Lancaster</x:t>
        </x:is>
      </x:c>
      <x:c r="B89" s="28" t="inlineStr">
        <x:is>
          <x:t xml:space="preserve">https://www.wholefoodsmarket.com/stores/lancaster</x:t>
        </x:is>
      </x:c>
      <x:c r="C89" s="28" t="inlineStr">
        <x:is>
          <x:t xml:space="preserve">County-level tracked-chain evidence</x:t>
        </x:is>
      </x:c>
      <x:c r="D89" s="28" t="inlineStr">
        <x:is>
          <x:t xml:space="preserve">Lancaster County, PA</x:t>
        </x:is>
      </x:c>
    </x:row>
    <x:row r="90">
      <x:c r="A90" s="28" t="inlineStr">
        <x:is>
          <x:t xml:space="preserve">Wegmans — Lancaster</x:t>
        </x:is>
      </x:c>
      <x:c r="B90" s="28" t="inlineStr">
        <x:is>
          <x:t xml:space="preserve">https://www.wegmans.com/stores/lancaster-pa</x:t>
        </x:is>
      </x:c>
      <x:c r="C90" s="28" t="inlineStr">
        <x:is>
          <x:t xml:space="preserve">County-level tracked-chain evidence</x:t>
        </x:is>
      </x:c>
      <x:c r="D90" s="28" t="inlineStr">
        <x:is>
          <x:t xml:space="preserve">Lancaster County, PA</x:t>
        </x:is>
      </x:c>
    </x:row>
    <x:row r="91">
      <x:c r="A91" s="28" t="inlineStr">
        <x:is>
          <x:t xml:space="preserve">Whole Foods — Hingham</x:t>
        </x:is>
      </x:c>
      <x:c r="B91" s="28" t="inlineStr">
        <x:is>
          <x:t xml:space="preserve">https://www.wholefoodsmarket.com/stores/hingham</x:t>
        </x:is>
      </x:c>
      <x:c r="C91" s="28" t="inlineStr">
        <x:is>
          <x:t xml:space="preserve">County-level tracked-chain evidence</x:t>
        </x:is>
      </x:c>
      <x:c r="D91" s="28" t="inlineStr">
        <x:is>
          <x:t xml:space="preserve">Plymouth County, MA</x:t>
        </x:is>
      </x:c>
    </x:row>
    <x:row r="92">
      <x:c r="A92" s="28" t="inlineStr">
        <x:is>
          <x:t xml:space="preserve">Census Vintage 2025 city/town estimates</x:t>
        </x:is>
      </x:c>
      <x:c r="B92" s="28" t="inlineStr">
        <x:is>
          <x:t xml:space="preserve">https://www.census.gov/data/datasets/time-series/demo/popest/2020s-total-cities-and-towns.html</x:t>
        </x:is>
      </x:c>
      <x:c r="C92" s="28" t="inlineStr">
        <x:is>
          <x:t xml:space="preserve">Population eligibility</x:t>
        </x:is>
      </x:c>
      <x:c r="D92" s="28" t="inlineStr">
        <x:is>
          <x:t xml:space="preserve">≥50,000 incorporated-city screen</x:t>
        </x:is>
      </x:c>
    </x:row>
    <x:row r="93">
      <x:c r="A93" s="28" t="inlineStr">
        <x:is>
          <x:t xml:space="preserve">Census QuickFacts — Portland</x:t>
        </x:is>
      </x:c>
      <x:c r="B93" s="28" t="inlineStr">
        <x:is>
          <x:t xml:space="preserve">https://www.census.gov/quickfacts/portlandcitymaine</x:t>
        </x:is>
      </x:c>
      <x:c r="C93" s="28" t="inlineStr">
        <x:is>
          <x:t xml:space="preserve">Population / land area</x:t>
        </x:is>
      </x:c>
      <x:c r="D93" s="28" t="inlineStr">
        <x:is>
          <x:t xml:space="preserve">Cumberland County, ME</x:t>
        </x:is>
      </x:c>
    </x:row>
    <x:row r="94">
      <x:c r="A94" s="28" t="inlineStr">
        <x:is>
          <x:t xml:space="preserve">Census QuickFacts — Erie city</x:t>
        </x:is>
      </x:c>
      <x:c r="B94" s="28" t="inlineStr">
        <x:is>
          <x:t xml:space="preserve">https://www.census.gov/quickfacts/eriecitypennsylvania</x:t>
        </x:is>
      </x:c>
      <x:c r="C94" s="28" t="inlineStr">
        <x:is>
          <x:t xml:space="preserve">Population / land area</x:t>
        </x:is>
      </x:c>
      <x:c r="D94" s="28" t="inlineStr">
        <x:is>
          <x:t xml:space="preserve">Erie County, PA</x:t>
        </x:is>
      </x:c>
    </x:row>
    <x:row r="95">
      <x:c r="A95" s="28" t="inlineStr">
        <x:is>
          <x:t xml:space="preserve">Census QuickFacts — Scranton</x:t>
        </x:is>
      </x:c>
      <x:c r="B95" s="28" t="inlineStr">
        <x:is>
          <x:t xml:space="preserve">https://www.census.gov/quickfacts/scrantoncitypennsylvania</x:t>
        </x:is>
      </x:c>
      <x:c r="C95" s="28" t="inlineStr">
        <x:is>
          <x:t xml:space="preserve">Population / land area</x:t>
        </x:is>
      </x:c>
      <x:c r="D95" s="28" t="inlineStr">
        <x:is>
          <x:t xml:space="preserve">Lackawanna County, PA</x:t>
        </x:is>
      </x:c>
    </x:row>
    <x:row r="96">
      <x:c r="A96" s="28" t="inlineStr">
        <x:is>
          <x:t xml:space="preserve">Census QuickFacts — Albany city</x:t>
        </x:is>
      </x:c>
      <x:c r="B96" s="28" t="inlineStr">
        <x:is>
          <x:t xml:space="preserve">https://www.census.gov/quickfacts/albanycitynewyork</x:t>
        </x:is>
      </x:c>
      <x:c r="C96" s="28" t="inlineStr">
        <x:is>
          <x:t xml:space="preserve">Population / land area</x:t>
        </x:is>
      </x:c>
      <x:c r="D96" s="28" t="inlineStr">
        <x:is>
          <x:t xml:space="preserve">Albany County, NY</x:t>
        </x:is>
      </x:c>
    </x:row>
    <x:row r="97">
      <x:c r="A97" s="28" t="inlineStr">
        <x:is>
          <x:t xml:space="preserve">Census QuickFacts — Kalamazoo city</x:t>
        </x:is>
      </x:c>
      <x:c r="B97" s="28" t="inlineStr">
        <x:is>
          <x:t xml:space="preserve">https://www.census.gov/quickfacts/kalamazoocitymichigan</x:t>
        </x:is>
      </x:c>
      <x:c r="C97" s="28" t="inlineStr">
        <x:is>
          <x:t xml:space="preserve">Population / land area</x:t>
        </x:is>
      </x:c>
      <x:c r="D97" s="28" t="inlineStr">
        <x:is>
          <x:t xml:space="preserve">Kalamazoo County, MI</x:t>
        </x:is>
      </x:c>
    </x:row>
    <x:row r="98">
      <x:c r="A98" s="28" t="inlineStr">
        <x:is>
          <x:t xml:space="preserve">Census QuickFacts — Cumberland County</x:t>
        </x:is>
      </x:c>
      <x:c r="B98" s="28" t="inlineStr">
        <x:is>
          <x:t xml:space="preserve">https://www.census.gov/quickfacts/cumberlandcountymaine</x:t>
        </x:is>
      </x:c>
      <x:c r="C98" s="28" t="inlineStr">
        <x:is>
          <x:t xml:space="preserve">County land area</x:t>
        </x:is>
      </x:c>
      <x:c r="D98" s="28" t="inlineStr">
        <x:is>
          <x:t xml:space="preserve">Cumberland County, ME</x:t>
        </x:is>
      </x:c>
    </x:row>
    <x:row r="99">
      <x:c r="A99" s="28" t="inlineStr">
        <x:is>
          <x:t xml:space="preserve">Census QuickFacts — Erie County</x:t>
        </x:is>
      </x:c>
      <x:c r="B99" s="28" t="inlineStr">
        <x:is>
          <x:t xml:space="preserve">https://www.census.gov/quickfacts/eriecountypennsylvania</x:t>
        </x:is>
      </x:c>
      <x:c r="C99" s="28" t="inlineStr">
        <x:is>
          <x:t xml:space="preserve">County land area</x:t>
        </x:is>
      </x:c>
      <x:c r="D99" s="28" t="inlineStr">
        <x:is>
          <x:t xml:space="preserve">Erie County, PA</x:t>
        </x:is>
      </x:c>
    </x:row>
    <x:row r="100">
      <x:c r="A100" s="28" t="inlineStr">
        <x:is>
          <x:t xml:space="preserve">Census QuickFacts — Lackawanna County</x:t>
        </x:is>
      </x:c>
      <x:c r="B100" s="28" t="inlineStr">
        <x:is>
          <x:t xml:space="preserve">https://www.census.gov/quickfacts/lackawannacountypennsylvania</x:t>
        </x:is>
      </x:c>
      <x:c r="C100" s="28" t="inlineStr">
        <x:is>
          <x:t xml:space="preserve">County land area</x:t>
        </x:is>
      </x:c>
      <x:c r="D100" s="28" t="inlineStr">
        <x:is>
          <x:t xml:space="preserve">Lackawanna County, PA</x:t>
        </x:is>
      </x:c>
    </x:row>
    <x:row r="101">
      <x:c r="A101" s="28" t="inlineStr">
        <x:is>
          <x:t xml:space="preserve">Census QuickFacts — Albany County</x:t>
        </x:is>
      </x:c>
      <x:c r="B101" s="28" t="inlineStr">
        <x:is>
          <x:t xml:space="preserve">https://www.census.gov/quickfacts/albanycountynewyork</x:t>
        </x:is>
      </x:c>
      <x:c r="C101" s="28" t="inlineStr">
        <x:is>
          <x:t xml:space="preserve">County land area</x:t>
        </x:is>
      </x:c>
      <x:c r="D101" s="28" t="inlineStr">
        <x:is>
          <x:t xml:space="preserve">Albany County, NY</x:t>
        </x:is>
      </x:c>
    </x:row>
    <x:row r="102">
      <x:c r="A102" s="28" t="inlineStr">
        <x:is>
          <x:t xml:space="preserve">Census QuickFacts — Kalamazoo County</x:t>
        </x:is>
      </x:c>
      <x:c r="B102" s="28" t="inlineStr">
        <x:is>
          <x:t xml:space="preserve">https://www.census.gov/quickfacts/kalamazoocountymichigan</x:t>
        </x:is>
      </x:c>
      <x:c r="C102" s="28" t="inlineStr">
        <x:is>
          <x:t xml:space="preserve">County land area</x:t>
        </x:is>
      </x:c>
      <x:c r="D102" s="28" t="inlineStr">
        <x:is>
          <x:t xml:space="preserve">Kalamazoo County, MI</x:t>
        </x:is>
      </x:c>
    </x:row>
    <x:row r="103">
      <x:c r="A103" s="28" t="inlineStr">
        <x:is>
          <x:t xml:space="preserve">Whole Foods — Portland, ME</x:t>
        </x:is>
      </x:c>
      <x:c r="B103" s="28" t="inlineStr">
        <x:is>
          <x:t xml:space="preserve">https://www.wholefoodsmarket.com/stores/portland-me</x:t>
        </x:is>
      </x:c>
      <x:c r="C103" s="28" t="inlineStr">
        <x:is>
          <x:t xml:space="preserve">Verified city store</x:t>
        </x:is>
      </x:c>
      <x:c r="D103" s="28" t="inlineStr">
        <x:is>
          <x:t xml:space="preserve">Portland, ME</x:t>
        </x:is>
      </x:c>
    </x:row>
    <x:row r="104">
      <x:c r="A104" s="28" t="inlineStr">
        <x:is>
          <x:t xml:space="preserve">Whole Foods — Albany area</x:t>
        </x:is>
      </x:c>
      <x:c r="B104" s="28" t="inlineStr">
        <x:is>
          <x:t xml:space="preserve">https://www.wholefoodsmarket.com/stores/albany</x:t>
        </x:is>
      </x:c>
      <x:c r="C104" s="28" t="inlineStr">
        <x:is>
          <x:t xml:space="preserve">County-level tracked-chain evidence</x:t>
        </x:is>
      </x:c>
      <x:c r="D104" s="28" t="inlineStr">
        <x:is>
          <x:t xml:space="preserve">Albany County, NY</x:t>
        </x:is>
      </x:c>
    </x:row>
    <x:row r="105">
      <x:c r="A105" s="28" t="inlineStr">
        <x:is>
          <x:t xml:space="preserve">Wegmans — Erie Peach St.</x:t>
        </x:is>
      </x:c>
      <x:c r="B105" s="28" t="inlineStr">
        <x:is>
          <x:t xml:space="preserve">https://www.wegmans.com/stores/erie-peach-st-pa</x:t>
        </x:is>
      </x:c>
      <x:c r="C105" s="28" t="inlineStr">
        <x:is>
          <x:t xml:space="preserve">County-level tracked-chain evidence</x:t>
        </x:is>
      </x:c>
      <x:c r="D105" s="28" t="inlineStr">
        <x:is>
          <x:t xml:space="preserve">Erie County, PA</x:t>
        </x:is>
      </x:c>
    </x:row>
    <x:row r="106">
      <x:c r="A106" s="28" t="inlineStr">
        <x:is>
          <x:t xml:space="preserve">Wegmans — Erie West</x:t>
        </x:is>
      </x:c>
      <x:c r="B106" s="28" t="inlineStr">
        <x:is>
          <x:t xml:space="preserve">https://www.wegmans.com/stores/erie-west-pa</x:t>
        </x:is>
      </x:c>
      <x:c r="C106" s="28" t="inlineStr">
        <x:is>
          <x:t xml:space="preserve">County-level tracked-chain evidence</x:t>
        </x:is>
      </x:c>
      <x:c r="D106" s="28" t="inlineStr">
        <x:is>
          <x:t xml:space="preserve">Erie County, PA</x:t>
        </x:is>
      </x:c>
    </x:row>
    <x:row r="107">
      <x:c r="A107" s="28" t="inlineStr">
        <x:is>
          <x:t xml:space="preserve">Wegmans — Scranton</x:t>
        </x:is>
      </x:c>
      <x:c r="B107" s="28" t="inlineStr">
        <x:is>
          <x:t xml:space="preserve">https://www.wegmans.com/stores/scranton-pa</x:t>
        </x:is>
      </x:c>
      <x:c r="C107" s="28" t="inlineStr">
        <x:is>
          <x:t xml:space="preserve">County-level tracked-chain evidence</x:t>
        </x:is>
      </x:c>
      <x:c r="D107" s="28" t="inlineStr">
        <x:is>
          <x:t xml:space="preserve">Lackawanna County, PA</x:t>
        </x:is>
      </x:c>
    </x:row>
    <x:row r="108">
      <x:c r="A108" s="28" t="inlineStr">
        <x:is>
          <x:t xml:space="preserve">Census Vintage 2025 city/town estimates</x:t>
        </x:is>
      </x:c>
      <x:c r="B108" s="28" t="inlineStr">
        <x:is>
          <x:t xml:space="preserve">https://www.census.gov/data/datasets/time-series/demo/popest/2020s-total-cities-and-towns.html</x:t>
        </x:is>
      </x:c>
      <x:c r="C108" s="28" t="inlineStr">
        <x:is>
          <x:t xml:space="preserve">Population eligibility</x:t>
        </x:is>
      </x:c>
      <x:c r="D108" s="28" t="inlineStr">
        <x:is>
          <x:t xml:space="preserve">≥50,000 incorporated-city screen</x:t>
        </x:is>
      </x:c>
    </x:row>
    <x:row r="109">
      <x:c r="A109" s="28" t="inlineStr">
        <x:is>
          <x:t xml:space="preserve">Census QuickFacts — Bethlehem</x:t>
        </x:is>
      </x:c>
      <x:c r="B109" s="28" t="inlineStr">
        <x:is>
          <x:t xml:space="preserve">https://www.census.gov/quickfacts/bethlehemcitypennsylvania</x:t>
        </x:is>
      </x:c>
      <x:c r="C109" s="28" t="inlineStr">
        <x:is>
          <x:t xml:space="preserve">Population / land area</x:t>
        </x:is>
      </x:c>
      <x:c r="D109" s="28" t="inlineStr">
        <x:is>
          <x:t xml:space="preserve">Northampton County, PA</x:t>
        </x:is>
      </x:c>
    </x:row>
    <x:row r="110">
      <x:c r="A110" s="28" t="inlineStr">
        <x:is>
          <x:t xml:space="preserve">Census QuickFacts — Harrisburg</x:t>
        </x:is>
      </x:c>
      <x:c r="B110" s="28" t="inlineStr">
        <x:is>
          <x:t xml:space="preserve">https://www.census.gov/quickfacts/harrisburgcitypennsylvania</x:t>
        </x:is>
      </x:c>
      <x:c r="C110" s="28" t="inlineStr">
        <x:is>
          <x:t xml:space="preserve">Population / land area</x:t>
        </x:is>
      </x:c>
      <x:c r="D110" s="28" t="inlineStr">
        <x:is>
          <x:t xml:space="preserve">Dauphin County, PA</x:t>
        </x:is>
      </x:c>
    </x:row>
    <x:row r="111">
      <x:c r="A111" s="28" t="inlineStr">
        <x:is>
          <x:t xml:space="preserve">Census QuickFacts — Schenectady</x:t>
        </x:is>
      </x:c>
      <x:c r="B111" s="28" t="inlineStr">
        <x:is>
          <x:t xml:space="preserve">https://www.census.gov/quickfacts/schenectadycitynewyork</x:t>
        </x:is>
      </x:c>
      <x:c r="C111" s="28" t="inlineStr">
        <x:is>
          <x:t xml:space="preserve">Population / land area</x:t>
        </x:is>
      </x:c>
      <x:c r="D111" s="28" t="inlineStr">
        <x:is>
          <x:t xml:space="preserve">Schenectady County, NY</x:t>
        </x:is>
      </x:c>
    </x:row>
    <x:row r="112">
      <x:c r="A112" s="28" t="inlineStr">
        <x:is>
          <x:t xml:space="preserve">Census QuickFacts — Troy</x:t>
        </x:is>
      </x:c>
      <x:c r="B112" s="28" t="inlineStr">
        <x:is>
          <x:t xml:space="preserve">https://www.census.gov/quickfacts/troycitynewyork</x:t>
        </x:is>
      </x:c>
      <x:c r="C112" s="28" t="inlineStr">
        <x:is>
          <x:t xml:space="preserve">Population / land area</x:t>
        </x:is>
      </x:c>
      <x:c r="D112" s="28" t="inlineStr">
        <x:is>
          <x:t xml:space="preserve">Rensselaer County, NY</x:t>
        </x:is>
      </x:c>
    </x:row>
    <x:row r="113">
      <x:c r="A113" s="28" t="inlineStr">
        <x:is>
          <x:t xml:space="preserve">Census QuickFacts — Vineland</x:t>
        </x:is>
      </x:c>
      <x:c r="B113" s="28" t="inlineStr">
        <x:is>
          <x:t xml:space="preserve">https://www.census.gov/quickfacts/vinelandcitynewjersey</x:t>
        </x:is>
      </x:c>
      <x:c r="C113" s="28" t="inlineStr">
        <x:is>
          <x:t xml:space="preserve">Population / land area</x:t>
        </x:is>
      </x:c>
      <x:c r="D113" s="28" t="inlineStr">
        <x:is>
          <x:t xml:space="preserve">Cumberland County, NJ</x:t>
        </x:is>
      </x:c>
    </x:row>
    <x:row r="114">
      <x:c r="A114" s="28" t="inlineStr">
        <x:is>
          <x:t xml:space="preserve">Census QuickFacts — Northampton County</x:t>
        </x:is>
      </x:c>
      <x:c r="B114" s="28" t="inlineStr">
        <x:is>
          <x:t xml:space="preserve">https://www.census.gov/quickfacts/northamptoncountypennsylvania</x:t>
        </x:is>
      </x:c>
      <x:c r="C114" s="28" t="inlineStr">
        <x:is>
          <x:t xml:space="preserve">County land area</x:t>
        </x:is>
      </x:c>
      <x:c r="D114" s="28" t="inlineStr">
        <x:is>
          <x:t xml:space="preserve">Northampton County, PA</x:t>
        </x:is>
      </x:c>
    </x:row>
    <x:row r="115">
      <x:c r="A115" s="28" t="inlineStr">
        <x:is>
          <x:t xml:space="preserve">Census QuickFacts — Dauphin County</x:t>
        </x:is>
      </x:c>
      <x:c r="B115" s="28" t="inlineStr">
        <x:is>
          <x:t xml:space="preserve">https://www.census.gov/quickfacts/dauphincountypennsylvania</x:t>
        </x:is>
      </x:c>
      <x:c r="C115" s="28" t="inlineStr">
        <x:is>
          <x:t xml:space="preserve">County land area</x:t>
        </x:is>
      </x:c>
      <x:c r="D115" s="28" t="inlineStr">
        <x:is>
          <x:t xml:space="preserve">Dauphin County, PA</x:t>
        </x:is>
      </x:c>
    </x:row>
    <x:row r="116">
      <x:c r="A116" s="28" t="inlineStr">
        <x:is>
          <x:t xml:space="preserve">Census QuickFacts — Schenectady County</x:t>
        </x:is>
      </x:c>
      <x:c r="B116" s="28" t="inlineStr">
        <x:is>
          <x:t xml:space="preserve">https://www.census.gov/quickfacts/schenectadycountynewyork</x:t>
        </x:is>
      </x:c>
      <x:c r="C116" s="28" t="inlineStr">
        <x:is>
          <x:t xml:space="preserve">County land area</x:t>
        </x:is>
      </x:c>
      <x:c r="D116" s="28" t="inlineStr">
        <x:is>
          <x:t xml:space="preserve">Schenectady County, NY</x:t>
        </x:is>
      </x:c>
    </x:row>
    <x:row r="117">
      <x:c r="A117" s="28" t="inlineStr">
        <x:is>
          <x:t xml:space="preserve">Census QuickFacts — Rensselaer County</x:t>
        </x:is>
      </x:c>
      <x:c r="B117" s="28" t="inlineStr">
        <x:is>
          <x:t xml:space="preserve">https://www.census.gov/quickfacts/rensselaercountynewyork</x:t>
        </x:is>
      </x:c>
      <x:c r="C117" s="28" t="inlineStr">
        <x:is>
          <x:t xml:space="preserve">County land area</x:t>
        </x:is>
      </x:c>
      <x:c r="D117" s="28" t="inlineStr">
        <x:is>
          <x:t xml:space="preserve">Rensselaer County, NY</x:t>
        </x:is>
      </x:c>
    </x:row>
    <x:row r="118">
      <x:c r="A118" s="28" t="inlineStr">
        <x:is>
          <x:t xml:space="preserve">Census QuickFacts — Cumberland County NJ</x:t>
        </x:is>
      </x:c>
      <x:c r="B118" s="28" t="inlineStr">
        <x:is>
          <x:t xml:space="preserve">https://www.census.gov/quickfacts/cumberlandcountynewjersey</x:t>
        </x:is>
      </x:c>
      <x:c r="C118" s="28" t="inlineStr">
        <x:is>
          <x:t xml:space="preserve">County land area</x:t>
        </x:is>
      </x:c>
      <x:c r="D118" s="28" t="inlineStr">
        <x:is>
          <x:t xml:space="preserve">Cumberland County, NJ</x:t>
        </x:is>
      </x:c>
    </x:row>
    <x:row r="119">
      <x:c r="A119" s="28" t="inlineStr">
        <x:is>
          <x:t xml:space="preserve">Wegmans — Bethlehem</x:t>
        </x:is>
      </x:c>
      <x:c r="B119" s="28" t="inlineStr">
        <x:is>
          <x:t xml:space="preserve">https://www.wegmans.com/stores/bethlehem-pa</x:t>
        </x:is>
      </x:c>
      <x:c r="C119" s="28" t="inlineStr">
        <x:is>
          <x:t xml:space="preserve">Verified tracked-chain store</x:t>
        </x:is>
      </x:c>
      <x:c r="D119" s="28" t="inlineStr">
        <x:is>
          <x:t xml:space="preserve">Bethlehem / Northampton County, PA</x:t>
        </x:is>
      </x:c>
    </x:row>
    <x:row r="120">
      <x:c r="A120" s="28" t="inlineStr">
        <x:is>
          <x:t xml:space="preserve">Wegmans — Harrisburg</x:t>
        </x:is>
      </x:c>
      <x:c r="B120" s="28" t="inlineStr">
        <x:is>
          <x:t xml:space="preserve">https://www.wegmans.com/stores/harrisburg-pa</x:t>
        </x:is>
      </x:c>
      <x:c r="C120" s="28" t="inlineStr">
        <x:is>
          <x:t xml:space="preserve">Boundary check</x:t>
        </x:is>
      </x:c>
      <x:c r="D120" s="28" t="inlineStr">
        <x:is>
          <x:t xml:space="preserve">Branded Harrisburg location is in Mechanicsburg, PA</x:t>
        </x:is>
      </x:c>
    </x:row>
    <x:row r="121">
      <x:c r="A121" s="28" t="inlineStr">
        <x:is>
          <x:t xml:space="preserve">Wegmans store directory</x:t>
        </x:is>
      </x:c>
      <x:c r="B121" s="28" t="inlineStr">
        <x:is>
          <x:t xml:space="preserve">https://www.wegmans.com/stores</x:t>
        </x:is>
      </x:c>
      <x:c r="C121" s="28" t="inlineStr">
        <x:is>
          <x:t xml:space="preserve">Tracked-chain footprint check</x:t>
        </x:is>
      </x:c>
      <x:c r="D121" s="28" t="inlineStr">
        <x:is>
          <x:t xml:space="preserve">Remaining restricted-state candidate screen</x:t>
        </x:is>
      </x:c>
    </x:row>
    <x:row r="122">
      <x:c r="A122" t="inlineStr">
        <x:is>
          <x:t xml:space="preserve">Census Vintage 2025 city/town estimates</x:t>
        </x:is>
      </x:c>
      <x:c r="B122" t="inlineStr">
        <x:is>
          <x:t xml:space="preserve">Population eligibility</x:t>
        </x:is>
      </x:c>
      <x:c r="C122" t="inlineStr">
        <x:is>
          <x:t xml:space="preserve">https://www.census.gov/data/tables/time-series/demo/popest/2020s-total-cities-and-towns.html</x:t>
        </x:is>
      </x:c>
      <x:c r="D122" t="inlineStr">
        <x:is>
          <x:t xml:space="preserve">Vintage 2025 is the current completed vintage.</x:t>
        </x:is>
      </x:c>
    </x:row>
    <x:row r="123">
      <x:c r="A123" t="inlineStr">
        <x:is>
          <x:t xml:space="preserve">Census 2025 County Adjacency File</x:t>
        </x:is>
      </x:c>
      <x:c r="B123" t="inlineStr">
        <x:is>
          <x:t xml:space="preserve">Authoritative adjacency</x:t>
        </x:is>
      </x:c>
      <x:c r="C123" t="inlineStr">
        <x:is>
          <x:t xml:space="preserve">https://www2.census.gov/geo/docs/reference/county_adjacency/county_adjacency2025.txt</x:t>
        </x:is>
      </x:c>
      <x:c r="D123" t="inlineStr">
        <x:is>
          <x:t xml:space="preserve">Point-to-point connections count as adjacency under Census definitions.</x:t>
        </x:is>
      </x:c>
    </x:row>
    <x:row r="124">
      <x:c r="A124" t="inlineStr">
        <x:is>
          <x:t xml:space="preserve">Census QuickFacts — Battle Creek</x:t>
        </x:is>
      </x:c>
      <x:c r="B124" t="inlineStr">
        <x:is>
          <x:t xml:space="preserve">Population / city land area</x:t>
        </x:is>
      </x:c>
      <x:c r="C124" t="inlineStr">
        <x:is>
          <x:t xml:space="preserve">https://www.census.gov/quickfacts/battlecreekcitymichigan</x:t>
        </x:is>
      </x:c>
      <x:c r="D124" t="inlineStr">
        <x:is>
          <x:t xml:space="preserve">V2025 population 52,021; 2020 land area 42.59 sq mi.</x:t>
        </x:is>
      </x:c>
    </x:row>
    <x:row r="125">
      <x:c r="A125" t="inlineStr">
        <x:is>
          <x:t xml:space="preserve">Census QuickFacts — Calhoun County</x:t>
        </x:is>
      </x:c>
      <x:c r="B125" t="inlineStr">
        <x:is>
          <x:t xml:space="preserve">County land area / FIPS</x:t>
        </x:is>
      </x:c>
      <x:c r="C125" t="inlineStr">
        <x:is>
          <x:t xml:space="preserve">https://www.census.gov/quickfacts/calhouncountymichigan</x:t>
        </x:is>
      </x:c>
      <x:c r="D125" t="inlineStr">
        <x:is>
          <x:t xml:space="preserve">2020 land area 706.26 sq mi; FIPS 26025.</x:t>
        </x:is>
      </x:c>
    </x:row>
    <x:row r="126">
      <x:c r="A126" t="inlineStr">
        <x:is>
          <x:t xml:space="preserve">Census QuickFacts — Utica</x:t>
        </x:is>
      </x:c>
      <x:c r="B126" t="inlineStr">
        <x:is>
          <x:t xml:space="preserve">Population / city land area</x:t>
        </x:is>
      </x:c>
      <x:c r="C126" t="inlineStr">
        <x:is>
          <x:t xml:space="preserve">https://www.census.gov/quickfacts/uticacitynewyork</x:t>
        </x:is>
      </x:c>
      <x:c r="D126" t="inlineStr">
        <x:is>
          <x:t xml:space="preserve">V2025 population 62,978; 2020 land area 16.72 sq mi.</x:t>
        </x:is>
      </x:c>
    </x:row>
    <x:row r="127">
      <x:c r="A127" t="inlineStr">
        <x:is>
          <x:t xml:space="preserve">Census QuickFacts — Oneida County</x:t>
        </x:is>
      </x:c>
      <x:c r="B127" t="inlineStr">
        <x:is>
          <x:t xml:space="preserve">County land area / FIPS</x:t>
        </x:is>
      </x:c>
      <x:c r="C127" t="inlineStr">
        <x:is>
          <x:t xml:space="preserve">https://www.census.gov/quickfacts/oneidacountynewyork</x:t>
        </x:is>
      </x:c>
      <x:c r="D127" t="inlineStr">
        <x:is>
          <x:t xml:space="preserve">2020 land area 1,212.33 sq mi; FIPS 36065.</x:t>
        </x:is>
      </x:c>
    </x:row>
    <x:row r="128">
      <x:c r="A128" t="inlineStr">
        <x:is>
          <x:t xml:space="preserve">Horrocks &amp; Co. — Battle Creek</x:t>
        </x:is>
      </x:c>
      <x:c r="B128" t="inlineStr">
        <x:is>
          <x:t xml:space="preserve">County/city specialty-grocery selection evidence</x:t>
        </x:is>
      </x:c>
      <x:c r="C128" t="inlineStr">
        <x:is>
          <x:t xml:space="preserve">https://www.horrocksandco.com/</x:t>
        </x:is>
      </x:c>
      <x:c r="D128" t="inlineStr">
        <x:is>
          <x:t xml:space="preserve">Not counted in the five tracked city proxy columns.</x:t>
        </x:is>
      </x:c>
    </x:row>
    <x:row r="129">
      <x:c r="A129" t="inlineStr">
        <x:is>
          <x:t xml:space="preserve">Oneida County Public Market</x:t>
        </x:is>
      </x:c>
      <x:c r="B129" t="inlineStr">
        <x:is>
          <x:t xml:space="preserve">County/city specialty-grocery selection evidence</x:t>
        </x:is>
      </x:c>
      <x:c r="C129" t="inlineStr">
        <x:is>
          <x:t xml:space="preserve">https://oneidacountypublicmarket.com/</x:t>
        </x:is>
      </x:c>
      <x:c r="D129" t="inlineStr">
        <x:is>
          <x:t xml:space="preserve">Year-round public market in Utica; not counted in the five tracked city proxy columns.</x:t>
        </x:is>
      </x:c>
    </x:row>
    <x:row r="130">
      <x:c r="A130" t="inlineStr">
        <x:is>
          <x:t xml:space="preserve">Wegmans store directory</x:t>
        </x:is>
      </x:c>
      <x:c r="B130" t="inlineStr">
        <x:is>
          <x:t xml:space="preserve">Tracked-chain official locator check</x:t>
        </x:is>
      </x:c>
      <x:c r="C130" t="inlineStr">
        <x:is>
          <x:t xml:space="preserve">https://www.wegmans.com/stores</x:t>
        </x:is>
      </x:c>
      <x:c r="D130" t="inlineStr">
        <x:is>
          <x:t xml:space="preserve">No Utica listing found; city row remains proxy-only.</x:t>
        </x:is>
      </x:c>
    </x:row>
    <x:row r="131">
      <x:c r="A131" t="inlineStr">
        <x:is>
          <x:t xml:space="preserve">Whole Foods store locator</x:t>
        </x:is>
      </x:c>
      <x:c r="B131" t="inlineStr">
        <x:is>
          <x:t xml:space="preserve">Tracked-chain official locator check</x:t>
        </x:is>
      </x:c>
      <x:c r="C131" t="inlineStr">
        <x:is>
          <x:t xml:space="preserve">https://www.wholefoodsmarket.com/stores</x:t>
        </x:is>
      </x:c>
      <x:c r="D131" t="inlineStr">
        <x:is>
          <x:t xml:space="preserve">No Battle Creek or Utica city location directly verified; city rows remain proxy-only.</x:t>
        </x:is>
      </x:c>
    </x:row>
    <x:row r="132">
      <x:c r="A132" t="inlineStr">
        <x:is>
          <x:t xml:space="preserve">Fresh Thyme store locator</x:t>
        </x:is>
      </x:c>
      <x:c r="B132" t="inlineStr">
        <x:is>
          <x:t xml:space="preserve">Tracked-chain official locator check</x:t>
        </x:is>
      </x:c>
      <x:c r="C132" t="inlineStr">
        <x:is>
          <x:t xml:space="preserve">https://ww2.freshthyme.com/store</x:t>
        </x:is>
      </x:c>
      <x:c r="D132" t="inlineStr">
        <x:is>
          <x:t xml:space="preserve">No Battle Creek city location directly verified; city row remains proxy-only.</x:t>
        </x:is>
      </x:c>
    </x:row>
    <x:row r="133"/>
    <x:row r="134">
      <x:c r="A134" t="inlineStr">
        <x:is>
          <x:t xml:space="preserve">Census 2025 County Adjacency File</x:t>
        </x:is>
      </x:c>
      <x:c r="B134" t="inlineStr">
        <x:is>
          <x:t xml:space="preserve">https://www2.census.gov/geo/docs/reference/county_adjacency/county_adjacency2025.txt</x:t>
        </x:is>
      </x:c>
      <x:c r="C134" t="inlineStr">
        <x:is>
          <x:t xml:space="preserve">Authoritative adjacency</x:t>
        </x:is>
      </x:c>
      <x:c r="D134" t="inlineStr">
        <x:is>
          <x:t xml:space="preserve">Five selected counties are direct neighbors of the represented network.</x:t>
        </x:is>
      </x:c>
    </x:row>
    <x:row r="135">
      <x:c r="A135" t="inlineStr">
        <x:is>
          <x:t xml:space="preserve">Census Vintage 2025 NJ city/town estimates</x:t>
        </x:is>
      </x:c>
      <x:c r="B135" t="inlineStr">
        <x:is>
          <x:t xml:space="preserve">https://www2.census.gov/programs-surveys/popest/datasets/2020-2025/cities/totals/sub-est2025_34.csv</x:t>
        </x:is>
      </x:c>
      <x:c r="C135" t="inlineStr">
        <x:is>
          <x:t xml:space="preserve">Municipality population eligibility</x:t>
        </x:is>
      </x:c>
      <x:c r="D135" t="inlineStr">
        <x:is>
          <x:t xml:space="preserve">NJ municipalities screened at &gt;=10,000.</x:t>
        </x:is>
      </x:c>
    </x:row>
    <x:row r="136">
      <x:c r="A136" t="inlineStr">
        <x:is>
          <x:t xml:space="preserve">Census Vintage 2025 PA city/town estimates</x:t>
        </x:is>
      </x:c>
      <x:c r="B136" t="inlineStr">
        <x:is>
          <x:t xml:space="preserve">https://www2.census.gov/programs-surveys/popest/datasets/2020-2025/cities/totals/sub-est2025_42.csv</x:t>
        </x:is>
      </x:c>
      <x:c r="C136" t="inlineStr">
        <x:is>
          <x:t xml:space="preserve">Municipality population eligibility</x:t>
        </x:is>
      </x:c>
      <x:c r="D136" t="inlineStr">
        <x:is>
          <x:t xml:space="preserve">PA municipalities screened at &gt;=10,000.</x:t>
        </x:is>
      </x:c>
    </x:row>
    <x:row r="137">
      <x:c r="A137" t="inlineStr">
        <x:is>
          <x:t xml:space="preserve">Census 2025 Gazetteer — NJ county subdivisions</x:t>
        </x:is>
      </x:c>
      <x:c r="B137" t="inlineStr">
        <x:is>
          <x:t xml:space="preserve">https://www2.census.gov/geo/docs/maps-data/data/gazetteer/2025_Gazetteer/2025_gaz_cousubs_34.txt</x:t>
        </x:is>
      </x:c>
      <x:c r="C137" t="inlineStr">
        <x:is>
          <x:t xml:space="preserve">Municipal land area</x:t>
        </x:is>
      </x:c>
      <x:c r="D137" t="inlineStr">
        <x:is>
          <x:t xml:space="preserve">ALAND_SQMI for new NJ municipalities.</x:t>
        </x:is>
      </x:c>
    </x:row>
    <x:row r="138">
      <x:c r="A138" t="inlineStr">
        <x:is>
          <x:t xml:space="preserve">Census 2025 Gazetteer — PA county subdivisions</x:t>
        </x:is>
      </x:c>
      <x:c r="B138" t="inlineStr">
        <x:is>
          <x:t xml:space="preserve">https://www2.census.gov/geo/docs/maps-data/data/gazetteer/2025_Gazetteer/2025_gaz_cousubs_42.txt</x:t>
        </x:is>
      </x:c>
      <x:c r="C138" t="inlineStr">
        <x:is>
          <x:t xml:space="preserve">Municipal land area</x:t>
        </x:is>
      </x:c>
      <x:c r="D138" t="inlineStr">
        <x:is>
          <x:t xml:space="preserve">ALAND_SQMI for new PA municipalities.</x:t>
        </x:is>
      </x:c>
    </x:row>
    <x:row r="139">
      <x:c r="A139" t="inlineStr">
        <x:is>
          <x:t xml:space="preserve">Census 2025 Gazetteer — NJ counties</x:t>
        </x:is>
      </x:c>
      <x:c r="B139" t="inlineStr">
        <x:is>
          <x:t xml:space="preserve">https://www2.census.gov/geo/docs/maps-data/data/gazetteer/2025_Gazetteer/2025_gaz_counties_34.txt</x:t>
        </x:is>
      </x:c>
      <x:c r="C139" t="inlineStr">
        <x:is>
          <x:t xml:space="preserve">County land area / FIPS</x:t>
        </x:is>
      </x:c>
      <x:c r="D139" t="inlineStr">
        <x:is>
          <x:t xml:space="preserve">Bergen, Monmouth, Morris.</x:t>
        </x:is>
      </x:c>
    </x:row>
    <x:row r="140">
      <x:c r="A140" t="inlineStr">
        <x:is>
          <x:t xml:space="preserve">Census 2025 Gazetteer — PA counties</x:t>
        </x:is>
      </x:c>
      <x:c r="B140" t="inlineStr">
        <x:is>
          <x:t xml:space="preserve">https://www2.census.gov/geo/docs/maps-data/data/gazetteer/2025_Gazetteer/2025_gaz_counties_42.txt</x:t>
        </x:is>
      </x:c>
      <x:c r="C140" t="inlineStr">
        <x:is>
          <x:t xml:space="preserve">County land area / FIPS</x:t>
        </x:is>
      </x:c>
      <x:c r="D140" t="inlineStr">
        <x:is>
          <x:t xml:space="preserve">Bucks, Montgomery.</x:t>
        </x:is>
      </x:c>
    </x:row>
    <x:row r="141">
      <x:c r="A141" t="inlineStr">
        <x:is>
          <x:t xml:space="preserve">Whole Foods — Ridgewood</x:t>
        </x:is>
      </x:c>
      <x:c r="B141" t="inlineStr">
        <x:is>
          <x:t xml:space="preserve">https://www.wholefoodsmarket.com/stores/ridgewood</x:t>
        </x:is>
      </x:c>
      <x:c r="C141" t="inlineStr">
        <x:is>
          <x:t xml:space="preserve">Verified municipal lower bound</x:t>
        </x:is>
      </x:c>
      <x:c r="D141" t="inlineStr">
        <x:is>
          <x:t xml:space="preserve">Ridgewood Village, NJ — Whole Foods = 1.</x:t>
        </x:is>
      </x:c>
    </x:row>
    <x:row r="142">
      <x:c r="A142" t="inlineStr">
        <x:is>
          <x:t xml:space="preserve">Whole Foods — Edgewater</x:t>
        </x:is>
      </x:c>
      <x:c r="B142" t="inlineStr">
        <x:is>
          <x:t xml:space="preserve">https://www.wholefoodsmarket.com/stores/edgewater</x:t>
        </x:is>
      </x:c>
      <x:c r="C142" t="inlineStr">
        <x:is>
          <x:t xml:space="preserve">Verified municipal lower bound</x:t>
        </x:is>
      </x:c>
      <x:c r="D142" t="inlineStr">
        <x:is>
          <x:t xml:space="preserve">Edgewater Borough, NJ — Whole Foods = 1.</x:t>
        </x:is>
      </x:c>
    </x:row>
    <x:row r="143">
      <x:c r="A143" t="inlineStr">
        <x:is>
          <x:t xml:space="preserve">Whole Foods — Paramus</x:t>
        </x:is>
      </x:c>
      <x:c r="B143" t="inlineStr">
        <x:is>
          <x:t xml:space="preserve">https://www.wholefoodsmarket.com/stores/paramus</x:t>
        </x:is>
      </x:c>
      <x:c r="C143" t="inlineStr">
        <x:is>
          <x:t xml:space="preserve">Verified municipal lower bound</x:t>
        </x:is>
      </x:c>
      <x:c r="D143" t="inlineStr">
        <x:is>
          <x:t xml:space="preserve">Paramus Borough, NJ — Whole Foods = 1.</x:t>
        </x:is>
      </x:c>
    </x:row>
    <x:row r="144">
      <x:c r="A144" t="inlineStr">
        <x:is>
          <x:t xml:space="preserve">Whole Foods — Morristown</x:t>
        </x:is>
      </x:c>
      <x:c r="B144" t="inlineStr">
        <x:is>
          <x:t xml:space="preserve">https://www.wholefoodsmarket.com/stores/morristown</x:t>
        </x:is>
      </x:c>
      <x:c r="C144" t="inlineStr">
        <x:is>
          <x:t xml:space="preserve">Verified municipal lower bound</x:t>
        </x:is>
      </x:c>
      <x:c r="D144" t="inlineStr">
        <x:is>
          <x:t xml:space="preserve">Morristown Town, NJ — Whole Foods = 1.</x:t>
        </x:is>
      </x:c>
    </x:row>
    <x:row r="145">
      <x:c r="A145" t="inlineStr">
        <x:is>
          <x:t xml:space="preserve">Whole Foods — Marlboro</x:t>
        </x:is>
      </x:c>
      <x:c r="B145" t="inlineStr">
        <x:is>
          <x:t xml:space="preserve">https://www.wholefoodsmarket.com/stores/marlboro</x:t>
        </x:is>
      </x:c>
      <x:c r="C145" t="inlineStr">
        <x:is>
          <x:t xml:space="preserve">Verified municipal lower bound</x:t>
        </x:is>
      </x:c>
      <x:c r="D145" t="inlineStr">
        <x:is>
          <x:t xml:space="preserve">Marlboro Township, NJ — Whole Foods = 1.</x:t>
        </x:is>
      </x:c>
    </x:row>
    <x:row r="146">
      <x:c r="A146" t="inlineStr">
        <x:is>
          <x:t xml:space="preserve">Wegmans — Manalapan</x:t>
        </x:is>
      </x:c>
      <x:c r="B146" t="inlineStr">
        <x:is>
          <x:t xml:space="preserve">https://www.wegmans.com/stores/manalapan-nj</x:t>
        </x:is>
      </x:c>
      <x:c r="C146" t="inlineStr">
        <x:is>
          <x:t xml:space="preserve">Verified municipal lower bound</x:t>
        </x:is>
      </x:c>
      <x:c r="D146" t="inlineStr">
        <x:is>
          <x:t xml:space="preserve">Manalapan Township, NJ — Wegmans = 1.</x:t>
        </x:is>
      </x:c>
    </x:row>
    <x:row r="147">
      <x:c r="A147" t="inlineStr">
        <x:is>
          <x:t xml:space="preserve">Wegmans — Ocean</x:t>
        </x:is>
      </x:c>
      <x:c r="B147" t="inlineStr">
        <x:is>
          <x:t xml:space="preserve">https://www.wegmans.com/stores/ocean-nj</x:t>
        </x:is>
      </x:c>
      <x:c r="C147" t="inlineStr">
        <x:is>
          <x:t xml:space="preserve">Verified municipal lower bound</x:t>
        </x:is>
      </x:c>
      <x:c r="D147" t="inlineStr">
        <x:is>
          <x:t xml:space="preserve">Ocean Township, NJ — Wegmans = 1.</x:t>
        </x:is>
      </x:c>
    </x:row>
    <x:row r="148">
      <x:c r="A148" t="inlineStr">
        <x:is>
          <x:t xml:space="preserve">Wegmans — Warrington</x:t>
        </x:is>
      </x:c>
      <x:c r="B148" t="inlineStr">
        <x:is>
          <x:t xml:space="preserve">https://www.wegmans.com/stores/warrington-pa</x:t>
        </x:is>
      </x:c>
      <x:c r="C148" t="inlineStr">
        <x:is>
          <x:t xml:space="preserve">Verified municipal lower bound</x:t>
        </x:is>
      </x:c>
      <x:c r="D148" t="inlineStr">
        <x:is>
          <x:t xml:space="preserve">Warrington Township, PA — Wegmans = 1.</x:t>
        </x:is>
      </x:c>
    </x:row>
    <x:row r="149">
      <x:c r="A149" t="inlineStr">
        <x:is>
          <x:t xml:space="preserve">Wegmans — Hanover</x:t>
        </x:is>
      </x:c>
      <x:c r="B149" t="inlineStr">
        <x:is>
          <x:t xml:space="preserve">https://www.wegmans.com/stores/hanover-nj</x:t>
        </x:is>
      </x:c>
      <x:c r="C149" t="inlineStr">
        <x:is>
          <x:t xml:space="preserve">County-level / boundary exception</x:t>
        </x:is>
      </x:c>
      <x:c r="D149" t="inlineStr">
        <x:is>
          <x:t xml:space="preserve">Morris County evidence only; postal/address ambiguity prevents city-row attribution.</x:t>
        </x:is>
      </x:c>
    </x:row>
    <x:row r="150">
      <x:c r="A150" t="inlineStr">
        <x:is>
          <x:t xml:space="preserve">Wegmans — King of Prussia</x:t>
        </x:is>
      </x:c>
      <x:c r="B150" t="inlineStr">
        <x:is>
          <x:t xml:space="preserve">https://www.wegmans.com/stores/king-of-prussia-pa</x:t>
        </x:is>
      </x:c>
      <x:c r="C150" t="inlineStr">
        <x:is>
          <x:t xml:space="preserve">County-level / boundary exception</x:t>
        </x:is>
      </x:c>
      <x:c r="D150" t="inlineStr">
        <x:is>
          <x:t xml:space="preserve">Montgomery County evidence only; municipal attribution kept conservative.</x:t>
        </x:is>
      </x:c>
    </x:row>
    <x:row r="151"/>
    <x:row r="152">
      <x:c r="A152" t="inlineStr">
        <x:is>
          <x:t xml:space="preserve">Census 2025 County Adjacency File</x:t>
        </x:is>
      </x:c>
      <x:c r="B152" t="inlineStr">
        <x:is>
          <x:t xml:space="preserve">https://www2.census.gov/geo/docs/reference/county_adjacency/county_adjacency2025.txt</x:t>
        </x:is>
      </x:c>
      <x:c r="C152" t="inlineStr">
        <x:is>
          <x:t xml:space="preserve">Authoritative adjacency</x:t>
        </x:is>
      </x:c>
      <x:c r="D152" t="inlineStr">
        <x:is>
          <x:t xml:space="preserve">Direct adjacency for Nassau, Delaware PA, Chester PA, Anne Arundel; Suffolk one-ring via Nassau.</x:t>
        </x:is>
      </x:c>
    </x:row>
    <x:row r="153">
      <x:c r="A153" t="inlineStr">
        <x:is>
          <x:t xml:space="preserve">Census QuickFacts — Nassau County NY</x:t>
        </x:is>
      </x:c>
      <x:c r="B153" t="inlineStr">
        <x:is>
          <x:t xml:space="preserve">https://www.census.gov/quickfacts/nassaucountynewyork</x:t>
        </x:is>
      </x:c>
      <x:c r="C153" t="inlineStr">
        <x:is>
          <x:t xml:space="preserve">County population</x:t>
        </x:is>
      </x:c>
      <x:c r="D153" t="inlineStr">
        <x:is>
          <x:t xml:space="preserve">V2025 = 1,398,939.</x:t>
        </x:is>
      </x:c>
    </x:row>
    <x:row r="154">
      <x:c r="A154" t="inlineStr">
        <x:is>
          <x:t xml:space="preserve">Census QuickFacts — Suffolk County NY</x:t>
        </x:is>
      </x:c>
      <x:c r="B154" t="inlineStr">
        <x:is>
          <x:t xml:space="preserve">https://www.census.gov/quickfacts/suffolkcountynewyork</x:t>
        </x:is>
      </x:c>
      <x:c r="C154" t="inlineStr">
        <x:is>
          <x:t xml:space="preserve">County population</x:t>
        </x:is>
      </x:c>
      <x:c r="D154" t="inlineStr">
        <x:is>
          <x:t xml:space="preserve">V2025 = 1,546,090.</x:t>
        </x:is>
      </x:c>
    </x:row>
    <x:row r="155">
      <x:c r="A155" t="inlineStr">
        <x:is>
          <x:t xml:space="preserve">Census QuickFacts — Delaware County PA</x:t>
        </x:is>
      </x:c>
      <x:c r="B155" t="inlineStr">
        <x:is>
          <x:t xml:space="preserve">https://www.census.gov/quickfacts/delawarecountypennsylvania</x:t>
        </x:is>
      </x:c>
      <x:c r="C155" t="inlineStr">
        <x:is>
          <x:t xml:space="preserve">County population</x:t>
        </x:is>
      </x:c>
      <x:c r="D155" t="inlineStr">
        <x:is>
          <x:t xml:space="preserve">V2025 = 580,937.</x:t>
        </x:is>
      </x:c>
    </x:row>
    <x:row r="156">
      <x:c r="A156" t="inlineStr">
        <x:is>
          <x:t xml:space="preserve">Census QuickFacts — Chester County PA</x:t>
        </x:is>
      </x:c>
      <x:c r="B156" t="inlineStr">
        <x:is>
          <x:t xml:space="preserve">https://www.census.gov/quickfacts/chestercountypennsylvania</x:t>
        </x:is>
      </x:c>
      <x:c r="C156" t="inlineStr">
        <x:is>
          <x:t xml:space="preserve">County population</x:t>
        </x:is>
      </x:c>
      <x:c r="D156" t="inlineStr">
        <x:is>
          <x:t xml:space="preserve">V2025 = 557,116.</x:t>
        </x:is>
      </x:c>
    </x:row>
    <x:row r="157">
      <x:c r="A157" t="inlineStr">
        <x:is>
          <x:t xml:space="preserve">Maryland Census municipality estimates — Table 4</x:t>
        </x:is>
      </x:c>
      <x:c r="B157" t="inlineStr">
        <x:is>
          <x:t xml:space="preserve">https://planning.maryland.gov/MSDC/SiteAssets/Census_Estimates/Municipal/Table4.aspx</x:t>
        </x:is>
      </x:c>
      <x:c r="C157" t="inlineStr">
        <x:is>
          <x:t xml:space="preserve">County / municipality eligibility</x:t>
        </x:is>
      </x:c>
      <x:c r="D157" t="inlineStr">
        <x:is>
          <x:t xml:space="preserve">Anne Arundel V2025 = 603,380; Annapolis = 40,634; Highland Beach = 104; Baltimore County has no municipal population.</x:t>
        </x:is>
      </x:c>
    </x:row>
    <x:row r="158">
      <x:c r="A158" t="inlineStr">
        <x:is>
          <x:t xml:space="preserve">Census Vintage 2025 NY city/town estimates</x:t>
        </x:is>
      </x:c>
      <x:c r="B158" t="inlineStr">
        <x:is>
          <x:t xml:space="preserve">https://www2.census.gov/programs-surveys/popest/datasets/2020-2025/cities/totals/sub-est2025_36.csv</x:t>
        </x:is>
      </x:c>
      <x:c r="C158" t="inlineStr">
        <x:is>
          <x:t xml:space="preserve">Municipality population eligibility</x:t>
        </x:is>
      </x:c>
      <x:c r="D158" t="inlineStr">
        <x:is>
          <x:t xml:space="preserve">Nassau/Suffolk &gt;=10,000 screen; NY overlap rule uses cities + towns.</x:t>
        </x:is>
      </x:c>
    </x:row>
    <x:row r="159">
      <x:c r="A159" t="inlineStr">
        <x:is>
          <x:t xml:space="preserve">Census Vintage 2025 PA city/town estimates</x:t>
        </x:is>
      </x:c>
      <x:c r="B159" t="inlineStr">
        <x:is>
          <x:t xml:space="preserve">https://www2.census.gov/programs-surveys/popest/datasets/2020-2025/cities/totals/sub-est2025_42.csv</x:t>
        </x:is>
      </x:c>
      <x:c r="C159" t="inlineStr">
        <x:is>
          <x:t xml:space="preserve">Municipality population eligibility</x:t>
        </x:is>
      </x:c>
      <x:c r="D159" t="inlineStr">
        <x:is>
          <x:t xml:space="preserve">Delaware/Chester &gt;=10,000 screen.</x:t>
        </x:is>
      </x:c>
    </x:row>
    <x:row r="160">
      <x:c r="A160" t="inlineStr">
        <x:is>
          <x:t xml:space="preserve">Census 2025 Gazetteer — NY county subdivisions</x:t>
        </x:is>
      </x:c>
      <x:c r="B160" t="inlineStr">
        <x:is>
          <x:t xml:space="preserve">https://www2.census.gov/geo/docs/maps-data/data/gazetteer/2025_Gazetteer/2025_gaz_cousubs_36.txt</x:t>
        </x:is>
      </x:c>
      <x:c r="C160" t="inlineStr">
        <x:is>
          <x:t xml:space="preserve">Municipal land area</x:t>
        </x:is>
      </x:c>
      <x:c r="D160" t="inlineStr">
        <x:is>
          <x:t xml:space="preserve">Nassau and Suffolk towns/cities.</x:t>
        </x:is>
      </x:c>
    </x:row>
    <x:row r="161">
      <x:c r="A161" t="inlineStr">
        <x:is>
          <x:t xml:space="preserve">Census 2025 Gazetteer — PA county subdivisions</x:t>
        </x:is>
      </x:c>
      <x:c r="B161" t="inlineStr">
        <x:is>
          <x:t xml:space="preserve">https://www2.census.gov/geo/docs/maps-data/data/gazetteer/2025_Gazetteer/2025_gaz_cousubs_42.txt</x:t>
        </x:is>
      </x:c>
      <x:c r="C161" t="inlineStr">
        <x:is>
          <x:t xml:space="preserve">Municipal land area</x:t>
        </x:is>
      </x:c>
      <x:c r="D161" t="inlineStr">
        <x:is>
          <x:t xml:space="preserve">Delaware and Chester municipalities.</x:t>
        </x:is>
      </x:c>
    </x:row>
    <x:row r="162">
      <x:c r="A162" t="inlineStr">
        <x:is>
          <x:t xml:space="preserve">Census 2025 Gazetteer — counties</x:t>
        </x:is>
      </x:c>
      <x:c r="B162" t="inlineStr">
        <x:is>
          <x:t xml:space="preserve">https://www2.census.gov/geo/docs/maps-data/data/gazetteer/2025_Gazetteer/</x:t>
        </x:is>
      </x:c>
      <x:c r="C162" t="inlineStr">
        <x:is>
          <x:t xml:space="preserve">County land area / FIPS</x:t>
        </x:is>
      </x:c>
      <x:c r="D162" t="inlineStr">
        <x:is>
          <x:t xml:space="preserve">Five new county denominators from 2025 ALAND_SQMI.</x:t>
        </x:is>
      </x:c>
    </x:row>
    <x:row r="163">
      <x:c r="A163" t="inlineStr">
        <x:is>
          <x:t xml:space="preserve">Whole Foods — Manhasset</x:t>
        </x:is>
      </x:c>
      <x:c r="B163" t="inlineStr">
        <x:is>
          <x:t xml:space="preserve">https://www.wholefoodsmarket.com/stores/manhasset</x:t>
        </x:is>
      </x:c>
      <x:c r="C163" t="inlineStr">
        <x:is>
          <x:t xml:space="preserve">County-level specialty-grocery evidence</x:t>
        </x:is>
      </x:c>
      <x:c r="D163" t="inlineStr">
        <x:is>
          <x:t xml:space="preserve">Nassau County; not attributed to a municipal chain count without boundary verification.</x:t>
        </x:is>
      </x:c>
    </x:row>
    <x:row r="164">
      <x:c r="A164" t="inlineStr">
        <x:is>
          <x:t xml:space="preserve">Wegmans — Lake Grove</x:t>
        </x:is>
      </x:c>
      <x:c r="B164" t="inlineStr">
        <x:is>
          <x:t xml:space="preserve">https://www.wegmans.com/stores/lake-grove-ny</x:t>
        </x:is>
      </x:c>
      <x:c r="C164" t="inlineStr">
        <x:is>
          <x:t xml:space="preserve">County-level specialty-grocery evidence</x:t>
        </x:is>
      </x:c>
      <x:c r="D164" t="inlineStr">
        <x:is>
          <x:t xml:space="preserve">Suffolk County; not attributed to a town chain count without boundary verification.</x:t>
        </x:is>
      </x:c>
    </x:row>
    <x:row r="165">
      <x:c r="A165" t="inlineStr">
        <x:is>
          <x:t xml:space="preserve">Whole Foods — Newtown</x:t>
        </x:is>
      </x:c>
      <x:c r="B165" t="inlineStr">
        <x:is>
          <x:t xml:space="preserve">https://www.wholefoodsmarket.com/stores/newtown</x:t>
        </x:is>
      </x:c>
      <x:c r="C165" t="inlineStr">
        <x:is>
          <x:t xml:space="preserve">County-level specialty-grocery evidence</x:t>
        </x:is>
      </x:c>
      <x:c r="D165" t="inlineStr">
        <x:is>
          <x:t xml:space="preserve">Delaware County PA; Newtown Square branding/postal geography not treated as municipal proof.</x:t>
        </x:is>
      </x:c>
    </x:row>
    <x:row r="166">
      <x:c r="A166" t="inlineStr">
        <x:is>
          <x:t xml:space="preserve">Whole Foods — Exton</x:t>
        </x:is>
      </x:c>
      <x:c r="B166" t="inlineStr">
        <x:is>
          <x:t xml:space="preserve">https://www.wholefoodsmarket.com/stores/exton</x:t>
        </x:is>
      </x:c>
      <x:c r="C166" t="inlineStr">
        <x:is>
          <x:t xml:space="preserve">County-level specialty-grocery evidence</x:t>
        </x:is>
      </x:c>
      <x:c r="D166" t="inlineStr">
        <x:is>
          <x:t xml:space="preserve">Chester County PA; not attributed to a township chain count without boundary verification.</x:t>
        </x:is>
      </x:c>
    </x:row>
    <x:row r="167" s="44" customFormat="1">
      <x:c r="A167" t="inlineStr">
        <x:is>
          <x:t xml:space="preserve">Whole Foods — Annapolis</x:t>
        </x:is>
      </x:c>
      <x:c r="B167" t="inlineStr">
        <x:is>
          <x:t xml:space="preserve">https://www.wholefoodsmarket.com/stores/annapolis</x:t>
        </x:is>
      </x:c>
      <x:c r="C167" t="inlineStr">
        <x:is>
          <x:t xml:space="preserve">County-level specialty-grocery evidence</x:t>
        </x:is>
      </x:c>
      <x:c r="D167" t="inlineStr">
        <x:is>
          <x:t xml:space="preserve">Anne Arundel County; Annapolis-branded postal address is not treated as incorporated-boundary proof.</x:t>
        </x:is>
      </x:c>
    </x:row>
    <x:row r="168"/>
    <x:row r="169" s="44" customFormat="1">
      <x:c r="A169" s="1" t="inlineStr">
        <x:is>
          <x:t xml:space="preserve">Census 2025 County Adjacency File</x:t>
        </x:is>
      </x:c>
      <x:c r="B169" s="1" t="inlineStr">
        <x:is>
          <x:t xml:space="preserve">https://www2.census.gov/geo/docs/reference/county_adjacency/county_adjacency2025.txt</x:t>
        </x:is>
      </x:c>
      <x:c r="C169" s="1" t="inlineStr">
        <x:is>
          <x:t xml:space="preserve">Authoritative adjacency</x:t>
        </x:is>
      </x:c>
      <x:c r="D169" s="1" t="inlineStr">
        <x:is>
          <x:t xml:space="preserve">All five selected counties are direct neighbors of the represented network.</x:t>
        </x:is>
      </x:c>
    </x:row>
    <x:row r="170" s="44" customFormat="1">
      <x:c r="A170" s="1" t="inlineStr">
        <x:is>
          <x:t xml:space="preserve">Census QuickFacts — Burlington County NJ</x:t>
        </x:is>
      </x:c>
      <x:c r="B170" s="1" t="inlineStr">
        <x:is>
          <x:t xml:space="preserve">https://www.census.gov/quickfacts/burlingtoncountynewjersey</x:t>
        </x:is>
      </x:c>
      <x:c r="C170" s="1" t="inlineStr">
        <x:is>
          <x:t xml:space="preserve">County population</x:t>
        </x:is>
      </x:c>
      <x:c r="D170" s="1" t="inlineStr">
        <x:is>
          <x:t xml:space="preserve">Census Vintage 2025 county-population filter.</x:t>
        </x:is>
      </x:c>
    </x:row>
    <x:row r="171" s="44" customFormat="1">
      <x:c r="A171" s="1" t="inlineStr">
        <x:is>
          <x:t xml:space="preserve">Census QuickFacts — Orange County NY</x:t>
        </x:is>
      </x:c>
      <x:c r="B171" s="1" t="inlineStr">
        <x:is>
          <x:t xml:space="preserve">https://www.census.gov/quickfacts/orangecountynewyork</x:t>
        </x:is>
      </x:c>
      <x:c r="C171" s="1" t="inlineStr">
        <x:is>
          <x:t xml:space="preserve">County population</x:t>
        </x:is>
      </x:c>
      <x:c r="D171" s="1" t="inlineStr">
        <x:is>
          <x:t xml:space="preserve">V2025 = 417,669.</x:t>
        </x:is>
      </x:c>
    </x:row>
    <x:row r="172" s="44" customFormat="1">
      <x:c r="A172" s="1" t="inlineStr">
        <x:is>
          <x:t xml:space="preserve">Census QuickFacts — York County PA</x:t>
        </x:is>
      </x:c>
      <x:c r="B172" s="1" t="inlineStr">
        <x:is>
          <x:t xml:space="preserve">https://www.census.gov/quickfacts/yorkcountypennsylvania</x:t>
        </x:is>
      </x:c>
      <x:c r="C172" s="1" t="inlineStr">
        <x:is>
          <x:t xml:space="preserve">County population</x:t>
        </x:is>
      </x:c>
      <x:c r="D172" s="1" t="inlineStr">
        <x:is>
          <x:t xml:space="preserve">Census Vintage 2025 county-population filter.</x:t>
        </x:is>
      </x:c>
    </x:row>
    <x:row r="173" s="44" customFormat="1">
      <x:c r="A173" s="1" t="inlineStr">
        <x:is>
          <x:t xml:space="preserve">Census QuickFacts — Somerset County NJ</x:t>
        </x:is>
      </x:c>
      <x:c r="B173" s="1" t="inlineStr">
        <x:is>
          <x:t xml:space="preserve">https://www.census.gov/quickfacts/somersetcountynewjersey</x:t>
        </x:is>
      </x:c>
      <x:c r="C173" s="1" t="inlineStr">
        <x:is>
          <x:t xml:space="preserve">County population</x:t>
        </x:is>
      </x:c>
      <x:c r="D173" s="1" t="inlineStr">
        <x:is>
          <x:t xml:space="preserve">Census Vintage 2025 county-population filter.</x:t>
        </x:is>
      </x:c>
    </x:row>
    <x:row r="174" s="44" customFormat="1">
      <x:c r="A174" s="1" t="inlineStr">
        <x:is>
          <x:t xml:space="preserve">Census QuickFacts — Gloucester County NJ</x:t>
        </x:is>
      </x:c>
      <x:c r="B174" s="1" t="inlineStr">
        <x:is>
          <x:t xml:space="preserve">https://www.census.gov/quickfacts/gloucestercountynewjersey</x:t>
        </x:is>
      </x:c>
      <x:c r="C174" s="1" t="inlineStr">
        <x:is>
          <x:t xml:space="preserve">County population</x:t>
        </x:is>
      </x:c>
      <x:c r="D174" s="1" t="inlineStr">
        <x:is>
          <x:t xml:space="preserve">Census Vintage 2025 county-population filter.</x:t>
        </x:is>
      </x:c>
    </x:row>
    <x:row r="175" s="44" customFormat="1">
      <x:c r="A175" s="1" t="inlineStr">
        <x:is>
          <x:t xml:space="preserve">Census Vintage 2025 NJ city/town estimates</x:t>
        </x:is>
      </x:c>
      <x:c r="B175" s="1" t="inlineStr">
        <x:is>
          <x:t xml:space="preserve">https://www2.census.gov/programs-surveys/popest/datasets/2020-2025/cities/totals/sub-est2025_34.csv</x:t>
        </x:is>
      </x:c>
      <x:c r="C175" s="1" t="inlineStr">
        <x:is>
          <x:t xml:space="preserve">Municipality eligibility</x:t>
        </x:is>
      </x:c>
      <x:c r="D175" s="1" t="inlineStr">
        <x:is>
          <x:t xml:space="preserve">Burlington, Somerset, Gloucester ≥10,000 screen.</x:t>
        </x:is>
      </x:c>
    </x:row>
    <x:row r="176" s="44" customFormat="1">
      <x:c r="A176" s="1" t="inlineStr">
        <x:is>
          <x:t xml:space="preserve">Census Vintage 2025 NY city/town estimates</x:t>
        </x:is>
      </x:c>
      <x:c r="B176" s="1" t="inlineStr">
        <x:is>
          <x:t xml:space="preserve">https://www2.census.gov/programs-surveys/popest/datasets/2020-2025/cities/totals/sub-est2025_36.csv</x:t>
        </x:is>
      </x:c>
      <x:c r="C176" s="1" t="inlineStr">
        <x:is>
          <x:t xml:space="preserve">Municipality eligibility</x:t>
        </x:is>
      </x:c>
      <x:c r="D176" s="1" t="inlineStr">
        <x:is>
          <x:t xml:space="preserve">Orange ≥10,000 cities + towns screen.</x:t>
        </x:is>
      </x:c>
    </x:row>
    <x:row r="177" s="44" customFormat="1">
      <x:c r="A177" s="1" t="inlineStr">
        <x:is>
          <x:t xml:space="preserve">Census Vintage 2025 PA city/town estimates</x:t>
        </x:is>
      </x:c>
      <x:c r="B177" s="1" t="inlineStr">
        <x:is>
          <x:t xml:space="preserve">https://www2.census.gov/programs-surveys/popest/datasets/2020-2025/cities/totals/sub-est2025_42.csv</x:t>
        </x:is>
      </x:c>
      <x:c r="C177" s="1" t="inlineStr">
        <x:is>
          <x:t xml:space="preserve">Municipality eligibility</x:t>
        </x:is>
      </x:c>
      <x:c r="D177" s="1" t="inlineStr">
        <x:is>
          <x:t xml:space="preserve">York ≥10,000 screen.</x:t>
        </x:is>
      </x:c>
    </x:row>
    <x:row r="178" s="44" customFormat="1">
      <x:c r="A178" s="1" t="inlineStr">
        <x:is>
          <x:t xml:space="preserve">Census QuickFacts — Crawford town NY</x:t>
        </x:is>
      </x:c>
      <x:c r="B178" s="1" t="inlineStr">
        <x:is>
          <x:t xml:space="preserve">https://www.census.gov/quickfacts/crawfordtownorangecountynewyork</x:t>
        </x:is>
      </x:c>
      <x:c r="C178" s="1" t="inlineStr">
        <x:is>
          <x:t xml:space="preserve">Threshold edge check</x:t>
        </x:is>
      </x:c>
      <x:c r="D178" s="1" t="inlineStr">
        <x:is>
          <x:t xml:space="preserve">V2025 = 9,041; excluded.</x:t>
        </x:is>
      </x:c>
    </x:row>
    <x:row r="179" s="44" customFormat="1">
      <x:c r="A179" s="1" t="inlineStr">
        <x:is>
          <x:t xml:space="preserve">Census QuickFacts — West Manheim township PA</x:t>
        </x:is>
      </x:c>
      <x:c r="B179" s="1" t="inlineStr">
        <x:is>
          <x:t xml:space="preserve">https://www.census.gov/quickfacts/westmanheimtownshipyorkcountypennsylvania</x:t>
        </x:is>
      </x:c>
      <x:c r="C179" s="1" t="inlineStr">
        <x:is>
          <x:t xml:space="preserve">Threshold edge check</x:t>
        </x:is>
      </x:c>
      <x:c r="D179" s="1" t="inlineStr">
        <x:is>
          <x:t xml:space="preserve">V2025 = 11,139; included.</x:t>
        </x:is>
      </x:c>
    </x:row>
    <x:row r="180" s="44" customFormat="1">
      <x:c r="A180" s="1" t="inlineStr">
        <x:is>
          <x:t xml:space="preserve">Census QuickFacts — North Codorus township PA</x:t>
        </x:is>
      </x:c>
      <x:c r="B180" s="1" t="inlineStr">
        <x:is>
          <x:t xml:space="preserve">https://www.census.gov/quickfacts/northcodorustownshipyorkcountypennsylvania</x:t>
        </x:is>
      </x:c>
      <x:c r="C180" s="1" t="inlineStr">
        <x:is>
          <x:t xml:space="preserve">Threshold edge check</x:t>
        </x:is>
      </x:c>
      <x:c r="D180" s="1" t="inlineStr">
        <x:is>
          <x:t xml:space="preserve">V2025 = 9,486; excluded.</x:t>
        </x:is>
      </x:c>
    </x:row>
    <x:row r="181" s="44" customFormat="1">
      <x:c r="A181" s="1" t="inlineStr">
        <x:is>
          <x:t xml:space="preserve">Census QuickFacts — East Manchester township PA</x:t>
        </x:is>
      </x:c>
      <x:c r="B181" s="1" t="inlineStr">
        <x:is>
          <x:t xml:space="preserve">https://www.census.gov/quickfacts/eastmanchestertownshipyorkcountypennsylvania</x:t>
        </x:is>
      </x:c>
      <x:c r="C181" s="1" t="inlineStr">
        <x:is>
          <x:t xml:space="preserve">Threshold edge check</x:t>
        </x:is>
      </x:c>
      <x:c r="D181" s="1" t="inlineStr">
        <x:is>
          <x:t xml:space="preserve">V2025 = 8,703; excluded.</x:t>
        </x:is>
      </x:c>
    </x:row>
    <x:row r="182" s="44" customFormat="1">
      <x:c r="A182" s="1" t="inlineStr">
        <x:is>
          <x:t xml:space="preserve">Census 2025 Gazetteer — NJ county subdivisions</x:t>
        </x:is>
      </x:c>
      <x:c r="B182" s="1" t="inlineStr">
        <x:is>
          <x:t xml:space="preserve">https://www2.census.gov/geo/docs/maps-data/data/gazetteer/2025_Gazetteer/2025_gaz_cousubs_34.txt</x:t>
        </x:is>
      </x:c>
      <x:c r="C182" s="1" t="inlineStr">
        <x:is>
          <x:t xml:space="preserve">Municipal land area</x:t>
        </x:is>
      </x:c>
      <x:c r="D182" s="1" t="inlineStr">
        <x:is>
          <x:t xml:space="preserve">Burlington, Somerset, Gloucester ALAND_SQMI.</x:t>
        </x:is>
      </x:c>
    </x:row>
    <x:row r="183" s="44" customFormat="1">
      <x:c r="A183" s="1" t="inlineStr">
        <x:is>
          <x:t xml:space="preserve">Census 2025 Gazetteer — NY county subdivisions</x:t>
        </x:is>
      </x:c>
      <x:c r="B183" s="1" t="inlineStr">
        <x:is>
          <x:t xml:space="preserve">https://www2.census.gov/geo/docs/maps-data/data/gazetteer/2025_Gazetteer/2025_gaz_cousubs_36.txt</x:t>
        </x:is>
      </x:c>
      <x:c r="C183" s="1" t="inlineStr">
        <x:is>
          <x:t xml:space="preserve">Municipal land area</x:t>
        </x:is>
      </x:c>
      <x:c r="D183" s="1" t="inlineStr">
        <x:is>
          <x:t xml:space="preserve">Orange ALAND_SQMI.</x:t>
        </x:is>
      </x:c>
    </x:row>
    <x:row r="184" s="44" customFormat="1">
      <x:c r="A184" s="1" t="inlineStr">
        <x:is>
          <x:t xml:space="preserve">Census 2025 Gazetteer — PA county subdivisions</x:t>
        </x:is>
      </x:c>
      <x:c r="B184" s="1" t="inlineStr">
        <x:is>
          <x:t xml:space="preserve">https://www2.census.gov/geo/docs/maps-data/data/gazetteer/2025_Gazetteer/2025_gaz_cousubs_42.txt</x:t>
        </x:is>
      </x:c>
      <x:c r="C184" s="1" t="inlineStr">
        <x:is>
          <x:t xml:space="preserve">Municipal land area</x:t>
        </x:is>
      </x:c>
      <x:c r="D184" s="1" t="inlineStr">
        <x:is>
          <x:t xml:space="preserve">York ALAND_SQMI.</x:t>
        </x:is>
      </x:c>
    </x:row>
    <x:row r="185" s="44" customFormat="1">
      <x:c r="A185" s="1" t="inlineStr">
        <x:is>
          <x:t xml:space="preserve">Whole Foods — Marlton</x:t>
        </x:is>
      </x:c>
      <x:c r="B185" s="1" t="inlineStr">
        <x:is>
          <x:t xml:space="preserve">https://www.wholefoodsmarket.com/stores/marlton</x:t>
        </x:is>
      </x:c>
      <x:c r="C185" s="1" t="inlineStr">
        <x:is>
          <x:t xml:space="preserve">County-level specialty-grocery evidence</x:t>
        </x:is>
      </x:c>
      <x:c r="D185" s="1" t="inlineStr">
        <x:is>
          <x:t xml:space="preserve">Burlington County; no municipal chain attribution without boundary verification.</x:t>
        </x:is>
      </x:c>
    </x:row>
    <x:row r="186" s="44" customFormat="1">
      <x:c r="A186" s="1" t="inlineStr">
        <x:is>
          <x:t xml:space="preserve">Wegmans — Mt. Laurel</x:t>
        </x:is>
      </x:c>
      <x:c r="B186" s="1" t="inlineStr">
        <x:is>
          <x:t xml:space="preserve">https://www.wegmans.com/stores/mt-laurel-nj</x:t>
        </x:is>
      </x:c>
      <x:c r="C186" s="1" t="inlineStr">
        <x:is>
          <x:t xml:space="preserve">County-level specialty-grocery evidence</x:t>
        </x:is>
      </x:c>
      <x:c r="D186" s="1" t="inlineStr">
        <x:is>
          <x:t xml:space="preserve">Burlington County; no municipal chain attribution without boundary verification.</x:t>
        </x:is>
      </x:c>
    </x:row>
    <x:row r="187" s="44" customFormat="1">
      <x:c r="A187" s="1" t="inlineStr">
        <x:is>
          <x:t xml:space="preserve">Whole Foods — Bridgewater</x:t>
        </x:is>
      </x:c>
      <x:c r="B187" s="1" t="inlineStr">
        <x:is>
          <x:t xml:space="preserve">https://www.wholefoodsmarket.com/stores/bridgewater</x:t>
        </x:is>
      </x:c>
      <x:c r="C187" s="1" t="inlineStr">
        <x:is>
          <x:t xml:space="preserve">County-level specialty-grocery evidence</x:t>
        </x:is>
      </x:c>
      <x:c r="D187" s="1" t="inlineStr">
        <x:is>
          <x:t xml:space="preserve">Somerset County; store branding/postal location not treated as municipal proof.</x:t>
        </x:is>
      </x:c>
    </x:row>
    <x:row r="188" s="44" customFormat="1">
      <x:c r="A188" s="1" t="inlineStr">
        <x:is>
          <x:t xml:space="preserve">Wegmans — Bridgewater</x:t>
        </x:is>
      </x:c>
      <x:c r="B188" s="1" t="inlineStr">
        <x:is>
          <x:t xml:space="preserve">https://www.wegmans.com/stores/bridgewater-nj</x:t>
        </x:is>
      </x:c>
      <x:c r="C188" s="1" t="inlineStr">
        <x:is>
          <x:t xml:space="preserve">County-level specialty-grocery evidence</x:t>
        </x:is>
      </x:c>
      <x:c r="D188" s="1" t="inlineStr">
        <x:is>
          <x:t xml:space="preserve">Somerset County.</x:t>
        </x:is>
      </x:c>
    </x:row>
    <x:row r="189" s="44" customFormat="1">
      <x:c r="A189" s="1" t="inlineStr">
        <x:is>
          <x:t xml:space="preserve">Sprouts — York</x:t>
        </x:is>
      </x:c>
      <x:c r="B189" s="1" t="inlineStr">
        <x:is>
          <x:t xml:space="preserve">https://www.sprouts.com/store/pa/york/loucks-rd/</x:t>
        </x:is>
      </x:c>
      <x:c r="C189" s="1" t="inlineStr">
        <x:is>
          <x:t xml:space="preserve">County-level specialty-grocery evidence</x:t>
        </x:is>
      </x:c>
      <x:c r="D189" s="1" t="inlineStr">
        <x:is>
          <x:t xml:space="preserve">York County; postal York is not assumed to mean York City.</x:t>
        </x:is>
      </x:c>
    </x:row>
    <x:row r="190" s="44" customFormat="1">
      <x:c r="A190" s="1" t="inlineStr">
        <x:is>
          <x:t xml:space="preserve">Adams Fairacre Farms — Newburgh</x:t>
        </x:is>
      </x:c>
      <x:c r="B190" s="1" t="inlineStr">
        <x:is>
          <x:t xml:space="preserve">https://adamsfarms.com/adams-newburgh-store/</x:t>
        </x:is>
      </x:c>
      <x:c r="C190" s="1" t="inlineStr">
        <x:is>
          <x:t xml:space="preserve">County-level specialty-grocery evidence</x:t>
        </x:is>
      </x:c>
      <x:c r="D190" s="1" t="inlineStr">
        <x:is>
          <x:t xml:space="preserve">Orange County specialty grocery; not a tracked-chain city column.</x:t>
        </x:is>
      </x:c>
    </x:row>
    <x:row r="191" s="44" customFormat="1">
      <x:c r="A191" s="1" t="inlineStr">
        <x:is>
          <x:t xml:space="preserve">Rastelli Market Fresh — Deptford</x:t>
        </x:is>
      </x:c>
      <x:c r="B191" s="1" t="inlineStr">
        <x:is>
          <x:t xml:space="preserve">https://www.rastellimarket.com/locations/deptford/</x:t>
        </x:is>
      </x:c>
      <x:c r="C191" s="1" t="inlineStr">
        <x:is>
          <x:t xml:space="preserve">County-level specialty-grocery evidence</x:t>
        </x:is>
      </x:c>
      <x:c r="D191" s="1" t="inlineStr">
        <x:is>
          <x:t xml:space="preserve">Gloucester County specialty grocery; not a tracked-chain city column.</x:t>
        </x:is>
      </x:c>
    </x:row>
    <x:row r="193">
      <x:c r="A193" t="str">
        <x:v>Census 2025 County Adjacency File</x:v>
      </x:c>
      <x:c r="B193" t="str">
        <x:v>https://www2.census.gov/geo/docs/reference/county_adjacency/county_adjacency2025.txt</x:v>
      </x:c>
      <x:c r="C193" t="str">
        <x:v>Authoritative adjacency</x:v>
      </x:c>
      <x:c r="D193" t="str">
        <x:v>All five selected counties are direct neighbors of the represented county network.</x:v>
      </x:c>
    </x:row>
    <x:row r="194">
      <x:c r="A194" t="str">
        <x:v>Census QuickFacts — Westmoreland County PA</x:v>
      </x:c>
      <x:c r="B194" t="str">
        <x:v>https://www.census.gov/quickfacts/westmorelandcountypennsylvania</x:v>
      </x:c>
      <x:c r="C194" t="str">
        <x:v>County population / land area</x:v>
      </x:c>
      <x:c r="D194" t="str">
        <x:v>V2025 population 349,324; 2020 land area 1,027.71 sq mi.</x:v>
      </x:c>
    </x:row>
    <x:row r="195">
      <x:c r="A195" t="str">
        <x:v>Census QuickFacts — Dutchess County NY</x:v>
      </x:c>
      <x:c r="B195" t="str">
        <x:v>https://www.census.gov/quickfacts/dutchesscountynewyork</x:v>
      </x:c>
      <x:c r="C195" t="str">
        <x:v>County population / land area</x:v>
      </x:c>
      <x:c r="D195" t="str">
        <x:v>V2025 population 300,708; 2020 land area 795.65 sq mi.</x:v>
      </x:c>
    </x:row>
    <x:row r="196">
      <x:c r="A196" t="str">
        <x:v>Census QuickFacts — Ottawa County MI</x:v>
      </x:c>
      <x:c r="B196" t="str">
        <x:v>https://www.census.gov/quickfacts/ottawacountymichigan</x:v>
      </x:c>
      <x:c r="C196" t="str">
        <x:v>County population / land area</x:v>
      </x:c>
      <x:c r="D196" t="str">
        <x:v>V2025 population 308,459; 2020 land area 563.52 sq mi.</x:v>
      </x:c>
    </x:row>
    <x:row r="197">
      <x:c r="A197" t="str">
        <x:v>Census QuickFacts — Rockingham County NH</x:v>
      </x:c>
      <x:c r="B197" t="str">
        <x:v>https://www.census.gov/quickfacts/rockinghamcountynewhampshire</x:v>
      </x:c>
      <x:c r="C197" t="str">
        <x:v>County population / land area</x:v>
      </x:c>
      <x:c r="D197" t="str">
        <x:v>V2025 population 324,077; 2020 land area 695.39 sq mi.</x:v>
      </x:c>
    </x:row>
    <x:row r="198">
      <x:c r="A198" t="str">
        <x:v>Census QuickFacts — Luzerne County PA</x:v>
      </x:c>
      <x:c r="B198" t="str">
        <x:v>https://www.census.gov/quickfacts/luzernecountypennsylvania</x:v>
      </x:c>
      <x:c r="C198" t="str">
        <x:v>County population / land area</x:v>
      </x:c>
      <x:c r="D198" t="str">
        <x:v>V2025 population 332,126; 2020 land area 889.66 sq mi.</x:v>
      </x:c>
    </x:row>
    <x:row r="199">
      <x:c r="A199" t="str">
        <x:v>Census Vintage 2025 PA city/town estimates</x:v>
      </x:c>
      <x:c r="B199" t="str">
        <x:v>https://www2.census.gov/programs-surveys/popest/datasets/2020-2025/cities/totals/sub-est2025_42.csv</x:v>
      </x:c>
      <x:c r="C199" t="str">
        <x:v>Municipality population eligibility</x:v>
      </x:c>
      <x:c r="D199" t="str">
        <x:v>Westmoreland and Luzerne ≥10,000 screen.</x:v>
      </x:c>
    </x:row>
    <x:row r="200">
      <x:c r="A200" t="str">
        <x:v>Census Vintage 2025 NY city/town estimates</x:v>
      </x:c>
      <x:c r="B200" t="str">
        <x:v>https://www2.census.gov/programs-surveys/popest/datasets/2020-2025/cities/totals/sub-est2025_36.csv</x:v>
      </x:c>
      <x:c r="C200" t="str">
        <x:v>Municipality population eligibility</x:v>
      </x:c>
      <x:c r="D200" t="str">
        <x:v>Dutchess ≥10,000 cities + towns screen.</x:v>
      </x:c>
    </x:row>
    <x:row r="201">
      <x:c r="A201" t="str">
        <x:v>Census Vintage 2025 NH city/town estimates</x:v>
      </x:c>
      <x:c r="B201" t="str">
        <x:v>https://www2.census.gov/programs-surveys/popest/datasets/2020-2025/cities/totals/sub-est2025_33.csv</x:v>
      </x:c>
      <x:c r="C201" t="str">
        <x:v>Municipality population eligibility</x:v>
      </x:c>
      <x:c r="D201" t="str">
        <x:v>Rockingham ≥10,000 municipality screen.</x:v>
      </x:c>
    </x:row>
    <x:row r="202">
      <x:c r="A202" t="str">
        <x:v>Census Vintage 2025 MI city/town estimates</x:v>
      </x:c>
      <x:c r="B202" t="str">
        <x:v>https://www2.census.gov/programs-surveys/popest/datasets/2020-2025/cities/totals/sub-est2025_26.csv</x:v>
      </x:c>
      <x:c r="C202" t="str">
        <x:v>Municipality population eligibility</x:v>
      </x:c>
      <x:c r="D202" t="str">
        <x:v>Ottawa ≥10,000 municipality screen.</x:v>
      </x:c>
    </x:row>
    <x:row r="203">
      <x:c r="A203" t="str">
        <x:v>Census 2025 Gazetteer — PA county subdivisions</x:v>
      </x:c>
      <x:c r="B203" t="str">
        <x:v>https://www2.census.gov/geo/docs/maps-data/data/gazetteer/2025_Gazetteer/2025_gaz_cousubs_42.txt</x:v>
      </x:c>
      <x:c r="C203" t="str">
        <x:v>Municipal land area</x:v>
      </x:c>
      <x:c r="D203" t="str">
        <x:v>Westmoreland and Luzerne municipal ALAND_SQMI.</x:v>
      </x:c>
    </x:row>
    <x:row r="204">
      <x:c r="A204" t="str">
        <x:v>Census 2025 Gazetteer — NY county subdivisions</x:v>
      </x:c>
      <x:c r="B204" t="str">
        <x:v>https://www2.census.gov/geo/docs/maps-data/data/gazetteer/2025_Gazetteer/2025_gaz_cousubs_36.txt</x:v>
      </x:c>
      <x:c r="C204" t="str">
        <x:v>Municipal land area</x:v>
      </x:c>
      <x:c r="D204" t="str">
        <x:v>Dutchess municipal ALAND_SQMI.</x:v>
      </x:c>
    </x:row>
    <x:row r="205">
      <x:c r="A205" t="str">
        <x:v>Census 2025 Gazetteer — NH county subdivisions</x:v>
      </x:c>
      <x:c r="B205" t="str">
        <x:v>https://www2.census.gov/geo/docs/maps-data/data/gazetteer/2025_Gazetteer/2025_gaz_cousubs_33.txt</x:v>
      </x:c>
      <x:c r="C205" t="str">
        <x:v>Municipal land area</x:v>
      </x:c>
      <x:c r="D205" t="str">
        <x:v>Rockingham municipal ALAND_SQMI.</x:v>
      </x:c>
    </x:row>
    <x:row r="206">
      <x:c r="A206" t="str">
        <x:v>Census 2025 Gazetteer — MI county subdivisions</x:v>
      </x:c>
      <x:c r="B206" t="str">
        <x:v>https://www2.census.gov/geo/docs/maps-data/data/gazetteer/2025_Gazetteer/2025_gaz_cousubs_26.txt</x:v>
      </x:c>
      <x:c r="C206" t="str">
        <x:v>Municipal land area</x:v>
      </x:c>
      <x:c r="D206" t="str">
        <x:v>Ottawa township ALAND_SQMI; Holland uses full Census place land area.</x:v>
      </x:c>
    </x:row>
    <x:row r="207">
      <x:c r="A207" t="str">
        <x:v>Whole Foods — Portsmouth</x:v>
      </x:c>
      <x:c r="B207" t="str">
        <x:v>https://www.wholefoodsmarket.com/stores/portsmouth</x:v>
      </x:c>
      <x:c r="C207" t="str">
        <x:v>Verified municipal lower bound</x:v>
      </x:c>
      <x:c r="D207" t="str">
        <x:v>Portsmouth City NH — Whole Foods = 1; official address 1600 Woodbury Avenue, Portsmouth.</x:v>
      </x:c>
    </x:row>
    <x:row r="208">
      <x:c r="A208" t="str">
        <x:v>Wegmans — Wilkes-Barre</x:v>
      </x:c>
      <x:c r="B208" t="str">
        <x:v>https://www.wegmans.com/stores/wilkes-barre-pa</x:v>
      </x:c>
      <x:c r="C208" t="str">
        <x:v>County-level tracked-chain evidence</x:v>
      </x:c>
      <x:c r="D208" t="str">
        <x:v>Luzerne County; not attributed to Wilkes-Barre City without municipal-boundary verification.</x:v>
      </x:c>
    </x:row>
    <x:row r="209">
      <x:c r="A209" t="str">
        <x:v>Nature's Way Market — Greensburg</x:v>
      </x:c>
      <x:c r="B209" t="str">
        <x:v>https://healthylivingatnatureswaymarket.com/our-story/</x:v>
      </x:c>
      <x:c r="C209" t="str">
        <x:v>County specialty-grocery evidence</x:v>
      </x:c>
      <x:c r="D209" t="str">
        <x:v>Natural foods / organic grocery serving Greensburg and Westmoreland County; not one of five tracked chains.</x:v>
      </x:c>
    </x:row>
    <x:row r="210">
      <x:c r="A210" t="str">
        <x:v>Adams Fairacre Farms — Poughkeepsie</x:v>
      </x:c>
      <x:c r="B210" t="str">
        <x:v>https://adamsfarms.com/adams-poughkeepsie-store/</x:v>
      </x:c>
      <x:c r="C210" t="str">
        <x:v>County specialty-grocery evidence</x:v>
      </x:c>
      <x:c r="D210" t="str">
        <x:v>Dutchess County specialty grocery; not one of five tracked chains.</x:v>
      </x:c>
    </x:row>
    <x:row r="211">
      <x:c r="A211" t="str">
        <x:v>Crisp Country Acres — Holland</x:v>
      </x:c>
      <x:c r="B211" t="str">
        <x:v>https://crispcountryacres.com/farm-market/</x:v>
      </x:c>
      <x:c r="C211" t="str">
        <x:v>County specialty-grocery evidence</x:v>
      </x:c>
      <x:c r="D211" t="str">
        <x:v>Year-round Holland-area farm market supporting Ottawa County screening relevance; not one of five tracked chains.</x:v>
      </x:c>
    </x:row>
    <x:row r="212">
      <x:c r="A212" t="str">
        <x:v>Visser Farms Country Market</x:v>
      </x:c>
      <x:c r="B212" t="str">
        <x:v>https://www.visserfamilyfarms.com/</x:v>
      </x:c>
      <x:c r="C212" t="str">
        <x:v>County specialty-grocery evidence</x:v>
      </x:c>
      <x:c r="D212" t="str">
        <x:v>Year-round Ottawa County farm market; not one of five tracked chains.</x:v>
      </x:c>
    </x:row>
    <x:row r="214">
      <x:c r="A214" t="str">
        <x:v>Census 2025 County Adjacency File</x:v>
      </x:c>
      <x:c r="B214" t="str">
        <x:v>https://www2.census.gov/geo/docs/reference/county_adjacency/county_adjacency2025.txt</x:v>
      </x:c>
      <x:c r="C214" t="str">
        <x:v>Authoritative adjacency</x:v>
      </x:c>
      <x:c r="D214" t="str">
        <x:v>All five selected counties are direct neighbors of the represented network.</x:v>
      </x:c>
    </x:row>
    <x:row r="215">
      <x:c r="A215" t="str">
        <x:v>Census QuickFacts — Cumberland County PA</x:v>
      </x:c>
      <x:c r="B215" t="str">
        <x:v>https://www.census.gov/quickfacts/cumberlandcountypennsylvania</x:v>
      </x:c>
      <x:c r="C215" t="str">
        <x:v>County population / land area</x:v>
      </x:c>
      <x:c r="D215" t="str">
        <x:v>V2025 population 277,270; land area 545.48 sq mi; FIPS 42041.</x:v>
      </x:c>
    </x:row>
    <x:row r="216">
      <x:c r="A216" t="str">
        <x:v>Census QuickFacts — Atlantic County NJ</x:v>
      </x:c>
      <x:c r="B216" t="str">
        <x:v>https://www.census.gov/quickfacts/atlanticcountynewjersey</x:v>
      </x:c>
      <x:c r="C216" t="str">
        <x:v>County population / land area</x:v>
      </x:c>
      <x:c r="D216" t="str">
        <x:v>V2025 population 278,657; land area 555.51 sq mi; FIPS 34001.</x:v>
      </x:c>
    </x:row>
    <x:row r="217">
      <x:c r="A217" t="str">
        <x:v>Census QuickFacts — Rockland County NY</x:v>
      </x:c>
      <x:c r="B217" t="str">
        <x:v>https://www.census.gov/quickfacts/rocklandcountynewyork</x:v>
      </x:c>
      <x:c r="C217" t="str">
        <x:v>County population / land area</x:v>
      </x:c>
      <x:c r="D217" t="str">
        <x:v>V2025 population 357,397; land area 173.44 sq mi; FIPS 36087.</x:v>
      </x:c>
    </x:row>
    <x:row r="218">
      <x:c r="A218" t="str">
        <x:v>Census QuickFacts — Washington County PA</x:v>
      </x:c>
      <x:c r="B218" t="str">
        <x:v>https://www.census.gov/quickfacts/washingtoncountypennsylvania</x:v>
      </x:c>
      <x:c r="C218" t="str">
        <x:v>County population / land area</x:v>
      </x:c>
      <x:c r="D218" t="str">
        <x:v>V2025 population 210,802; land area 857.01 sq mi; FIPS 42125.</x:v>
      </x:c>
    </x:row>
    <x:row r="219">
      <x:c r="A219" t="str">
        <x:v>Census QuickFacts — Harford County MD</x:v>
      </x:c>
      <x:c r="B219" t="str">
        <x:v>https://www.census.gov/quickfacts/harfordcountymaryland</x:v>
      </x:c>
      <x:c r="C219" t="str">
        <x:v>County population / land area</x:v>
      </x:c>
      <x:c r="D219" t="str">
        <x:v>V2025 population 266,446; land area 437.13 sq mi; FIPS 24025.</x:v>
      </x:c>
    </x:row>
    <x:row r="220">
      <x:c r="A220" t="str">
        <x:v>Census Vintage 2025 PA estimates</x:v>
      </x:c>
      <x:c r="B220" t="str">
        <x:v>https://www2.census.gov/programs-surveys/popest/datasets/2020-2025/cities/totals/sub-est2025_42.csv</x:v>
      </x:c>
      <x:c r="C220" t="str">
        <x:v>Municipality eligibility</x:v>
      </x:c>
      <x:c r="D220" t="str">
        <x:v>Cumberland and Washington PA &gt;=10,000 screens.</x:v>
      </x:c>
    </x:row>
    <x:row r="221">
      <x:c r="A221" t="str">
        <x:v>Census Vintage 2025 NJ estimates</x:v>
      </x:c>
      <x:c r="B221" t="str">
        <x:v>https://www2.census.gov/programs-surveys/popest/datasets/2020-2025/cities/totals/sub-est2025_34.csv</x:v>
      </x:c>
      <x:c r="C221" t="str">
        <x:v>Municipality eligibility</x:v>
      </x:c>
      <x:c r="D221" t="str">
        <x:v>Atlantic County &gt;=10,000 screen.</x:v>
      </x:c>
    </x:row>
    <x:row r="222">
      <x:c r="A222" t="str">
        <x:v>Census Vintage 2025 NY estimates</x:v>
      </x:c>
      <x:c r="B222" t="str">
        <x:v>https://www2.census.gov/programs-surveys/popest/datasets/2020-2025/cities/totals/sub-est2025_36.csv</x:v>
      </x:c>
      <x:c r="C222" t="str">
        <x:v>Municipality eligibility</x:v>
      </x:c>
      <x:c r="D222" t="str">
        <x:v>Rockland towns &gt;=10,000 screen; nested villages excluded.</x:v>
      </x:c>
    </x:row>
    <x:row r="223">
      <x:c r="A223" t="str">
        <x:v>Maryland 2025 municipal estimates — Table 4</x:v>
      </x:c>
      <x:c r="B223" t="str">
        <x:v>https://planning.maryland.gov/MSDC/SiteAssets/Census_Estimates/Municipal/Table4.aspx</x:v>
      </x:c>
      <x:c r="C223" t="str">
        <x:v>Municipality eligibility</x:v>
      </x:c>
      <x:c r="D223" t="str">
        <x:v>Harford: Aberdeen 18,374; Bel Air 10,507; Havre de Grace 15,630.</x:v>
      </x:c>
    </x:row>
    <x:row r="224">
      <x:c r="A224" t="str">
        <x:v>Census TIGERweb — PA county subdivisions</x:v>
      </x:c>
      <x:c r="B224" t="str">
        <x:v>https://tigerweb.geo.census.gov/tigerwebmain/Files/bas26/tigerweb_bas26_cousub_pa.html</x:v>
      </x:c>
      <x:c r="C224" t="str">
        <x:v>Municipal land area</x:v>
      </x:c>
      <x:c r="D224" t="str">
        <x:v>Cumberland and Washington geography.</x:v>
      </x:c>
    </x:row>
    <x:row r="225">
      <x:c r="A225" t="str">
        <x:v>Census TIGERweb — NJ county subdivisions</x:v>
      </x:c>
      <x:c r="B225" t="str">
        <x:v>https://tigerweb.geo.census.gov/tigerwebmain/Files/acs26/tigerweb_acs26_cousub_2025_acs25_nj.html</x:v>
      </x:c>
      <x:c r="C225" t="str">
        <x:v>Municipal land area</x:v>
      </x:c>
      <x:c r="D225" t="str">
        <x:v>Atlantic County geography.</x:v>
      </x:c>
    </x:row>
    <x:row r="226">
      <x:c r="A226" t="str">
        <x:v>Census TIGERweb — NY county subdivisions</x:v>
      </x:c>
      <x:c r="B226" t="str">
        <x:v>https://tigerweb.geo.census.gov/tigerwebmain/Files/acs26/tigerweb_acs26_cousub_2025_acs25_ny.html</x:v>
      </x:c>
      <x:c r="C226" t="str">
        <x:v>Municipal land area</x:v>
      </x:c>
      <x:c r="D226" t="str">
        <x:v>Rockland County geography.</x:v>
      </x:c>
    </x:row>
    <x:row r="227">
      <x:c r="A227" t="str">
        <x:v>Wegmans — Harrisburg</x:v>
      </x:c>
      <x:c r="B227" t="str">
        <x:v>https://www.wegmans.com/stores/harrisburg-pa</x:v>
      </x:c>
      <x:c r="C227" t="str">
        <x:v>County-level chain evidence</x:v>
      </x:c>
      <x:c r="D227" t="str">
        <x:v>6416 Carlisle Pike, Mechanicsburg; not municipally attributed without boundary verification.</x:v>
      </x:c>
    </x:row>
    <x:row r="228">
      <x:c r="A228" t="str">
        <x:v>Wegmans — Bel Air</x:v>
      </x:c>
      <x:c r="B228" t="str">
        <x:v>https://www.wegmans.com/stores/bel-air-md/</x:v>
      </x:c>
      <x:c r="C228" t="str">
        <x:v>County-level chain evidence</x:v>
      </x:c>
      <x:c r="D228" t="str">
        <x:v>21 Wegmans Blvd, Abingdon; not attributed to Bel Air town.</x:v>
      </x:c>
    </x:row>
    <x:row r="229">
      <x:c r="A229" t="str">
        <x:v>Bagliani's Market — Hammonton</x:v>
      </x:c>
      <x:c r="B229" t="str">
        <x:v>https://baglianis.com/</x:v>
      </x:c>
      <x:c r="C229" t="str">
        <x:v>County specialty-grocery evidence</x:v>
      </x:c>
      <x:c r="D229" t="str">
        <x:v>Italian specialty grocery in Hammonton; not one of the five tracked chains.</x:v>
      </x:c>
    </x:row>
    <x:row r="230">
      <x:c r="A230" t="str">
        <x:v>Rockland County farmers' markets</x:v>
      </x:c>
      <x:c r="B230" t="str">
        <x:v>https://www.rocklandcountyny.gov/departments/health/programs-services/nutrition</x:v>
      </x:c>
      <x:c r="C230" t="str">
        <x:v>County specialty-grocery evidence</x:v>
      </x:c>
      <x:c r="D230" t="str">
        <x:v>County-documented farmers' markets/farm stands.</x:v>
      </x:c>
    </x:row>
    <x:row r="231">
      <x:c r="A231" t="str">
        <x:v>Washington County PA markets</x:v>
      </x:c>
      <x:c r="B231" t="str">
        <x:v>https://www.visitwashingtoncountypa.com/things-to-do/shopping/markets/</x:v>
      </x:c>
      <x:c r="C231" t="str">
        <x:v>County specialty-grocery evidence</x:v>
      </x:c>
      <x:c r="D231" t="str">
        <x:v>Local markets including Trax Farms and SpringHouse.</x:v>
      </x:c>
    </x:row>
    <x:row r="232">
      <x:c r="A232" t="str">
        <x:v>South Strabane Township QuickFacts</x:v>
      </x:c>
      <x:c r="B232" t="str">
        <x:v>https://www.census.gov/quickfacts/southstrabanetownshipwashingtoncountypennsylvania</x:v>
      </x:c>
      <x:c r="C232" t="str">
        <x:v>Threshold exclusion</x:v>
      </x:c>
      <x:c r="D232" t="str">
        <x:v>V2025 population 9,672; excluded.</x:v>
      </x:c>
    </x:row>
    <x:row r="233">
      <x:c r="A233" t="str">
        <x:v>Monroe Township Cumberland QuickFacts</x:v>
      </x:c>
      <x:c r="B233" t="str">
        <x:v>https://www.census.gov/quickfacts/monroetownshipcumberlandcountypennsylvania</x:v>
      </x:c>
      <x:c r="C233" t="str">
        <x:v>Threshold exclusion</x:v>
      </x:c>
      <x:c r="D233" t="str">
        <x:v>V2024 population 6,752; well below 10,000.</x:v>
      </x:c>
    </x:row>
    <x:row r="235">
      <x:c r="A235" t="str">
        <x:v>Census 2025 County Adjacency File</x:v>
      </x:c>
      <x:c r="B235" t="str">
        <x:v>https://www2.census.gov/geo/docs/reference/county_adjacency/county_adjacency2025.txt</x:v>
      </x:c>
      <x:c r="C235" t="str">
        <x:v>Authoritative adjacency</x:v>
      </x:c>
      <x:c r="D235" t="str">
        <x:v>All five selected counties are direct neighbors of represented counties.</x:v>
      </x:c>
    </x:row>
    <x:row r="236">
      <x:c r="A236" t="str">
        <x:v>Census QuickFacts — Saratoga County NY</x:v>
      </x:c>
      <x:c r="B236" t="str">
        <x:v>https://www.census.gov/quickfacts/fact/table/saratogacountynewyork/HSG445224</x:v>
      </x:c>
      <x:c r="C236" t="str">
        <x:v>County population / land area</x:v>
      </x:c>
      <x:c r="D236" t="str">
        <x:v>V2025 population 241,343; 2020 land area 810.00 sq mi; FIPS 36091.</x:v>
      </x:c>
    </x:row>
    <x:row r="237">
      <x:c r="A237" t="str">
        <x:v>Census QuickFacts — York County ME</x:v>
      </x:c>
      <x:c r="B237" t="str">
        <x:v>https://www.census.gov/quickfacts/geo/table/yorkcountymaine/RHI725224</x:v>
      </x:c>
      <x:c r="C237" t="str">
        <x:v>County population / land area</x:v>
      </x:c>
      <x:c r="D237" t="str">
        <x:v>V2025 population 222,434; 2020 land area 991.19 sq mi; FIPS 23031.</x:v>
      </x:c>
    </x:row>
    <x:row r="238">
      <x:c r="A238" t="str">
        <x:v>Census QuickFacts — Ontario County NY</x:v>
      </x:c>
      <x:c r="B238" t="str">
        <x:v>https://www.census.gov/quickfacts/fact/table/ontariocountynewyork/PST120225</x:v>
      </x:c>
      <x:c r="C238" t="str">
        <x:v>County population / land area</x:v>
      </x:c>
      <x:c r="D238" t="str">
        <x:v>V2025 population 113,130; 2020 land area 644.08 sq mi; FIPS 36069.</x:v>
      </x:c>
    </x:row>
    <x:row r="239">
      <x:c r="A239" t="str">
        <x:v>Census QuickFacts — Putnam County NY</x:v>
      </x:c>
      <x:c r="B239" t="str">
        <x:v>https://www.census.gov/quickfacts/fact/table/putnamcountynewyork/POP715223</x:v>
      </x:c>
      <x:c r="C239" t="str">
        <x:v>County population / land area</x:v>
      </x:c>
      <x:c r="D239" t="str">
        <x:v>V2025 population 99,028; 2020 land area 230.20 sq mi; FIPS 36079.</x:v>
      </x:c>
    </x:row>
    <x:row r="240">
      <x:c r="A240" t="str">
        <x:v>Census QuickFacts — Strafford County NH</x:v>
      </x:c>
      <x:c r="B240" t="str">
        <x:v>https://www.census.gov/quickfacts/fact/table/straffordcountynewhampshire/EDU685224</x:v>
      </x:c>
      <x:c r="C240" t="str">
        <x:v>County population / land area</x:v>
      </x:c>
      <x:c r="D240" t="str">
        <x:v>V2025 population 135,043; 2020 land area 367.47 sq mi; FIPS 33017.</x:v>
      </x:c>
    </x:row>
    <x:row r="241">
      <x:c r="A241" t="str">
        <x:v>Census Vintage 2025 NY city/town estimates</x:v>
      </x:c>
      <x:c r="B241" t="str">
        <x:v>https://www2.census.gov/programs-surveys/popest/datasets/2020-2025/cities/totals/sub-est2025_36.csv</x:v>
      </x:c>
      <x:c r="C241" t="str">
        <x:v>Municipality population eligibility</x:v>
      </x:c>
      <x:c r="D241" t="str">
        <x:v>Saratoga, Ontario, and Putnam &gt;=10,000 screens.</x:v>
      </x:c>
    </x:row>
    <x:row r="242">
      <x:c r="A242" t="str">
        <x:v>Census Vintage 2025 ME city/town estimates</x:v>
      </x:c>
      <x:c r="B242" t="str">
        <x:v>https://www2.census.gov/programs-surveys/popest/datasets/2020-2025/cities/totals/sub-est2025_23.csv</x:v>
      </x:c>
      <x:c r="C242" t="str">
        <x:v>Municipality population eligibility</x:v>
      </x:c>
      <x:c r="D242" t="str">
        <x:v>York County &gt;=10,000 screen.</x:v>
      </x:c>
    </x:row>
    <x:row r="243">
      <x:c r="A243" t="str">
        <x:v>Census Vintage 2025 NH city/town estimates</x:v>
      </x:c>
      <x:c r="B243" t="str">
        <x:v>https://www2.census.gov/programs-surveys/popest/datasets/2020-2025/cities/totals/sub-est2025_33.csv</x:v>
      </x:c>
      <x:c r="C243" t="str">
        <x:v>Municipality population eligibility</x:v>
      </x:c>
      <x:c r="D243" t="str">
        <x:v>Strafford County &gt;=10,000 screen.</x:v>
      </x:c>
    </x:row>
    <x:row r="244">
      <x:c r="A244" t="str">
        <x:v>Census 2025 Gazetteer — NY county subdivisions</x:v>
      </x:c>
      <x:c r="B244" t="str">
        <x:v>https://www2.census.gov/geo/docs/maps-data/data/gazetteer/2025_Gazetteer/2025_gaz_cousubs_36.txt</x:v>
      </x:c>
      <x:c r="C244" t="str">
        <x:v>Municipal land area</x:v>
      </x:c>
      <x:c r="D244" t="str">
        <x:v>Saratoga, Ontario, Putnam ALAND_SQMI.</x:v>
      </x:c>
    </x:row>
    <x:row r="245">
      <x:c r="A245" t="str">
        <x:v>Census 2025 Gazetteer — ME county subdivisions</x:v>
      </x:c>
      <x:c r="B245" t="str">
        <x:v>https://www2.census.gov/geo/docs/maps-data/data/gazetteer/2025_Gazetteer/2025_gaz_cousubs_23.txt</x:v>
      </x:c>
      <x:c r="C245" t="str">
        <x:v>Municipal land area</x:v>
      </x:c>
      <x:c r="D245" t="str">
        <x:v>York County ALAND_SQMI.</x:v>
      </x:c>
    </x:row>
    <x:row r="246">
      <x:c r="A246" t="str">
        <x:v>Census 2025 Gazetteer — NH county subdivisions</x:v>
      </x:c>
      <x:c r="B246" t="str">
        <x:v>https://www2.census.gov/geo/docs/maps-data/data/gazetteer/2025_Gazetteer/2025_gaz_cousubs_33.txt</x:v>
      </x:c>
      <x:c r="C246" t="str">
        <x:v>Municipal land area</x:v>
      </x:c>
      <x:c r="D246" t="str">
        <x:v>Strafford County ALAND_SQMI.</x:v>
      </x:c>
    </x:row>
    <x:row r="247">
      <x:c r="A247" t="str">
        <x:v>Wegmans — Canandaigua</x:v>
      </x:c>
      <x:c r="B247" t="str">
        <x:v>https://www.wegmans.com/stores/canandaigua-ny</x:v>
      </x:c>
      <x:c r="C247" t="str">
        <x:v>Verified municipal lower bound</x:v>
      </x:c>
      <x:c r="D247" t="str">
        <x:v>Canandaigua city NY — Wegmans = 1.</x:v>
      </x:c>
    </x:row>
    <x:row r="248">
      <x:c r="A248" t="str">
        <x:v>Wegmans — Geneva</x:v>
      </x:c>
      <x:c r="B248" t="str">
        <x:v>https://www.wegmans.com/stores/geneva-ny</x:v>
      </x:c>
      <x:c r="C248" t="str">
        <x:v>Verified municipal lower bound</x:v>
      </x:c>
      <x:c r="D248" t="str">
        <x:v>Geneva city NY — Wegmans = 1.</x:v>
      </x:c>
    </x:row>
    <x:row r="249">
      <x:c r="A249" t="str">
        <x:v>Healthy Living — Saratoga Springs</x:v>
      </x:c>
      <x:c r="B249" t="str">
        <x:v>https://healthylivingmarket.com/store_location/saratoga-springs/</x:v>
      </x:c>
      <x:c r="C249" t="str">
        <x:v>County specialty-grocery evidence</x:v>
      </x:c>
      <x:c r="D249" t="str">
        <x:v>Natural/organic grocery supporting Saratoga County selection; not one of five tracked chains.</x:v>
      </x:c>
    </x:row>
    <x:row r="250">
      <x:c r="A250" t="str">
        <x:v>Gateway York Farmers' Market</x:v>
      </x:c>
      <x:c r="B250" t="str">
        <x:v>https://www.gatewayfarmersmarket.com/</x:v>
      </x:c>
      <x:c r="C250" t="str">
        <x:v>County specialty-grocery evidence</x:v>
      </x:c>
      <x:c r="D250" t="str">
        <x:v>York County ME local specialty-food market evidence; not one of five tracked chains.</x:v>
      </x:c>
    </x:row>
    <x:row r="251">
      <x:c r="A251" t="str">
        <x:v>Putnam County local food guide</x:v>
      </x:c>
      <x:c r="B251" t="str">
        <x:v>https://www.putnamcountyny.gov/keepputnamfarming</x:v>
      </x:c>
      <x:c r="C251" t="str">
        <x:v>County specialty-grocery evidence</x:v>
      </x:c>
      <x:c r="D251" t="str">
        <x:v>County-supported local food / farm market resources; not tracked-chain counts.</x:v>
      </x:c>
    </x:row>
    <x:row r="252">
      <x:c r="A252" t="str">
        <x:v>Dover Natural Marketplace</x:v>
      </x:c>
      <x:c r="B252" t="str">
        <x:v>https://www.dovernaturalfood.com/</x:v>
      </x:c>
      <x:c r="C252" t="str">
        <x:v>County specialty-grocery evidence</x:v>
      </x:c>
      <x:c r="D252" t="str">
        <x:v>Natural/organic grocery in Dover supporting Strafford County selection; not one of five tracked chains.</x:v>
      </x:c>
    </x:row>
    <x:row r="254">
      <x:c r="A254" t="str">
        <x:v>Census 2025 County Adjacency File</x:v>
      </x:c>
      <x:c r="B254" t="str">
        <x:v>https://www2.census.gov/geo/docs/reference/county_adjacency/county_adjacency2025.txt</x:v>
      </x:c>
      <x:c r="C254" t="str">
        <x:v>Authoritative adjacency</x:v>
      </x:c>
      <x:c r="D254" t="str">
        <x:v>All five selected counties are direct neighbors of represented counties.</x:v>
      </x:c>
    </x:row>
    <x:row r="255">
      <x:c r="A255" t="str">
        <x:v>Census QuickFacts — Ulster County NY</x:v>
      </x:c>
      <x:c r="B255" t="str">
        <x:v>https://www.census.gov/quickfacts/fact/table/ulstercountynewyork/LND110210</x:v>
      </x:c>
      <x:c r="C255" t="str">
        <x:v>County population / land area</x:v>
      </x:c>
      <x:c r="D255" t="str">
        <x:v>V2025 population 183,330; 2020 land area 1,124.24 sq mi; FIPS 36111.</x:v>
      </x:c>
    </x:row>
    <x:row r="256">
      <x:c r="A256" t="str">
        <x:v>Census QuickFacts — Niagara County NY</x:v>
      </x:c>
      <x:c r="B256" t="str">
        <x:v>https://www.census.gov/quickfacts/fact/table/niagaracountynewyork/POP815222</x:v>
      </x:c>
      <x:c r="C256" t="str">
        <x:v>County population / land area</x:v>
      </x:c>
      <x:c r="D256" t="str">
        <x:v>V2025 population 208,912; 2020 land area 522.35 sq mi; FIPS 36063.</x:v>
      </x:c>
    </x:row>
    <x:row r="257">
      <x:c r="A257" t="str">
        <x:v>Census QuickFacts — Franklin County PA</x:v>
      </x:c>
      <x:c r="B257" t="str">
        <x:v>https://www.census.gov/quickfacts/fact/table/franklincountypennsylvania/PST045223</x:v>
      </x:c>
      <x:c r="C257" t="str">
        <x:v>County population / land area</x:v>
      </x:c>
      <x:c r="D257" t="str">
        <x:v>V2025 population 160,652; 2020 land area 772.30 sq mi; FIPS 42055.</x:v>
      </x:c>
    </x:row>
    <x:row r="258">
      <x:c r="A258" t="str">
        <x:v>Census QuickFacts — Butler County PA</x:v>
      </x:c>
      <x:c r="B258" t="str">
        <x:v>https://www.census.gov/quickfacts/fact/table/butlercountypennsylvania/HSG010224</x:v>
      </x:c>
      <x:c r="C258" t="str">
        <x:v>County population / land area</x:v>
      </x:c>
      <x:c r="D258" t="str">
        <x:v>V2025 population 200,169; 2020 land area 789.49 sq mi; FIPS 42019.</x:v>
      </x:c>
    </x:row>
    <x:row r="259">
      <x:c r="A259" t="str">
        <x:v>Census QuickFacts — Kent County DE</x:v>
      </x:c>
      <x:c r="B259" t="str">
        <x:v>https://www.census.gov/quickfacts/fact/table/kentcountydelaware/RHI825224</x:v>
      </x:c>
      <x:c r="C259" t="str">
        <x:v>County population / land area</x:v>
      </x:c>
      <x:c r="D259" t="str">
        <x:v>V2025 population 194,786; 2020 land area 586.06 sq mi; FIPS 10001.</x:v>
      </x:c>
    </x:row>
    <x:row r="260">
      <x:c r="A260" t="str">
        <x:v>Census Vintage 2025 NY city/town estimates</x:v>
      </x:c>
      <x:c r="B260" t="str">
        <x:v>https://www2.census.gov/programs-surveys/popest/datasets/2020-2025/cities/totals/sub-est2025_36.csv</x:v>
      </x:c>
      <x:c r="C260" t="str">
        <x:v>Municipality population eligibility</x:v>
      </x:c>
      <x:c r="D260" t="str">
        <x:v>Ulster and Niagara &gt;=10,000 cities + towns screen.</x:v>
      </x:c>
    </x:row>
    <x:row r="261">
      <x:c r="A261" t="str">
        <x:v>Census Vintage 2025 PA city/town estimates</x:v>
      </x:c>
      <x:c r="B261" t="str">
        <x:v>https://www2.census.gov/programs-surveys/popest/datasets/2020-2025/cities/totals/sub-est2025_42.csv</x:v>
      </x:c>
      <x:c r="C261" t="str">
        <x:v>Municipality population eligibility</x:v>
      </x:c>
      <x:c r="D261" t="str">
        <x:v>Franklin and Butler &gt;=10,000 municipality screen.</x:v>
      </x:c>
    </x:row>
    <x:row r="262">
      <x:c r="A262" t="str">
        <x:v>Census Vintage 2025 DE city/town estimates</x:v>
      </x:c>
      <x:c r="B262" t="str">
        <x:v>https://www2.census.gov/programs-surveys/popest/datasets/2020-2025/cities/totals/sub-est2025_10.csv</x:v>
      </x:c>
      <x:c r="C262" t="str">
        <x:v>Municipality population eligibility</x:v>
      </x:c>
      <x:c r="D262" t="str">
        <x:v>Kent County incorporated-place &gt;=10,000 screen.</x:v>
      </x:c>
    </x:row>
    <x:row r="263">
      <x:c r="A263" t="str">
        <x:v>Census TIGERweb — NY county subdivisions</x:v>
      </x:c>
      <x:c r="B263" t="str">
        <x:v>https://tigerweb.geo.census.gov/tigerwebmain/Files/acs26/tigerweb_acs26_cousub_ny.html</x:v>
      </x:c>
      <x:c r="C263" t="str">
        <x:v>Municipal land area</x:v>
      </x:c>
      <x:c r="D263" t="str">
        <x:v>Ulster / Niagara current ALAND geography.</x:v>
      </x:c>
    </x:row>
    <x:row r="264">
      <x:c r="A264" t="str">
        <x:v>Census QuickFacts — Wheatfield NY</x:v>
      </x:c>
      <x:c r="B264" t="str">
        <x:v>https://www.census.gov/quickfacts/fact/csv/wheatfieldtownniagaracountynewyork/PST045225</x:v>
      </x:c>
      <x:c r="C264" t="str">
        <x:v>Municipality threshold / land area</x:v>
      </x:c>
      <x:c r="D264" t="str">
        <x:v>V2025 population 18,555; 2020 land area 27.91 sq mi.</x:v>
      </x:c>
    </x:row>
    <x:row r="265">
      <x:c r="A265" t="str">
        <x:v>Census QuickFacts — Franklin municipalities</x:v>
      </x:c>
      <x:c r="B265" t="str">
        <x:v>https://www.census.gov/quickfacts/</x:v>
      </x:c>
      <x:c r="C265" t="str">
        <x:v>Municipal land area</x:v>
      </x:c>
      <x:c r="D265" t="str">
        <x:v>Antrim, Chambersburg, Greene, Guilford, Washington, and Waynesboro land-area denominators.</x:v>
      </x:c>
    </x:row>
    <x:row r="266">
      <x:c r="A266" t="str">
        <x:v>Census QuickFacts — Butler municipalities</x:v>
      </x:c>
      <x:c r="B266" t="str">
        <x:v>https://www.census.gov/quickfacts/</x:v>
      </x:c>
      <x:c r="C266" t="str">
        <x:v>Municipal land area</x:v>
      </x:c>
      <x:c r="D266" t="str">
        <x:v>Adams, Butler city, Butler township, and Cranberry land-area denominators.</x:v>
      </x:c>
    </x:row>
    <x:row r="267">
      <x:c r="A267" t="str">
        <x:v>Census TIGERweb — Delaware incorporated places</x:v>
      </x:c>
      <x:c r="B267" t="str">
        <x:v>https://tigerweb.geo.census.gov/tigerwebmain/Files/acs26/tigerweb_acs26_incplace_de.html</x:v>
      </x:c>
      <x:c r="C267" t="str">
        <x:v>Municipal land area</x:v>
      </x:c>
      <x:c r="D267" t="str">
        <x:v>Dover, Smyrna, and Milford ALAND geography.</x:v>
      </x:c>
    </x:row>
    <x:row r="268">
      <x:c r="A268" t="str">
        <x:v>Fresh Thyme — Cranberry Township</x:v>
      </x:c>
      <x:c r="B268" t="str">
        <x:v>https://ww2.freshthyme.com/store-location/cranberry-township-pennsylvania-16066</x:v>
      </x:c>
      <x:c r="C268" t="str">
        <x:v>Verified municipal lower bound</x:v>
      </x:c>
      <x:c r="D268" t="str">
        <x:v>Cranberry township PA — Fresh Thyme = 1.</x:v>
      </x:c>
    </x:row>
    <x:row r="269">
      <x:c r="A269" t="str">
        <x:v>Wegmans — Military Rd.</x:v>
      </x:c>
      <x:c r="B269" t="str">
        <x:v>https://www.wegmans.com/stores/military-rd-ny</x:v>
      </x:c>
      <x:c r="C269" t="str">
        <x:v>County-level tracked-chain evidence</x:v>
      </x:c>
      <x:c r="D269" t="str">
        <x:v>Niagara County evidence only; postal Niagara Falls is not treated as municipal-boundary proof.</x:v>
      </x:c>
    </x:row>
    <x:row r="270">
      <x:c r="A270" t="str">
        <x:v>Adams Fairacre Farms — Kingston</x:v>
      </x:c>
      <x:c r="B270" t="str">
        <x:v>https://adamsfarms.com/adams-kingston-store/</x:v>
      </x:c>
      <x:c r="C270" t="str">
        <x:v>County specialty-grocery evidence</x:v>
      </x:c>
      <x:c r="D270" t="str">
        <x:v>Ulster County specialty grocery; not one of five tracked chains.</x:v>
      </x:c>
    </x:row>
    <x:row r="271">
      <x:c r="A271" t="str">
        <x:v>Jim's Farmers Market — Chambersburg</x:v>
      </x:c>
      <x:c r="B271" t="str">
        <x:v>https://business.chambersburg.org/members/member/jim-s-farmers-market-1137</x:v>
      </x:c>
      <x:c r="C271" t="str">
        <x:v>County specialty-grocery evidence</x:v>
      </x:c>
      <x:c r="D271" t="str">
        <x:v>Franklin County grocer with specialty / health-food offerings; not one of five tracked chains.</x:v>
      </x:c>
    </x:row>
    <x:row r="272">
      <x:c r="A272" t="str">
        <x:v>Fifer's Farm Store</x:v>
      </x:c>
      <x:c r="B272" t="str">
        <x:v>https://www.fifers.com/shop</x:v>
      </x:c>
      <x:c r="C272" t="str">
        <x:v>County specialty-grocery evidence</x:v>
      </x:c>
      <x:c r="D272" t="str">
        <x:v>Kent County farm store with local and specialty foods; not one of five tracked chains.</x:v>
      </x:c>
    </x:row>
    <x:row r="274">
      <x:c r="A274" t="str">
        <x:v>Census 2025 County Adjacency File</x:v>
      </x:c>
      <x:c r="B274" t="str">
        <x:v>https://www2.census.gov/geo/docs/reference/county_adjacency/county_adjacency2025.txt</x:v>
      </x:c>
      <x:c r="C274" t="str">
        <x:v>Authoritative adjacency</x:v>
      </x:c>
      <x:c r="D274" t="str">
        <x:v>All five selected counties are direct neighbors of represented counties.</x:v>
      </x:c>
    </x:row>
    <x:row r="275">
      <x:c r="A275" t="str">
        <x:v>Census QuickFacts — Warren County OH</x:v>
      </x:c>
      <x:c r="B275" t="str">
        <x:v>https://www.census.gov/quickfacts/warrencountyohio</x:v>
      </x:c>
      <x:c r="C275" t="str">
        <x:v>County population / land area</x:v>
      </x:c>
      <x:c r="D275" t="str">
        <x:v>V2025 population 257,181; 2020 land area 401.43 sq mi; FIPS 39165.</x:v>
      </x:c>
    </x:row>
    <x:row r="276">
      <x:c r="A276" t="str">
        <x:v>Census QuickFacts — Barnstable County MA</x:v>
      </x:c>
      <x:c r="B276" t="str">
        <x:v>https://www.census.gov/quickfacts/barnstablecountymassachusetts</x:v>
      </x:c>
      <x:c r="C276" t="str">
        <x:v>County population / land area</x:v>
      </x:c>
      <x:c r="D276" t="str">
        <x:v>V2025 population 233,539; county land area basis retained at 394.18 sq mi; FIPS 25001.</x:v>
      </x:c>
    </x:row>
    <x:row r="277">
      <x:c r="A277" t="str">
        <x:v>Census QuickFacts — Lake County OH</x:v>
      </x:c>
      <x:c r="B277" t="str">
        <x:v>https://www.census.gov/quickfacts/lakecountyohio</x:v>
      </x:c>
      <x:c r="C277" t="str">
        <x:v>County population / land area</x:v>
      </x:c>
      <x:c r="D277" t="str">
        <x:v>V2025 population 232,217; 2020 land area 229.27 sq mi; FIPS 39085.</x:v>
      </x:c>
    </x:row>
    <x:row r="278">
      <x:c r="A278" t="str">
        <x:v>Census QuickFacts — Delaware County OH</x:v>
      </x:c>
      <x:c r="B278" t="str">
        <x:v>https://www.census.gov/quickfacts/delawarecountyohio</x:v>
      </x:c>
      <x:c r="C278" t="str">
        <x:v>County population / land area</x:v>
      </x:c>
      <x:c r="D278" t="str">
        <x:v>V2025 population 242,032; 2020 land area 443.15 sq mi; FIPS 39041.</x:v>
      </x:c>
    </x:row>
    <x:row r="279">
      <x:c r="A279" t="str">
        <x:v>Census QuickFacts — Clermont County OH</x:v>
      </x:c>
      <x:c r="B279" t="str">
        <x:v>https://www.census.gov/quickfacts/clermontcountyohio</x:v>
      </x:c>
      <x:c r="C279" t="str">
        <x:v>County population / land area</x:v>
      </x:c>
      <x:c r="D279" t="str">
        <x:v>V2025 population 216,977; 2020 land area 452.56 sq mi; FIPS 39025.</x:v>
      </x:c>
    </x:row>
    <x:row r="280">
      <x:c r="A280" t="str">
        <x:v>Census Vintage 2025 Ohio city/town estimates</x:v>
      </x:c>
      <x:c r="B280" t="str">
        <x:v>https://www2.census.gov/programs-surveys/popest/datasets/2020-2025/cities/totals/sub-est2025_39.csv</x:v>
      </x:c>
      <x:c r="C280" t="str">
        <x:v>Municipality population eligibility</x:v>
      </x:c>
      <x:c r="D280" t="str">
        <x:v>Lake, Warren, Delaware, and Clermont &gt;=10,000 screen.</x:v>
      </x:c>
    </x:row>
    <x:row r="281">
      <x:c r="A281" t="str">
        <x:v>Census Vintage 2025 Massachusetts city/town estimates</x:v>
      </x:c>
      <x:c r="B281" t="str">
        <x:v>https://www2.census.gov/programs-surveys/popest/datasets/2020-2025/cities/totals/sub-est2025_25.csv</x:v>
      </x:c>
      <x:c r="C281" t="str">
        <x:v>Municipality population eligibility</x:v>
      </x:c>
      <x:c r="D281" t="str">
        <x:v>Barnstable County &gt;=10,000 screen.</x:v>
      </x:c>
    </x:row>
    <x:row r="282">
      <x:c r="A282" t="str">
        <x:v>Census 2025 TIGERweb — Ohio county subdivisions</x:v>
      </x:c>
      <x:c r="B282" t="str">
        <x:v>https://tigerweb.geo.census.gov/tigerwebmain/Files/acs26/tigerweb_acs26_cousub_2025_acs25_oh.html</x:v>
      </x:c>
      <x:c r="C282" t="str">
        <x:v>Municipal land area</x:v>
      </x:c>
      <x:c r="D282" t="str">
        <x:v>Ohio township/city-equivalent ALAND values.</x:v>
      </x:c>
    </x:row>
    <x:row r="283">
      <x:c r="A283" t="str">
        <x:v>Census 2025 TIGERweb — Ohio incorporated places</x:v>
      </x:c>
      <x:c r="B283" t="str">
        <x:v>https://tigerweb.geo.census.gov/tigerwebmain/Files/acs26/tigerweb_acs26_incplace_2025_acs25_oh.html</x:v>
      </x:c>
      <x:c r="C283" t="str">
        <x:v>Municipal land area</x:v>
      </x:c>
      <x:c r="D283" t="str">
        <x:v>Ohio incorporated-place ALAND values, including multi-county places.</x:v>
      </x:c>
    </x:row>
    <x:row r="284">
      <x:c r="A284" t="str">
        <x:v>Census 2025 Gazetteer — Massachusetts county subdivisions</x:v>
      </x:c>
      <x:c r="B284" t="str">
        <x:v>https://www2.census.gov/geo/docs/maps-data/data/gazetteer/2025_Gazetteer/2025_gaz_cousubs_25.txt</x:v>
      </x:c>
      <x:c r="C284" t="str">
        <x:v>Municipal land area</x:v>
      </x:c>
      <x:c r="D284" t="str">
        <x:v>Barnstable County municipal ALAND_SQMI.</x:v>
      </x:c>
    </x:row>
    <x:row r="285">
      <x:c r="A285" t="str">
        <x:v>Whole Foods — Mason</x:v>
      </x:c>
      <x:c r="B285" t="str">
        <x:v>https://www.wholefoodsmarket.com/stores/mason</x:v>
      </x:c>
      <x:c r="C285" t="str">
        <x:v>Verified municipal lower bound</x:v>
      </x:c>
      <x:c r="D285" t="str">
        <x:v>Mason City OH — Whole Foods = 1; official address 5805 Deerfield Blvd, Mason.</x:v>
      </x:c>
    </x:row>
    <x:row r="286">
      <x:c r="A286" t="str">
        <x:v>Whole Foods — Hyannis</x:v>
      </x:c>
      <x:c r="B286" t="str">
        <x:v>https://www.wholefoodsmarket.com/stores/hyannis</x:v>
      </x:c>
      <x:c r="C286" t="str">
        <x:v>County-level tracked-chain evidence</x:v>
      </x:c>
      <x:c r="D286" t="str">
        <x:v>Barnstable County evidence only; Hyannis is a village/postal locality within Barnstable Town.</x:v>
      </x:c>
    </x:row>
    <x:row r="287">
      <x:c r="A287" t="str">
        <x:v>Heinen's — Mentor</x:v>
      </x:c>
      <x:c r="B287" t="str">
        <x:v>https://www.heinens.com/stores/mentor/</x:v>
      </x:c>
      <x:c r="C287" t="str">
        <x:v>County specialty-grocery evidence</x:v>
      </x:c>
      <x:c r="D287" t="str">
        <x:v>Lake County specialty-grocery evidence; Heinen's is not one of the five tracked city columns.</x:v>
      </x:c>
    </x:row>
    <x:row r="288">
      <x:c r="A288" t="str">
        <x:v>Heinen's — Willoughby</x:v>
      </x:c>
      <x:c r="B288" t="str">
        <x:v>https://www.heinens.com/stores/</x:v>
      </x:c>
      <x:c r="C288" t="str">
        <x:v>County specialty-grocery evidence</x:v>
      </x:c>
      <x:c r="D288" t="str">
        <x:v>Lake County has a second Heinen's in Willoughby; not one of the five tracked city columns.</x:v>
      </x:c>
    </x:row>
    <x:row r="289">
      <x:c r="A289" t="str">
        <x:v>Fresh Thyme — Westerville</x:v>
      </x:c>
      <x:c r="B289" t="str">
        <x:v>https://ww2.freshthyme.com/store-location/westerville-ohio-43082</x:v>
      </x:c>
      <x:c r="C289" t="str">
        <x:v>County-level tracked-chain evidence</x:v>
      </x:c>
      <x:c r="D289" t="str">
        <x:v>Delaware County selection evidence only; postal/store branding is not treated as sufficient county/municipal boundary proof.</x:v>
      </x:c>
    </x:row>
    <x:row r="290">
      <x:c r="A290" t="str">
        <x:v>Jungle Jim's International Market — Eastgate</x:v>
      </x:c>
      <x:c r="B290" t="str">
        <x:v>https://junglejims.com/wp-content/uploads/TenantMaps-1.pdf</x:v>
      </x:c>
      <x:c r="C290" t="str">
        <x:v>County specialty-grocery evidence</x:v>
      </x:c>
      <x:c r="D290" t="str">
        <x:v>Clermont County international/specialty market evidence; not one of the five tracked city columns.</x:v>
      </x:c>
    </x:row>
    <x:row r="291">
      <x:c r="A291" t="str">
        <x:v>Census QuickFacts — Brewster Town MA</x:v>
      </x:c>
      <x:c r="B291" t="str">
        <x:v>https://www.census.gov/quickfacts/brewstertownbarnstablecountymassachusetts</x:v>
      </x:c>
      <x:c r="C291" t="str">
        <x:v>Threshold edge confirmation</x:v>
      </x:c>
      <x:c r="D291" t="str">
        <x:v>V2025 population 10,457; included as Barnstable County's lowest qualifying municipality.</x:v>
      </x:c>
    </x:row>
    <x:row r="293">
      <x:c r="A293" t="str">
        <x:v>Census 2025 County Adjacency File</x:v>
      </x:c>
      <x:c r="B293" t="str">
        <x:v>https://www2.census.gov/geo/docs/reference/county_adjacency/county_adjacency2025.txt</x:v>
      </x:c>
      <x:c r="C293" t="str">
        <x:v>Authoritative adjacency</x:v>
      </x:c>
      <x:c r="D293" t="str">
        <x:v>All five selected counties are direct neighbors of represented counties.</x:v>
      </x:c>
    </x:row>
    <x:row r="294">
      <x:c r="A294" t="str">
        <x:v>Census QuickFacts — Livingston County MI</x:v>
      </x:c>
      <x:c r="B294" t="str">
        <x:v>https://www.census.gov/quickfacts/livingstoncountymichigan</x:v>
      </x:c>
      <x:c r="C294" t="str">
        <x:v>County population / land area</x:v>
      </x:c>
      <x:c r="D294" t="str">
        <x:v>V2025 population 197,315; 2020 land area 565.28 sq mi; FIPS 26093.</x:v>
      </x:c>
    </x:row>
    <x:row r="295">
      <x:c r="A295" t="str">
        <x:v>Census QuickFacts — Hampshire County MA</x:v>
      </x:c>
      <x:c r="B295" t="str">
        <x:v>https://www.census.gov/quickfacts/hampshirecountymassachusetts</x:v>
      </x:c>
      <x:c r="C295" t="str">
        <x:v>County population / land area</x:v>
      </x:c>
      <x:c r="D295" t="str">
        <x:v>V2025 population 164,065; 2020 land area 527.23 sq mi; FIPS 25015.</x:v>
      </x:c>
    </x:row>
    <x:row r="296">
      <x:c r="A296" t="str">
        <x:v>Census QuickFacts — Muskegon County MI</x:v>
      </x:c>
      <x:c r="B296" t="str">
        <x:v>https://www.census.gov/quickfacts/muskegoncountymichigan</x:v>
      </x:c>
      <x:c r="C296" t="str">
        <x:v>County population / land area</x:v>
      </x:c>
      <x:c r="D296" t="str">
        <x:v>V2025 population 177,901; 2020 land area 503.91 sq mi; FIPS 26121.</x:v>
      </x:c>
    </x:row>
    <x:row r="297">
      <x:c r="A297" t="str">
        <x:v>Census QuickFacts — Portage County OH</x:v>
      </x:c>
      <x:c r="B297" t="str">
        <x:v>https://www.census.gov/quickfacts/portagecountyohio</x:v>
      </x:c>
      <x:c r="C297" t="str">
        <x:v>County population / land area</x:v>
      </x:c>
      <x:c r="D297" t="str">
        <x:v>V2025 population 163,404; 2020 land area 487.41 sq mi; FIPS 39133.</x:v>
      </x:c>
    </x:row>
    <x:row r="298">
      <x:c r="A298" t="str">
        <x:v>Census QuickFacts — Medina County OH</x:v>
      </x:c>
      <x:c r="B298" t="str">
        <x:v>https://www.census.gov/quickfacts/medinacountyohio</x:v>
      </x:c>
      <x:c r="C298" t="str">
        <x:v>County population / land area</x:v>
      </x:c>
      <x:c r="D298" t="str">
        <x:v>V2025 population 185,025; 2020 land area 421.46 sq mi; FIPS 39103.</x:v>
      </x:c>
    </x:row>
    <x:row r="299">
      <x:c r="A299" t="str">
        <x:v>Census 2025 Gazetteer — Michigan county subdivisions</x:v>
      </x:c>
      <x:c r="B299" t="str">
        <x:v>https://www2.census.gov/geo/docs/maps-data/data/gazetteer/2025_Gazetteer/2025_gaz_cousubs_26.txt</x:v>
      </x:c>
      <x:c r="C299" t="str">
        <x:v>Municipal land area</x:v>
      </x:c>
      <x:c r="D299" t="str">
        <x:v>Livingston and Muskegon ALAND_SQMI.</x:v>
      </x:c>
    </x:row>
    <x:row r="300">
      <x:c r="A300" t="str">
        <x:v>Census 2025 Gazetteer — Massachusetts county subdivisions</x:v>
      </x:c>
      <x:c r="B300" t="str">
        <x:v>https://www2.census.gov/geo/docs/maps-data/data/gazetteer/2025_Gazetteer/2025_gaz_cousubs_25.txt</x:v>
      </x:c>
      <x:c r="C300" t="str">
        <x:v>Municipal land area</x:v>
      </x:c>
      <x:c r="D300" t="str">
        <x:v>Hampshire ALAND_SQMI.</x:v>
      </x:c>
    </x:row>
    <x:row r="301">
      <x:c r="A301" t="str">
        <x:v>Census 2025 Gazetteer — Ohio county subdivisions</x:v>
      </x:c>
      <x:c r="B301" t="str">
        <x:v>https://www2.census.gov/geo/docs/maps-data/data/gazetteer/2025_Gazetteer/2025_gaz_cousubs_39.txt</x:v>
      </x:c>
      <x:c r="C301" t="str">
        <x:v>Municipal land area</x:v>
      </x:c>
      <x:c r="D301" t="str">
        <x:v>Portage and Medina ALAND_SQMI.</x:v>
      </x:c>
    </x:row>
    <x:row r="302">
      <x:c r="A302" t="str">
        <x:v>Census QuickFacts — Howell City MI</x:v>
      </x:c>
      <x:c r="B302" t="str">
        <x:v>https://www.census.gov/quickfacts/howellcitymichigan</x:v>
      </x:c>
      <x:c r="C302" t="str">
        <x:v>Threshold exclusion</x:v>
      </x:c>
      <x:c r="D302" t="str">
        <x:v>V2025 population 9,896; excluded.</x:v>
      </x:c>
    </x:row>
    <x:row r="303">
      <x:c r="A303" t="str">
        <x:v>Census QuickFacts — Dalton Township MI</x:v>
      </x:c>
      <x:c r="B303" t="str">
        <x:v>https://www.census.gov/quickfacts/daltontownshipmuskegoncountymichigan</x:v>
      </x:c>
      <x:c r="C303" t="str">
        <x:v>Threshold exclusion</x:v>
      </x:c>
      <x:c r="D303" t="str">
        <x:v>V2025 population 9,651; excluded.</x:v>
      </x:c>
    </x:row>
    <x:row r="304">
      <x:c r="A304" t="str">
        <x:v>Census QuickFacts — Ware Town MA</x:v>
      </x:c>
      <x:c r="B304" t="str">
        <x:v>https://www.census.gov/quickfacts/waretownhampshirecountymassachusetts</x:v>
      </x:c>
      <x:c r="C304" t="str">
        <x:v>Threshold inclusion</x:v>
      </x:c>
      <x:c r="D304" t="str">
        <x:v>V2025 population 10,128; included.</x:v>
      </x:c>
    </x:row>
    <x:row r="305">
      <x:c r="A305" t="str">
        <x:v>Livingston County Census / community profiles</x:v>
      </x:c>
      <x:c r="B305" t="str">
        <x:v>https://milivcounty.gov/planning/census/</x:v>
      </x:c>
      <x:c r="C305" t="str">
        <x:v>Municipality screen support</x:v>
      </x:c>
      <x:c r="D305" t="str">
        <x:v>County-maintained 2025 city/village/township community profiles.</x:v>
      </x:c>
    </x:row>
    <x:row r="306">
      <x:c r="A306" t="str">
        <x:v>Whole Foods — Hadley</x:v>
      </x:c>
      <x:c r="B306" t="str">
        <x:v>https://www.wholefoodsmarket.com/stores/hadley</x:v>
      </x:c>
      <x:c r="C306" t="str">
        <x:v>County-level tracked-chain evidence</x:v>
      </x:c>
      <x:c r="D306" t="str">
        <x:v>Hampshire County selection evidence only; Hadley remains below the municipal threshold.</x:v>
      </x:c>
    </x:row>
    <x:row r="307">
      <x:c r="A307" t="str">
        <x:v>Sweetwater Local Foods Market</x:v>
      </x:c>
      <x:c r="B307" t="str">
        <x:v>https://www.sweetwaterlocalfoodsmarket.org/about-us/</x:v>
      </x:c>
      <x:c r="C307" t="str">
        <x:v>County specialty-grocery evidence</x:v>
      </x:c>
      <x:c r="D307" t="str">
        <x:v>Muskegon County local/organic food market; not one of the five tracked chains.</x:v>
      </x:c>
    </x:row>
    <x:row r="308">
      <x:c r="A308" t="str">
        <x:v>Central Portage grocery directory / Kent Natural Foods</x:v>
      </x:c>
      <x:c r="B308" t="str">
        <x:v>https://centralportagevcb.org/shop/grocerys/</x:v>
      </x:c>
      <x:c r="C308" t="str">
        <x:v>County specialty-grocery evidence</x:v>
      </x:c>
      <x:c r="D308" t="str">
        <x:v>Portage County organic/natural grocery evidence; not one of the five tracked chains.</x:v>
      </x:c>
    </x:row>
    <x:row r="309">
      <x:c r="A309" t="str">
        <x:v>Medina Square Farmers Market</x:v>
      </x:c>
      <x:c r="B309" t="str">
        <x:v>https://www.mainstreetmedina.com/about-our-market.html</x:v>
      </x:c>
      <x:c r="C309" t="str">
        <x:v>County specialty-grocery evidence</x:v>
      </x:c>
      <x:c r="D309" t="str">
        <x:v>Medina local-food market evidence; not one of the five tracked chains.</x:v>
      </x:c>
    </x:row>
    <x:row r="311">
      <x:c r="A311" t="str">
        <x:v>Census 2025 County Adjacency File</x:v>
      </x:c>
      <x:c r="B311" t="str">
        <x:v>https://www2.census.gov/geo/docs/reference/county_adjacency/county_adjacency2025.txt</x:v>
      </x:c>
      <x:c r="C311" t="str">
        <x:v>Authoritative adjacency</x:v>
      </x:c>
      <x:c r="D311" t="str">
        <x:v>All five selected counties are direct neighbors of represented counties.</x:v>
      </x:c>
    </x:row>
    <x:row r="312">
      <x:c r="A312" t="str">
        <x:v>Census QuickFacts — Greene County OH</x:v>
      </x:c>
      <x:c r="B312" t="str">
        <x:v>https://www.census.gov/quickfacts/greenecountyohio</x:v>
      </x:c>
      <x:c r="C312" t="str">
        <x:v>County population</x:v>
      </x:c>
      <x:c r="D312" t="str">
        <x:v>V2025 population 174,322; FIPS 39057.</x:v>
      </x:c>
    </x:row>
    <x:row r="313">
      <x:c r="A313" t="str">
        <x:v>Census QuickFacts — Saginaw County MI</x:v>
      </x:c>
      <x:c r="B313" t="str">
        <x:v>https://www.census.gov/quickfacts/saginawcountymichigan</x:v>
      </x:c>
      <x:c r="C313" t="str">
        <x:v>County population</x:v>
      </x:c>
      <x:c r="D313" t="str">
        <x:v>V2025 population 187,688; FIPS 26145.</x:v>
      </x:c>
    </x:row>
    <x:row r="314">
      <x:c r="A314" t="str">
        <x:v>Census QuickFacts — Jackson County MI</x:v>
      </x:c>
      <x:c r="B314" t="str">
        <x:v>https://www.census.gov/quickfacts/jacksoncountymichigan</x:v>
      </x:c>
      <x:c r="C314" t="str">
        <x:v>County population</x:v>
      </x:c>
      <x:c r="D314" t="str">
        <x:v>V2025 population 159,552; FIPS 26075.</x:v>
      </x:c>
    </x:row>
    <x:row r="315">
      <x:c r="A315" t="str">
        <x:v>Census QuickFacts — Monroe County MI</x:v>
      </x:c>
      <x:c r="B315" t="str">
        <x:v>https://www.census.gov/quickfacts/monroecountymichigan</x:v>
      </x:c>
      <x:c r="C315" t="str">
        <x:v>County population</x:v>
      </x:c>
      <x:c r="D315" t="str">
        <x:v>V2025 population 156,004; FIPS 26115.</x:v>
      </x:c>
    </x:row>
    <x:row r="316">
      <x:c r="A316" t="str">
        <x:v>Census QuickFacts — Wood County OH</x:v>
      </x:c>
      <x:c r="B316" t="str">
        <x:v>https://www.census.gov/quickfacts/woodcountyohio</x:v>
      </x:c>
      <x:c r="C316" t="str">
        <x:v>County population</x:v>
      </x:c>
      <x:c r="D316" t="str">
        <x:v>V2025 population 134,176; FIPS 39173.</x:v>
      </x:c>
    </x:row>
    <x:row r="317">
      <x:c r="A317" t="str">
        <x:v>Census Vintage 2025 Ohio city/town estimates</x:v>
      </x:c>
      <x:c r="B317" t="str">
        <x:v>https://www2.census.gov/programs-surveys/popest/datasets/2020-2025/cities/totals/sub-est2025_39.csv</x:v>
      </x:c>
      <x:c r="C317" t="str">
        <x:v>Municipality population eligibility</x:v>
      </x:c>
      <x:c r="D317" t="str">
        <x:v>Greene and Wood &gt;=10,000 screens.</x:v>
      </x:c>
    </x:row>
    <x:row r="318">
      <x:c r="A318" t="str">
        <x:v>Census Vintage 2025 Michigan city/town estimates</x:v>
      </x:c>
      <x:c r="B318" t="str">
        <x:v>https://www2.census.gov/programs-surveys/popest/datasets/2020-2025/cities/totals/sub-est2025_26.csv</x:v>
      </x:c>
      <x:c r="C318" t="str">
        <x:v>Municipality population eligibility</x:v>
      </x:c>
      <x:c r="D318" t="str">
        <x:v>Saginaw, Jackson, and Monroe &gt;=10,000 screens.</x:v>
      </x:c>
    </x:row>
    <x:row r="319">
      <x:c r="A319" t="str">
        <x:v>Census 2025 Gazetteer — Ohio county subdivisions</x:v>
      </x:c>
      <x:c r="B319" t="str">
        <x:v>https://www2.census.gov/geo/docs/maps-data/data/gazetteer/2025_Gazetteer/2025_gaz_cousubs_39.txt</x:v>
      </x:c>
      <x:c r="C319" t="str">
        <x:v>Municipal land area</x:v>
      </x:c>
      <x:c r="D319" t="str">
        <x:v>Greene/Wood townships; Perrysburg township 35.706 and Lake township 34.615 sq mi.</x:v>
      </x:c>
    </x:row>
    <x:row r="320">
      <x:c r="A320" t="str">
        <x:v>Census 2025 Gazetteer — Ohio places</x:v>
      </x:c>
      <x:c r="B320" t="str">
        <x:v>https://www2.census.gov/geo/docs/maps-data/data/gazetteer/2025_Gazetteer/2025_gaz_place_39.txt</x:v>
      </x:c>
      <x:c r="C320" t="str">
        <x:v>Municipal land area</x:v>
      </x:c>
      <x:c r="D320" t="str">
        <x:v>Ohio incorporated places; Bowling Green 13.082 and Perrysburg 12.098 sq mi.</x:v>
      </x:c>
    </x:row>
    <x:row r="321">
      <x:c r="A321" t="str">
        <x:v>Census 2025 Gazetteer — Michigan county subdivisions</x:v>
      </x:c>
      <x:c r="B321" t="str">
        <x:v>https://www2.census.gov/geo/docs/maps-data/data/gazetteer/2025_Gazetteer/2025_gaz_cousubs_26.txt</x:v>
      </x:c>
      <x:c r="C321" t="str">
        <x:v>Municipal land area</x:v>
      </x:c>
      <x:c r="D321" t="str">
        <x:v>Saginaw, Jackson, and Monroe township ALAND_SQMI.</x:v>
      </x:c>
    </x:row>
    <x:row r="322">
      <x:c r="A322" t="str">
        <x:v>Census 2025 Gazetteer — Michigan places</x:v>
      </x:c>
      <x:c r="B322" t="str">
        <x:v>https://www2.census.gov/geo/docs/maps-data/data/gazetteer/2025_Gazetteer/2025_gaz_place_26.txt</x:v>
      </x:c>
      <x:c r="C322" t="str">
        <x:v>Municipal land area</x:v>
      </x:c>
      <x:c r="D322" t="str">
        <x:v>Saginaw, Jackson, and Monroe city ALAND_SQMI.</x:v>
      </x:c>
    </x:row>
    <x:row r="323">
      <x:c r="A323" t="str">
        <x:v>Census 2025 Gazetteer — Ohio counties</x:v>
      </x:c>
      <x:c r="B323" t="str">
        <x:v>https://www2.census.gov/geo/docs/maps-data/data/gazetteer/2025_Gazetteer/2025_gaz_counties_39.txt</x:v>
      </x:c>
      <x:c r="C323" t="str">
        <x:v>County land area</x:v>
      </x:c>
      <x:c r="D323" t="str">
        <x:v>Greene 413.632; Wood 617.167 sq mi.</x:v>
      </x:c>
    </x:row>
    <x:row r="324">
      <x:c r="A324" t="str">
        <x:v>Census 2025 Gazetteer — Michigan counties</x:v>
      </x:c>
      <x:c r="B324" t="str">
        <x:v>https://www2.census.gov/geo/docs/maps-data/data/gazetteer/2025_Gazetteer/2025_gaz_counties_26.txt</x:v>
      </x:c>
      <x:c r="C324" t="str">
        <x:v>County land area</x:v>
      </x:c>
      <x:c r="D324" t="str">
        <x:v>Saginaw 800.807; Jackson 701.905; Monroe 549.358 sq mi.</x:v>
      </x:c>
    </x:row>
    <x:row r="325">
      <x:c r="A325" t="str">
        <x:v>Fresh Thyme — Beavercreek/Fairborn</x:v>
      </x:c>
      <x:c r="B325" t="str">
        <x:v>https://ww2.freshthyme.com/store-location/beavercreek-fairborn-ohio-45324</x:v>
      </x:c>
      <x:c r="C325" t="str">
        <x:v>Verified municipal lower bound</x:v>
      </x:c>
      <x:c r="D325" t="str">
        <x:v>Beavercreek City OH — Fresh Thyme = 1; store locator address 2850 Centre Dr.</x:v>
      </x:c>
    </x:row>
    <x:row r="326">
      <x:c r="A326" t="str">
        <x:v>Census profile — Lake Township, Wood County OH</x:v>
      </x:c>
      <x:c r="B326" t="str">
        <x:v>https://data.census.gov/profile/Lake_township,_Wood_County,_Ohio?g=060XX00US3917341328</x:v>
      </x:c>
      <x:c r="C326" t="str">
        <x:v>Threshold confirmation</x:v>
      </x:c>
      <x:c r="D326" t="str">
        <x:v>2020 Census population 11,160; land area about 34.6 sq mi.</x:v>
      </x:c>
    </x:row>
    <x:row r="327">
      <x:c r="A327" t="str">
        <x:v>Census QuickFacts — Perrysburg City OH</x:v>
      </x:c>
      <x:c r="B327" t="str">
        <x:v>https://www.census.gov/quickfacts/perrysburgcityohio</x:v>
      </x:c>
      <x:c r="C327" t="str">
        <x:v>Threshold confirmation</x:v>
      </x:c>
      <x:c r="D327" t="str">
        <x:v>V2025 population 25,441.</x:v>
      </x:c>
    </x:row>
    <x:row r="328">
      <x:c r="A328" t="str">
        <x:v>Prime Cuts — Jackson MI</x:v>
      </x:c>
      <x:c r="B328" t="str">
        <x:v>https://www.primecutsofjackson.com/</x:v>
      </x:c>
      <x:c r="C328" t="str">
        <x:v>County specialty-grocery evidence</x:v>
      </x:c>
      <x:c r="D328" t="str">
        <x:v>Jackson specialty grocery / deli; not one of the five tracked chains.</x:v>
      </x:c>
    </x:row>
    <x:row r="329">
      <x:c r="A329" t="str">
        <x:v>Alive Naturally — Monroe MI</x:v>
      </x:c>
      <x:c r="B329" t="str">
        <x:v>https://alivenaturallymonroecounty.com/</x:v>
      </x:c>
      <x:c r="C329" t="str">
        <x:v>County specialty-grocery evidence</x:v>
      </x:c>
      <x:c r="D329" t="str">
        <x:v>Monroe natural/organic products evidence; not one of the five tracked chains.</x:v>
      </x:c>
    </x:row>
    <x:row r="330">
      <x:c r="A330" t="str">
        <x:v>Michigan Farmers Market Association</x:v>
      </x:c>
      <x:c r="B330" t="str">
        <x:v>https://mifma.org/find-a-farmers-market/</x:v>
      </x:c>
      <x:c r="C330" t="str">
        <x:v>County specialty-food evidence</x:v>
      </x:c>
      <x:c r="D330" t="str">
        <x:v>Monroe and Saginaw County farmers-market evidence; not tracked-chain counts.</x:v>
      </x:c>
    </x:row>
    <x:row r="332">
      <x:c r="A332" t="str">
        <x:v>Census 2025 County Adjacency File</x:v>
      </x:c>
      <x:c r="B332" t="str">
        <x:v>https://www2.census.gov/geo/docs/reference/county_adjacency/county_adjacency2025.txt</x:v>
      </x:c>
      <x:c r="C332" t="str">
        <x:v>Authoritative adjacency</x:v>
      </x:c>
      <x:c r="D332" t="str">
        <x:v>All five selected counties are direct neighbors of represented counties.</x:v>
      </x:c>
    </x:row>
    <x:row r="333">
      <x:c r="A333" t="str">
        <x:v>Census QuickFacts — Trumbull County OH</x:v>
      </x:c>
      <x:c r="B333" t="str">
        <x:v>https://www.census.gov/quickfacts/trumbullcountyohio</x:v>
      </x:c>
      <x:c r="C333" t="str">
        <x:v>County population</x:v>
      </x:c>
      <x:c r="D333" t="str">
        <x:v>V2025 population 198,972; FIPS 39155.</x:v>
      </x:c>
    </x:row>
    <x:row r="334">
      <x:c r="A334" t="str">
        <x:v>Census QuickFacts — Fairfield County OH</x:v>
      </x:c>
      <x:c r="B334" t="str">
        <x:v>https://www.census.gov/quickfacts/fairfieldcountyohio</x:v>
      </x:c>
      <x:c r="C334" t="str">
        <x:v>County population</x:v>
      </x:c>
      <x:c r="D334" t="str">
        <x:v>V2025 population 169,752; FIPS 39045.</x:v>
      </x:c>
    </x:row>
    <x:row r="335">
      <x:c r="A335" t="str">
        <x:v>Census QuickFacts — Sussex County NJ</x:v>
      </x:c>
      <x:c r="B335" t="str">
        <x:v>https://www.census.gov/quickfacts/sussexcountynewjersey</x:v>
      </x:c>
      <x:c r="C335" t="str">
        <x:v>County population</x:v>
      </x:c>
      <x:c r="D335" t="str">
        <x:v>V2025 population 148,063; FIPS 34037.</x:v>
      </x:c>
    </x:row>
    <x:row r="336">
      <x:c r="A336" t="str">
        <x:v>Census QuickFacts — Washington County RI</x:v>
      </x:c>
      <x:c r="B336" t="str">
        <x:v>https://www.census.gov/quickfacts/washingtoncountyrhodeisland</x:v>
      </x:c>
      <x:c r="C336" t="str">
        <x:v>County population</x:v>
      </x:c>
      <x:c r="D336" t="str">
        <x:v>V2025 population 129,795; FIPS 44009.</x:v>
      </x:c>
    </x:row>
    <x:row r="337">
      <x:c r="A337" t="str">
        <x:v>Census QuickFacts — Cape May County NJ</x:v>
      </x:c>
      <x:c r="B337" t="str">
        <x:v>https://www.census.gov/quickfacts/capemaycountynewjersey</x:v>
      </x:c>
      <x:c r="C337" t="str">
        <x:v>County population</x:v>
      </x:c>
      <x:c r="D337" t="str">
        <x:v>V2025 population 93,390; FIPS 34009.</x:v>
      </x:c>
    </x:row>
    <x:row r="338">
      <x:c r="A338" t="str">
        <x:v>Census Vintage 2025 Ohio city/town estimates</x:v>
      </x:c>
      <x:c r="B338" t="str">
        <x:v>https://www2.census.gov/programs-surveys/popest/datasets/2020-2025/cities/totals/sub-est2025_39.csv</x:v>
      </x:c>
      <x:c r="C338" t="str">
        <x:v>Municipality population eligibility</x:v>
      </x:c>
      <x:c r="D338" t="str">
        <x:v>Trumbull and Fairfield &gt;=10,000 screen.</x:v>
      </x:c>
    </x:row>
    <x:row r="339">
      <x:c r="A339" t="str">
        <x:v>Census Vintage 2025 New Jersey city/town estimates</x:v>
      </x:c>
      <x:c r="B339" t="str">
        <x:v>https://www2.census.gov/programs-surveys/popest/datasets/2020-2025/cities/totals/sub-est2025_34.csv</x:v>
      </x:c>
      <x:c r="C339" t="str">
        <x:v>Municipality population eligibility</x:v>
      </x:c>
      <x:c r="D339" t="str">
        <x:v>Sussex and Cape May &gt;=10,000 screen.</x:v>
      </x:c>
    </x:row>
    <x:row r="340">
      <x:c r="A340" t="str">
        <x:v>Census Vintage 2025 Rhode Island city/town estimates</x:v>
      </x:c>
      <x:c r="B340" t="str">
        <x:v>https://www2.census.gov/programs-surveys/popest/datasets/2020-2025/cities/totals/sub-est2025_44.csv</x:v>
      </x:c>
      <x:c r="C340" t="str">
        <x:v>Municipality population eligibility</x:v>
      </x:c>
      <x:c r="D340" t="str">
        <x:v>Washington County &gt;=10,000 screen.</x:v>
      </x:c>
    </x:row>
    <x:row r="341">
      <x:c r="A341" t="str">
        <x:v>Census TIGER — Ohio county subdivisions</x:v>
      </x:c>
      <x:c r="B341" t="str">
        <x:v>https://tigerweb.geo.census.gov/tigerwebmain/Files/acs26/tigerweb_acs26_cousub_oh.html</x:v>
      </x:c>
      <x:c r="C341" t="str">
        <x:v>Municipal land area</x:v>
      </x:c>
      <x:c r="D341" t="str">
        <x:v>Fairfield / Trumbull township ALAND geography.</x:v>
      </x:c>
    </x:row>
    <x:row r="342">
      <x:c r="A342" t="str">
        <x:v>Census TIGER — Ohio incorporated places</x:v>
      </x:c>
      <x:c r="B342" t="str">
        <x:v>https://tigerweb.geo.census.gov/tigerwebmain/Files/acs26/tigerweb_acs26_incplace_oh.html</x:v>
      </x:c>
      <x:c r="C342" t="str">
        <x:v>Municipal land area</x:v>
      </x:c>
      <x:c r="D342" t="str">
        <x:v>Lancaster, Pickerington, Warren, and Niles place ALAND geography.</x:v>
      </x:c>
    </x:row>
    <x:row r="343">
      <x:c r="A343" t="str">
        <x:v>Census TIGER — New Jersey county subdivisions</x:v>
      </x:c>
      <x:c r="B343" t="str">
        <x:v>https://tigerweb.geo.census.gov/tigerwebmain/Files/acs26/tigerweb_acs26_cousub_2025_acs25_nj.html</x:v>
      </x:c>
      <x:c r="C343" t="str">
        <x:v>Municipal land area</x:v>
      </x:c>
      <x:c r="D343" t="str">
        <x:v>Sussex and Cape May municipal ALAND geography.</x:v>
      </x:c>
    </x:row>
    <x:row r="344">
      <x:c r="A344" t="str">
        <x:v>Census TIGER — Rhode Island county subdivisions</x:v>
      </x:c>
      <x:c r="B344" t="str">
        <x:v>https://tigerweb.geo.census.gov/tigerwebmain/Files/bas26/tigerweb_bas26_cousub_ri.html</x:v>
      </x:c>
      <x:c r="C344" t="str">
        <x:v>Municipal land area</x:v>
      </x:c>
      <x:c r="D344" t="str">
        <x:v>Narragansett, North Kingstown, South Kingstown, and Westerly ALAND geography.</x:v>
      </x:c>
    </x:row>
    <x:row r="345">
      <x:c r="A345" t="str">
        <x:v>Census TIGER — Trumbull County OH</x:v>
      </x:c>
      <x:c r="B345" t="str">
        <x:v>https://tigerweb.geo.census.gov/tigerwebmain/Files/acs26/tigerweb_acs26_county_2025_acs25_oh.html</x:v>
      </x:c>
      <x:c r="C345" t="str">
        <x:v>County land area</x:v>
      </x:c>
      <x:c r="D345" t="str">
        <x:v>Trumbull land area denominator 617.592 sq mi.</x:v>
      </x:c>
    </x:row>
    <x:row r="346">
      <x:c r="A346" t="str">
        <x:v>Census TIGER — Sussex County NJ</x:v>
      </x:c>
      <x:c r="B346" t="str">
        <x:v>https://tigerweb.geo.census.gov/tigerwebmain/Files/bas26/tigerweb_bas26_county_nj.html</x:v>
      </x:c>
      <x:c r="C346" t="str">
        <x:v>County land area</x:v>
      </x:c>
      <x:c r="D346" t="str">
        <x:v>Sussex land area denominator 518.493 sq mi.</x:v>
      </x:c>
    </x:row>
    <x:row r="347">
      <x:c r="A347" t="str">
        <x:v>Census TIGER — Washington County RI</x:v>
      </x:c>
      <x:c r="B347" t="str">
        <x:v>https://tigerweb.geo.census.gov/tigerwebmain/Files/acs26/tigerweb_acs26_county_ri.html</x:v>
      </x:c>
      <x:c r="C347" t="str">
        <x:v>County land area</x:v>
      </x:c>
      <x:c r="D347" t="str">
        <x:v>Washington land area denominator 329.279 sq mi.</x:v>
      </x:c>
    </x:row>
    <x:row r="348">
      <x:c r="A348" t="str">
        <x:v>Census TIGER — Cape May County NJ</x:v>
      </x:c>
      <x:c r="B348" t="str">
        <x:v>https://tigerweb.geo.census.gov/tigerwebmain/Files/acs26/tigerweb_acs26_county_nj.html</x:v>
      </x:c>
      <x:c r="C348" t="str">
        <x:v>County land area</x:v>
      </x:c>
      <x:c r="D348" t="str">
        <x:v>Cape May land area denominator 251.513 sq mi.</x:v>
      </x:c>
    </x:row>
    <x:row r="350">
      <x:c r="A350" t="str">
        <x:v>Census 2025 County Adjacency File</x:v>
      </x:c>
      <x:c r="B350" t="str">
        <x:v>https://www2.census.gov/geo/docs/reference/county_adjacency/county_adjacency2025.txt</x:v>
      </x:c>
      <x:c r="C350" t="str">
        <x:v>Authoritative adjacency</x:v>
      </x:c>
      <x:c r="D350" t="str">
        <x:v>All ten selected counties are direct neighbors of represented counties.</x:v>
      </x:c>
    </x:row>
    <x:row r="351">
      <x:c r="A351" t="str">
        <x:v>Census QuickFacts / Vintage 2025 county populations</x:v>
      </x:c>
      <x:c r="B351" t="str">
        <x:v>https://www.census.gov/quickfacts/</x:v>
      </x:c>
      <x:c r="C351" t="str">
        <x:v>County population eligibility</x:v>
      </x:c>
      <x:c r="D351" t="str">
        <x:v>County floor remains &gt;=50,000; Bristol County RI is the threshold edge at 50,001.</x:v>
      </x:c>
    </x:row>
    <x:row r="352">
      <x:c r="A352" t="str">
        <x:v>Census Vintage 2025 NJ city/town estimates</x:v>
      </x:c>
      <x:c r="B352" t="str">
        <x:v>https://www2.census.gov/programs-surveys/popest/datasets/2020-2025/cities/totals/sub-est2025_34.csv</x:v>
      </x:c>
      <x:c r="C352" t="str">
        <x:v>Municipality population eligibility</x:v>
      </x:c>
      <x:c r="D352" t="str">
        <x:v>Hunterdon County &gt;=10,000 screen.</x:v>
      </x:c>
    </x:row>
    <x:row r="353">
      <x:c r="A353" t="str">
        <x:v>Census Vintage 2025 RI city/town estimates</x:v>
      </x:c>
      <x:c r="B353" t="str">
        <x:v>https://www2.census.gov/programs-surveys/popest/datasets/2020-2025/cities/totals/sub-est2025_44.csv</x:v>
      </x:c>
      <x:c r="C353" t="str">
        <x:v>Municipality population eligibility</x:v>
      </x:c>
      <x:c r="D353" t="str">
        <x:v>Newport and Bristol County screens.</x:v>
      </x:c>
    </x:row>
    <x:row r="354">
      <x:c r="A354" t="str">
        <x:v>Census Vintage 2025 PA city/town estimates</x:v>
      </x:c>
      <x:c r="B354" t="str">
        <x:v>https://www2.census.gov/programs-surveys/popest/datasets/2020-2025/cities/totals/sub-est2025_42.csv</x:v>
      </x:c>
      <x:c r="C354" t="str">
        <x:v>Municipality population eligibility</x:v>
      </x:c>
      <x:c r="D354" t="str">
        <x:v>Lebanon and Beaver County screens.</x:v>
      </x:c>
    </x:row>
    <x:row r="355">
      <x:c r="A355" t="str">
        <x:v>Census Vintage 2025 OH city/town estimates</x:v>
      </x:c>
      <x:c r="B355" t="str">
        <x:v>https://www2.census.gov/programs-surveys/popest/datasets/2020-2025/cities/totals/sub-est2025_39.csv</x:v>
      </x:c>
      <x:c r="C355" t="str">
        <x:v>Municipality population eligibility</x:v>
      </x:c>
      <x:c r="D355" t="str">
        <x:v>Miami County screen.</x:v>
      </x:c>
    </x:row>
    <x:row r="356">
      <x:c r="A356" t="str">
        <x:v>Census Vintage 2025 MI city/town estimates</x:v>
      </x:c>
      <x:c r="B356" t="str">
        <x:v>https://www2.census.gov/programs-surveys/popest/datasets/2020-2025/cities/totals/sub-est2025_26.csv</x:v>
      </x:c>
      <x:c r="C356" t="str">
        <x:v>Municipality population eligibility</x:v>
      </x:c>
      <x:c r="D356" t="str">
        <x:v>Bay and St. Clair County screens.</x:v>
      </x:c>
    </x:row>
    <x:row r="357">
      <x:c r="A357" t="str">
        <x:v>Census Vintage 2025 NH city/town estimates</x:v>
      </x:c>
      <x:c r="B357" t="str">
        <x:v>https://www2.census.gov/programs-surveys/popest/datasets/2020-2025/cities/totals/sub-est2025_33.csv</x:v>
      </x:c>
      <x:c r="C357" t="str">
        <x:v>Municipality population eligibility</x:v>
      </x:c>
      <x:c r="D357" t="str">
        <x:v>Merrimack County screen.</x:v>
      </x:c>
    </x:row>
    <x:row r="358">
      <x:c r="A358" t="str">
        <x:v>Census Vintage 2025 ME city/town estimates</x:v>
      </x:c>
      <x:c r="B358" t="str">
        <x:v>https://www2.census.gov/programs-surveys/popest/datasets/2020-2025/cities/totals/sub-est2025_23.csv</x:v>
      </x:c>
      <x:c r="C358" t="str">
        <x:v>Municipality population eligibility</x:v>
      </x:c>
      <x:c r="D358" t="str">
        <x:v>Androscoggin County screen.</x:v>
      </x:c>
    </x:row>
    <x:row r="359">
      <x:c r="A359" t="str">
        <x:v>Census 2025 Gazetteer — NJ county subdivisions</x:v>
      </x:c>
      <x:c r="B359" t="str">
        <x:v>https://www2.census.gov/geo/docs/maps-data/data/gazetteer/2025_Gazetteer/2025_gaz_cousubs_34.txt</x:v>
      </x:c>
      <x:c r="C359" t="str">
        <x:v>Municipal land area</x:v>
      </x:c>
      <x:c r="D359" t="str">
        <x:v>Raritan, Readington, Clinton Township ALAND_SQMI.</x:v>
      </x:c>
    </x:row>
    <x:row r="360">
      <x:c r="A360" t="str">
        <x:v>Census 2025 Gazetteer — RI county subdivisions</x:v>
      </x:c>
      <x:c r="B360" t="str">
        <x:v>https://www2.census.gov/geo/docs/maps-data/data/gazetteer/2025_Gazetteer/2025_gaz_cousubs_44.txt</x:v>
      </x:c>
      <x:c r="C360" t="str">
        <x:v>Municipal land area</x:v>
      </x:c>
      <x:c r="D360" t="str">
        <x:v>Newport and Bristol County municipality ALAND_SQMI.</x:v>
      </x:c>
    </x:row>
    <x:row r="361">
      <x:c r="A361" t="str">
        <x:v>Census 2025 Gazetteer — PA county subdivisions</x:v>
      </x:c>
      <x:c r="B361" t="str">
        <x:v>https://www2.census.gov/geo/docs/maps-data/data/gazetteer/2025_Gazetteer/2025_gaz_cousubs_42.txt</x:v>
      </x:c>
      <x:c r="C361" t="str">
        <x:v>Municipal land area</x:v>
      </x:c>
      <x:c r="D361" t="str">
        <x:v>Lebanon and Beaver municipality ALAND_SQMI.</x:v>
      </x:c>
    </x:row>
    <x:row r="362">
      <x:c r="A362" t="str">
        <x:v>Census 2025 Gazetteer — OH places</x:v>
      </x:c>
      <x:c r="B362" t="str">
        <x:v>https://www2.census.gov/geo/docs/maps-data/data/gazetteer/2025_Gazetteer/2025_gaz_place_39.txt</x:v>
      </x:c>
      <x:c r="C362" t="str">
        <x:v>Municipal land area</x:v>
      </x:c>
      <x:c r="D362" t="str">
        <x:v>Troy, Piqua, Tipp City ALAND_SQMI.</x:v>
      </x:c>
    </x:row>
    <x:row r="363">
      <x:c r="A363" t="str">
        <x:v>Census 2025 Gazetteer — MI county subdivisions</x:v>
      </x:c>
      <x:c r="B363" t="str">
        <x:v>https://www2.census.gov/geo/docs/maps-data/data/gazetteer/2025_Gazetteer/2025_gaz_cousubs_26.txt</x:v>
      </x:c>
      <x:c r="C363" t="str">
        <x:v>Municipal land area</x:v>
      </x:c>
      <x:c r="D363" t="str">
        <x:v>Bay and St. Clair municipality ALAND_SQMI.</x:v>
      </x:c>
    </x:row>
    <x:row r="364">
      <x:c r="A364" t="str">
        <x:v>Census 2025 Gazetteer — NH county subdivisions</x:v>
      </x:c>
      <x:c r="B364" t="str">
        <x:v>https://www2.census.gov/geo/docs/maps-data/data/gazetteer/2025_Gazetteer/2025_gaz_cousubs_33.txt</x:v>
      </x:c>
      <x:c r="C364" t="str">
        <x:v>Municipal land area</x:v>
      </x:c>
      <x:c r="D364" t="str">
        <x:v>Concord and Hooksett ALAND_SQMI.</x:v>
      </x:c>
    </x:row>
    <x:row r="365">
      <x:c r="A365" t="str">
        <x:v>Census 2025 Gazetteer — ME county subdivisions</x:v>
      </x:c>
      <x:c r="B365" t="str">
        <x:v>https://www2.census.gov/geo/docs/maps-data/data/gazetteer/2025_Gazetteer/2025_gaz_cousubs_23.txt</x:v>
      </x:c>
      <x:c r="C365" t="str">
        <x:v>Municipal land area</x:v>
      </x:c>
      <x:c r="D365" t="str">
        <x:v>Auburn and Lewiston ALAND_SQMI.</x:v>
      </x:c>
    </x:row>
    <x:row r="366">
      <x:c r="A366" t="str">
        <x:v>Census 2025 Gazetteer — county files</x:v>
      </x:c>
      <x:c r="B366" t="str">
        <x:v>https://www2.census.gov/geo/docs/maps-data/data/gazetteer/2025_Gazetteer/</x:v>
      </x:c>
      <x:c r="C366" t="str">
        <x:v>County land area</x:v>
      </x:c>
      <x:c r="D366" t="str">
        <x:v>County ALAND_SQMI for all ten additions.</x:v>
      </x:c>
    </x:row>
    <x:row r="367">
      <x:c r="A367" t="str">
        <x:v>QuickFacts — Port Huron Charter Township MI</x:v>
      </x:c>
      <x:c r="B367" t="str">
        <x:v>https://www.census.gov/quickfacts/porthuronchartertownshipstclaircountymichigan</x:v>
      </x:c>
      <x:c r="C367" t="str">
        <x:v>Threshold confirmation</x:v>
      </x:c>
      <x:c r="D367" t="str">
        <x:v>V2025 population 10,665.</x:v>
      </x:c>
    </x:row>
    <x:row r="368">
      <x:c r="A368" t="str">
        <x:v>QuickFacts — South Lebanon Township PA</x:v>
      </x:c>
      <x:c r="B368" t="str">
        <x:v>https://www.census.gov/quickfacts/southlebanontownshiplebanoncountypennsylvania</x:v>
      </x:c>
      <x:c r="C368" t="str">
        <x:v>Threshold confirmation</x:v>
      </x:c>
      <x:c r="D368" t="str">
        <x:v>V2025 population 10,735.</x:v>
      </x:c>
    </x:row>
    <x:row r="369">
      <x:c r="A369" t="str">
        <x:v>QuickFacts — Tipp City OH</x:v>
      </x:c>
      <x:c r="B369" t="str">
        <x:v>https://www.census.gov/quickfacts/tippcitycityohio</x:v>
      </x:c>
      <x:c r="C369" t="str">
        <x:v>Threshold confirmation</x:v>
      </x:c>
      <x:c r="D369" t="str">
        <x:v>V2025 population 10,644.</x:v>
      </x:c>
    </x:row>
    <x:row r="370">
      <x:c r="A370" t="str">
        <x:v>QuickFacts — Monitor Charter Township MI</x:v>
      </x:c>
      <x:c r="B370" t="str">
        <x:v>https://www.census.gov/quickfacts/monitorchartertownshipbaycountymichigan</x:v>
      </x:c>
      <x:c r="C370" t="str">
        <x:v>Threshold confirmation</x:v>
      </x:c>
      <x:c r="D370" t="str">
        <x:v>V2025 population 10,597.</x:v>
      </x:c>
    </x:row>
    <x:row r="372">
      <x:c r="A372" t="str">
        <x:v>Census Vintage 2025 municipality estimates — Connecticut</x:v>
      </x:c>
      <x:c r="B372" t="str">
        <x:v>https://www2.census.gov/programs-surveys/popest/datasets/2020-2025/cities/totals/sub-est2025_09.csv</x:v>
      </x:c>
      <x:c r="C372" t="str">
        <x:v>Municipality population eligibility</x:v>
      </x:c>
      <x:c r="D372" t="str">
        <x:v>New London, Tolland, Litchfield, and Middlesex &gt;=10,000 screens.</x:v>
      </x:c>
    </x:row>
    <x:row r="373">
      <x:c r="A373" t="str">
        <x:v>Census Vintage 2025 municipality estimates — Vermont</x:v>
      </x:c>
      <x:c r="B373" t="str">
        <x:v>https://www2.census.gov/programs-surveys/popest/datasets/2020-2025/cities/totals/sub-est2025_50.csv</x:v>
      </x:c>
      <x:c r="C373" t="str">
        <x:v>Municipality population eligibility</x:v>
      </x:c>
      <x:c r="D373" t="str">
        <x:v>Chittenden County screen; Williston excluded at 9,975.</x:v>
      </x:c>
    </x:row>
    <x:row r="374">
      <x:c r="A374" t="str">
        <x:v>Census Vintage 2025 municipality estimates — New York</x:v>
      </x:c>
      <x:c r="B374" t="str">
        <x:v>https://www2.census.gov/programs-surveys/popest/datasets/2020-2025/cities/totals/sub-est2025_36.csv</x:v>
      </x:c>
      <x:c r="C374" t="str">
        <x:v>Municipality population eligibility</x:v>
      </x:c>
      <x:c r="D374" t="str">
        <x:v>Broome and Tompkins cities + towns screen.</x:v>
      </x:c>
    </x:row>
    <x:row r="375">
      <x:c r="A375" t="str">
        <x:v>Census Vintage 2025 municipality estimates — Pennsylvania</x:v>
      </x:c>
      <x:c r="B375" t="str">
        <x:v>https://www2.census.gov/programs-surveys/popest/datasets/2020-2025/cities/totals/sub-est2025_42.csv</x:v>
      </x:c>
      <x:c r="C375" t="str">
        <x:v>Municipality population eligibility</x:v>
      </x:c>
      <x:c r="D375" t="str">
        <x:v>Centre County screen.</x:v>
      </x:c>
    </x:row>
    <x:row r="376">
      <x:c r="A376" t="str">
        <x:v>Census Vintage 2025 municipality estimates — Michigan</x:v>
      </x:c>
      <x:c r="B376" t="str">
        <x:v>https://www2.census.gov/programs-surveys/popest/datasets/2020-2025/cities/totals/sub-est2025_26.csv</x:v>
      </x:c>
      <x:c r="C376" t="str">
        <x:v>Municipality population eligibility</x:v>
      </x:c>
      <x:c r="D376" t="str">
        <x:v>Grand Traverse and Berrien screens.</x:v>
      </x:c>
    </x:row>
    <x:row r="377">
      <x:c r="A377" t="str">
        <x:v>Census QuickFacts — Chittenden County VT</x:v>
      </x:c>
      <x:c r="B377" t="str">
        <x:v>https://www.census.gov/quickfacts/fact/table/chittendencountyvermont/RHI425225</x:v>
      </x:c>
      <x:c r="C377" t="str">
        <x:v>County population</x:v>
      </x:c>
      <x:c r="D377" t="str">
        <x:v>V2025 population 169,115; FIPS 50007.</x:v>
      </x:c>
    </x:row>
    <x:row r="378">
      <x:c r="A378" t="str">
        <x:v>Census QuickFacts — Broome County NY</x:v>
      </x:c>
      <x:c r="B378" t="str">
        <x:v>https://www.census.gov/quickfacts/fact/table/broomecountynewyork/COM100218</x:v>
      </x:c>
      <x:c r="C378" t="str">
        <x:v>County population</x:v>
      </x:c>
      <x:c r="D378" t="str">
        <x:v>V2025 population 195,736; FIPS 36007.</x:v>
      </x:c>
    </x:row>
    <x:row r="379">
      <x:c r="A379" t="str">
        <x:v>Census QuickFacts — Centre County PA</x:v>
      </x:c>
      <x:c r="B379" t="str">
        <x:v>https://www.census.gov/quickfacts/fact/table/centrecountypennsylvania/SBO010223</x:v>
      </x:c>
      <x:c r="C379" t="str">
        <x:v>County population / land area</x:v>
      </x:c>
      <x:c r="D379" t="str">
        <x:v>V2025 population 157,393; 2020 land area 1,108.71 sq mi; FIPS 42027.</x:v>
      </x:c>
    </x:row>
    <x:row r="380">
      <x:c r="A380" t="str">
        <x:v>Census QuickFacts — Tompkins County NY</x:v>
      </x:c>
      <x:c r="B380" t="str">
        <x:v>https://www.census.gov/quickfacts/fact/table/tompkinscountynewyork/RHI125224</x:v>
      </x:c>
      <x:c r="C380" t="str">
        <x:v>County population</x:v>
      </x:c>
      <x:c r="D380" t="str">
        <x:v>V2025 population 104,047; FIPS 36109.</x:v>
      </x:c>
    </x:row>
    <x:row r="381">
      <x:c r="A381" t="str">
        <x:v>Census QuickFacts — Grand Traverse County MI</x:v>
      </x:c>
      <x:c r="B381" t="str">
        <x:v>https://www.census.gov/quickfacts/fact/table/grandtraversecountymichigan/POP815223</x:v>
      </x:c>
      <x:c r="C381" t="str">
        <x:v>County population</x:v>
      </x:c>
      <x:c r="D381" t="str">
        <x:v>V2025 population 96,729; FIPS 26055.</x:v>
      </x:c>
    </x:row>
    <x:row r="382">
      <x:c r="A382" t="str">
        <x:v>Census QuickFacts — Berrien County MI</x:v>
      </x:c>
      <x:c r="B382" t="str">
        <x:v>https://www.census.gov/quickfacts/fact/table/berriencountymichigan/BZA115223</x:v>
      </x:c>
      <x:c r="C382" t="str">
        <x:v>County population</x:v>
      </x:c>
      <x:c r="D382" t="str">
        <x:v>V2025 population 152,444; FIPS 26021.</x:v>
      </x:c>
    </x:row>
    <x:row r="383">
      <x:c r="A383" t="str">
        <x:v>Census TIGER 2025 — Chittenden County VT</x:v>
      </x:c>
      <x:c r="B383" t="str">
        <x:v>https://tigerweb.geo.census.gov/tigerwebmain/Files/acs26/tigerweb_acs26_county_2025_acs25_vt.html</x:v>
      </x:c>
      <x:c r="C383" t="str">
        <x:v>County land area</x:v>
      </x:c>
      <x:c r="D383" t="str">
        <x:v>AREALAND supports the Chittenden county density denominator.</x:v>
      </x:c>
    </x:row>
    <x:row r="384">
      <x:c r="A384" t="str">
        <x:v>Census 2025 Gazetteer — Connecticut county subdivisions</x:v>
      </x:c>
      <x:c r="B384" t="str">
        <x:v>https://www2.census.gov/geo/docs/maps-data/data/gazetteer/2025_Gazetteer/2025_gaz_cousubs_09.txt</x:v>
      </x:c>
      <x:c r="C384" t="str">
        <x:v>Municipal land area</x:v>
      </x:c>
      <x:c r="D384" t="str">
        <x:v>Connecticut town / consolidated municipality ALAND_SQMI.</x:v>
      </x:c>
    </x:row>
    <x:row r="385">
      <x:c r="A385" t="str">
        <x:v>Census 2025 Gazetteer — Vermont county subdivisions</x:v>
      </x:c>
      <x:c r="B385" t="str">
        <x:v>https://www2.census.gov/geo/docs/maps-data/data/gazetteer/2025_Gazetteer/2025_gaz_cousubs_50.txt</x:v>
      </x:c>
      <x:c r="C385" t="str">
        <x:v>Municipal land area</x:v>
      </x:c>
      <x:c r="D385" t="str">
        <x:v>Chittenden municipality ALAND_SQMI.</x:v>
      </x:c>
    </x:row>
    <x:row r="386">
      <x:c r="A386" t="str">
        <x:v>Census 2025 Gazetteer — New York county subdivisions</x:v>
      </x:c>
      <x:c r="B386" t="str">
        <x:v>https://www2.census.gov/geo/docs/maps-data/data/gazetteer/2025_Gazetteer/2025_gaz_cousubs_36.txt</x:v>
      </x:c>
      <x:c r="C386" t="str">
        <x:v>Municipal land area</x:v>
      </x:c>
      <x:c r="D386" t="str">
        <x:v>Broome / Tompkins town ALAND_SQMI.</x:v>
      </x:c>
    </x:row>
    <x:row r="387">
      <x:c r="A387" t="str">
        <x:v>Census 2025 Gazetteer — Pennsylvania county subdivisions</x:v>
      </x:c>
      <x:c r="B387" t="str">
        <x:v>https://www2.census.gov/geo/docs/maps-data/data/gazetteer/2025_Gazetteer/2025_gaz_cousubs_42.txt</x:v>
      </x:c>
      <x:c r="C387" t="str">
        <x:v>Municipal land area</x:v>
      </x:c>
      <x:c r="D387" t="str">
        <x:v>Centre Township/Borough land-area denominators.</x:v>
      </x:c>
    </x:row>
    <x:row r="388">
      <x:c r="A388" t="str">
        <x:v>Census 2025 Gazetteer — Michigan county subdivisions</x:v>
      </x:c>
      <x:c r="B388" t="str">
        <x:v>https://www2.census.gov/geo/docs/maps-data/data/gazetteer/2025_Gazetteer/2025_gaz_cousubs_26.txt</x:v>
      </x:c>
      <x:c r="C388" t="str">
        <x:v>Municipal land area</x:v>
      </x:c>
      <x:c r="D388" t="str">
        <x:v>Grand Traverse / Berrien township ALAND_SQMI.</x:v>
      </x:c>
    </x:row>
    <x:row r="389">
      <x:c r="A389" t="str">
        <x:v>Census QuickFacts — College Township PA</x:v>
      </x:c>
      <x:c r="B389" t="str">
        <x:v>https://www.census.gov/quickfacts/fact/table/collegetownshipcentrecountypennsylvania/HEA775224</x:v>
      </x:c>
      <x:c r="C389" t="str">
        <x:v>Threshold confirmation</x:v>
      </x:c>
      <x:c r="D389" t="str">
        <x:v>V2025 population 10,393.</x:v>
      </x:c>
    </x:row>
    <x:row r="390">
      <x:c r="A390" t="str">
        <x:v>Census QuickFacts — Lansing Town NY</x:v>
      </x:c>
      <x:c r="B390" t="str">
        <x:v>https://www.census.gov/quickfacts/fact/table/lansingtowntompkinscountynewyork/HEA775224</x:v>
      </x:c>
      <x:c r="C390" t="str">
        <x:v>Threshold confirmation</x:v>
      </x:c>
      <x:c r="D390" t="str">
        <x:v>V2025 population 11,786.</x:v>
      </x:c>
    </x:row>
    <x:row r="391">
      <x:c r="A391" t="str">
        <x:v>Census data — New London County CT profile</x:v>
      </x:c>
      <x:c r="B391" t="str">
        <x:v>https://data.census.gov/table?q=New+London+County</x:v>
      </x:c>
      <x:c r="C391" t="str">
        <x:v>County land area</x:v>
      </x:c>
      <x:c r="D391" t="str">
        <x:v>2025 profile reports about 665.1 square miles of land area.</x:v>
      </x:c>
    </x:row>
  </x:sheetData>
  <x:mergeCells>
    <x:mergeCell ref="A1:D1"/>
  </x:mergeCells>
  <x:pageMargins left="0.7" right="0.7" top="0.75" bottom="0.75" header="0.3" footer="0.3"/>
  <x:tableParts count="1">
    <x:tablePart xmlns:r="http://schemas.openxmlformats.org/officeDocument/2006/relationships" r:id="R9513eacfc69b4fc9"/>
  </x:tableParts>
</x:worksheet>
</file>

<file path=xl/worksheets/sheet5.xml><?xml version="1.0" encoding="utf-8"?>
<x:worksheet xmlns:x="http://schemas.openxmlformats.org/spreadsheetml/2006/main">
  <x:sheetFormatPr baseColWidth="8" defaultRowHeight="15"/>
  <x:cols>
    <x:col min="1" max="1" width="7" style="44" customWidth="1"/>
    <x:col min="2" max="2" width="26" style="44" customWidth="1"/>
    <x:col min="3" max="3" width="7" style="44" customWidth="1"/>
    <x:col min="4" max="4" width="13" style="44" customWidth="1"/>
    <x:col min="5" max="5" width="13" style="44" customWidth="1"/>
    <x:col min="6" max="6" width="10" style="44" customWidth="1"/>
    <x:col min="7" max="7" width="17" style="44" customWidth="1"/>
    <x:col min="8" max="8" width="13" style="44" customWidth="1"/>
    <x:col min="9" max="9" width="10" style="44" customWidth="1"/>
    <x:col min="10" max="10" width="14" style="44" customWidth="1"/>
    <x:col min="11" max="11" width="21" style="44" customWidth="1"/>
    <x:col min="12" max="12" width="21" style="44" customWidth="1"/>
    <x:col min="13" max="13" width="16" style="44" customWidth="1"/>
    <x:col min="14" max="14" width="34" style="44" customWidth="1"/>
    <x:col min="15" max="15" width="27" style="44" customWidth="1"/>
    <x:col min="16" max="16" width="50" style="44" customWidth="1"/>
    <x:col min="17" max="17" width="48" style="44" customWidth="1"/>
  </x:cols>
  <x:sheetData>
    <x:row r="1" s="44" customFormat="1" ht="28" customHeight="1">
      <x:c r="A1" s="131" t="str">
        <x:v>Specialty Grocery Density — County Aggregation of 1,020-Municipality Screening</x:v>
      </x:c>
      <x:c r="B1" s="1" t="n"/>
      <x:c r="C1" s="1" t="n"/>
      <x:c r="D1" s="1" t="n"/>
      <x:c r="E1" s="1" t="n"/>
      <x:c r="F1" s="1" t="n"/>
      <x:c r="G1" s="1" t="n"/>
      <x:c r="H1" s="1" t="n"/>
      <x:c r="I1" s="1" t="n"/>
      <x:c r="J1" s="1" t="n"/>
      <x:c r="K1" s="1" t="n"/>
      <x:c r="L1" s="1" t="n"/>
      <x:c r="M1" s="1" t="n"/>
      <x:c r="N1" s="1" t="n"/>
      <x:c r="O1" s="1" t="n"/>
      <x:c r="P1" s="1" t="n"/>
      <x:c r="Q1" s="1" t="n"/>
    </x:row>
    <x:row r="2" s="44" customFormat="1" ht="36" customHeight="1">
      <x:c r="A2" s="17" t="str">
        <x:v>All 319 represented counties/county equivalents are ranked. This pass removes the prior adjacency requirement and adds New London CT, Tolland CT, Chittenden VT, Litchfield CT, Middlesex CT, Broome NY, Centre PA, Tompkins NY, Grand Traverse MI, and Berrien MI.</x:v>
      </x:c>
      <x:c r="B2" s="1" t="n"/>
      <x:c r="C2" s="1" t="n"/>
      <x:c r="D2" s="1" t="n"/>
      <x:c r="E2" s="1" t="n"/>
      <x:c r="F2" s="1" t="n"/>
      <x:c r="G2" s="1" t="n"/>
      <x:c r="H2" s="1" t="n"/>
      <x:c r="I2" s="1" t="n"/>
      <x:c r="J2" s="1" t="n"/>
      <x:c r="K2" s="1" t="n"/>
      <x:c r="L2" s="1" t="n"/>
      <x:c r="M2" s="1" t="n"/>
      <x:c r="N2" s="1" t="n"/>
      <x:c r="O2" s="1" t="n"/>
      <x:c r="P2" s="1" t="n"/>
      <x:c r="Q2" s="1" t="n"/>
    </x:row>
    <x:row r="3" s="44" customFormat="1" ht="38" customHeight="1">
      <x:c r="A3" s="17" t="str">
        <x:v>County rank values are recalculated across all 319 rows; the ten expansion counties are appended rather than physically resorted because of spreadsheet-runtime limits. New county aggregate values are retained as computed screening values.</x:v>
      </x:c>
      <x:c r="B3" s="1" t="n"/>
      <x:c r="C3" s="1" t="n"/>
      <x:c r="D3" s="1" t="n"/>
      <x:c r="E3" s="1" t="n"/>
      <x:c r="F3" s="1" t="n"/>
      <x:c r="G3" s="1" t="n"/>
      <x:c r="H3" s="1" t="n"/>
      <x:c r="I3" s="1" t="n"/>
      <x:c r="J3" s="1" t="n"/>
      <x:c r="K3" s="1" t="n"/>
      <x:c r="L3" s="1" t="n"/>
      <x:c r="M3" s="1" t="n"/>
      <x:c r="N3" s="1" t="n"/>
      <x:c r="O3" s="1" t="n"/>
      <x:c r="P3" s="1" t="n"/>
      <x:c r="Q3" s="1" t="n"/>
    </x:row>
    <x:row r="4">
      <x:c r="A4" s="28" t="n"/>
      <x:c r="B4" s="28" t="n"/>
      <x:c r="C4" s="28" t="n"/>
      <x:c r="D4" s="28" t="n"/>
      <x:c r="E4" s="28" t="n"/>
      <x:c r="F4" s="28" t="n"/>
      <x:c r="G4" s="28" t="n"/>
      <x:c r="H4" s="28" t="n"/>
      <x:c r="I4" s="28" t="n"/>
      <x:c r="J4" s="28" t="n"/>
      <x:c r="K4" s="28" t="n"/>
      <x:c r="L4" s="28" t="n"/>
      <x:c r="M4" s="28" t="n"/>
      <x:c r="N4" s="28" t="n"/>
      <x:c r="O4" s="28" t="n"/>
      <x:c r="P4" s="28" t="n"/>
      <x:c r="Q4" s="28" t="n"/>
    </x:row>
    <x:row r="5" s="44" customFormat="1" ht="34" customHeight="1">
      <x:c r="A5" s="22" t="inlineStr">
        <x:is>
          <x:t xml:space="preserve">Rank</x:t>
        </x:is>
      </x:c>
      <x:c r="B5" s="22" t="inlineStr">
        <x:is>
          <x:t xml:space="preserve">County</x:t>
        </x:is>
      </x:c>
      <x:c r="C5" s="22" t="inlineStr">
        <x:is>
          <x:t xml:space="preserve">State</x:t>
        </x:is>
      </x:c>
      <x:c r="D5" s="22" t="inlineStr">
        <x:is>
          <x:t xml:space="preserve">County FIPS</x:t>
        </x:is>
      </x:c>
      <x:c r="E5" s="22" t="inlineStr">
        <x:is>
          <x:t xml:space="preserve">Whole Foods</x:t>
        </x:is>
      </x:c>
      <x:c r="F5" s="22" t="inlineStr">
        <x:is>
          <x:t xml:space="preserve">Sprouts</x:t>
        </x:is>
      </x:c>
      <x:c r="G5" s="22" t="inlineStr">
        <x:is>
          <x:t xml:space="preserve">The Fresh Market</x:t>
        </x:is>
      </x:c>
      <x:c r="H5" s="22" t="inlineStr">
        <x:is>
          <x:t xml:space="preserve">Fresh Thyme</x:t>
        </x:is>
      </x:c>
      <x:c r="I5" s="22" t="inlineStr">
        <x:is>
          <x:t xml:space="preserve">Wegmans</x:t>
        </x:is>
      </x:c>
      <x:c r="J5" s="22" t="inlineStr">
        <x:is>
          <x:t xml:space="preserve">Presence Floor</x:t>
        </x:is>
      </x:c>
      <x:c r="K5" s="22" t="inlineStr">
        <x:is>
          <x:t xml:space="preserve">Proxy / Lower-Bound Stores</x:t>
        </x:is>
      </x:c>
      <x:c r="L5" s="22" t="inlineStr">
        <x:is>
          <x:t xml:space="preserve">County Land Area (sq mi)</x:t>
        </x:is>
      </x:c>
      <x:c r="M5" s="22" t="inlineStr">
        <x:is>
          <x:t xml:space="preserve">Stores per sq mi</x:t>
        </x:is>
      </x:c>
      <x:c r="N5" s="22" t="inlineStr">
        <x:is>
          <x:t xml:space="preserve">Cities Represented</x:t>
        </x:is>
      </x:c>
      <x:c r="O5" s="22" t="inlineStr">
        <x:is>
          <x:t xml:space="preserve">Data Quality</x:t>
        </x:is>
      </x:c>
      <x:c r="P5" s="22" t="inlineStr">
        <x:is>
          <x:t xml:space="preserve">Notes</x:t>
        </x:is>
      </x:c>
      <x:c r="Q5" s="22" t="inlineStr">
        <x:is>
          <x:t xml:space="preserve">Area Basis</x:t>
        </x:is>
      </x:c>
    </x:row>
    <x:row r="6">
      <x:c r="A6" s="28" t="n">
        <x:v>1</x:v>
      </x:c>
      <x:c r="B6" s="28" t="str">
        <x:v>San Francisco County</x:v>
      </x:c>
      <x:c r="C6" s="28" t="str">
        <x:v>CA</x:v>
      </x:c>
      <x:c r="D6" s="142" t="str">
        <x:v>06075</x:v>
      </x:c>
      <x:c r="E6" s="133" t="n">
        <x:f>SUMIFS('City Density Ranking'!$E$6:$E$974,'City Density Ranking'!$O$6:$O$974,B6,'City Density Ranking'!$C$6:$C$974,C6)</x:f>
        <x:v>8</x:v>
      </x:c>
      <x:c r="F6" s="133" t="n">
        <x:f>SUMIFS('City Density Ranking'!$F$6:$F$974,'City Density Ranking'!$O$6:$O$974,B6,'City Density Ranking'!$C$6:$C$974,C6)</x:f>
        <x:v>0</x:v>
      </x:c>
      <x:c r="G6" s="133" t="n">
        <x:f>SUMIFS('City Density Ranking'!$G$6:$G$974,'City Density Ranking'!$O$6:$O$974,B6,'City Density Ranking'!$C$6:$C$974,C6)</x:f>
        <x:v>0</x:v>
      </x:c>
      <x:c r="H6" s="133" t="n">
        <x:f>SUMIFS('City Density Ranking'!$H$6:$H$974,'City Density Ranking'!$O$6:$O$974,B6,'City Density Ranking'!$C$6:$C$974,C6)</x:f>
        <x:v>0</x:v>
      </x:c>
      <x:c r="I6" s="133" t="n">
        <x:f>SUMIFS('City Density Ranking'!$I$6:$I$974,'City Density Ranking'!$O$6:$O$974,B6,'City Density Ranking'!$C$6:$C$974,C6)</x:f>
        <x:v>0</x:v>
      </x:c>
      <x:c r="J6" s="133" t="n">
        <x:f>SUMIFS('City Density Ranking'!$J$6:$J$974,'City Density Ranking'!$O$6:$O$974,B6,'City Density Ranking'!$C$6:$C$974,C6)</x:f>
        <x:v>0</x:v>
      </x:c>
      <x:c r="K6" s="133" t="n">
        <x:f>SUM(E6:J6)</x:f>
        <x:v>8</x:v>
      </x:c>
      <x:c r="L6" s="204" t="n">
        <x:v>46.914</x:v>
      </x:c>
      <x:c r="M6" s="205" t="n">
        <x:f>IFERROR(K6/L6,0)</x:f>
        <x:v>0.17052479004135226</x:v>
      </x:c>
      <x:c r="N6" s="160" t="str">
        <x:v>San Francisco</x:v>
      </x:c>
      <x:c r="O6" s="160" t="str">
        <x:v>Lower-bound city counts only</x:v>
      </x:c>
      <x:c r="P6" s="160" t="str">
        <x:v>Aggregated from 1 city/municipality screening rows; overlapping catchments are not deduplicated.</x:v>
      </x:c>
      <x:c r="Q6" s="160" t="str">
        <x:v>Verified Census land area (retained)</x:v>
      </x:c>
    </x:row>
    <x:row r="7">
      <x:c r="A7" s="28" t="n">
        <x:v>2</x:v>
      </x:c>
      <x:c r="B7" s="28" t="str">
        <x:v>Bergen County</x:v>
      </x:c>
      <x:c r="C7" s="28" t="str">
        <x:v>NJ</x:v>
      </x:c>
      <x:c r="D7" s="142" t="str">
        <x:v>34003</x:v>
      </x:c>
      <x:c r="E7" s="133" t="n">
        <x:f>SUMIFS('City Density Ranking'!$E$6:$E$974,'City Density Ranking'!$O$6:$O$974,B7,'City Density Ranking'!$C$6:$C$974,C7)</x:f>
        <x:v>3</x:v>
      </x:c>
      <x:c r="F7" s="133" t="n">
        <x:f>SUMIFS('City Density Ranking'!$F$6:$F$974,'City Density Ranking'!$O$6:$O$974,B7,'City Density Ranking'!$C$6:$C$974,C7)</x:f>
        <x:v>0</x:v>
      </x:c>
      <x:c r="G7" s="133" t="n">
        <x:f>SUMIFS('City Density Ranking'!$G$6:$G$974,'City Density Ranking'!$O$6:$O$974,B7,'City Density Ranking'!$C$6:$C$974,C7)</x:f>
        <x:v>0</x:v>
      </x:c>
      <x:c r="H7" s="133" t="n">
        <x:f>SUMIFS('City Density Ranking'!$H$6:$H$974,'City Density Ranking'!$O$6:$O$974,B7,'City Density Ranking'!$C$6:$C$974,C7)</x:f>
        <x:v>0</x:v>
      </x:c>
      <x:c r="I7" s="133" t="n">
        <x:f>SUMIFS('City Density Ranking'!$I$6:$I$974,'City Density Ranking'!$O$6:$O$974,B7,'City Density Ranking'!$C$6:$C$974,C7)</x:f>
        <x:v>0</x:v>
      </x:c>
      <x:c r="J7" s="133" t="n">
        <x:f>SUMIFS('City Density Ranking'!$J$6:$J$974,'City Density Ranking'!$O$6:$O$974,B7,'City Density Ranking'!$C$6:$C$974,C7)</x:f>
        <x:v>36</x:v>
      </x:c>
      <x:c r="K7" s="133" t="n">
        <x:f>SUM(E7:J7)</x:f>
        <x:v>39</x:v>
      </x:c>
      <x:c r="L7" s="204" t="n">
        <x:v>232.797</x:v>
      </x:c>
      <x:c r="M7" s="205" t="n">
        <x:f>IFERROR(K7/L7,0)</x:f>
        <x:v>0.16752793206098016</x:v>
      </x:c>
      <x:c r="N7" s="160" t="str">
        <x:v>Bergenfield Borough, Dumont Borough, East Rutherford Borough, Edgewater Borough, Elmwood Park Borough, Englewood City, Fair Lawn Borough, Fairview Borough, Fort Lee Borough, Franklin Lakes Borough, Garfield City, Glen Rock Borough, Hackensack City, Hasbrouck Heights Borough, Hillsdale Borough, Little Ferry Borough, Lodi Borough, Lyndhurst Township, Mahwah Township, Maywood Borough, New Milford Borough, North Arlington Borough, Oakland Borough, Palisades Park Borough, Paramus Borough, Ramsey Borough, Ridgefield Borough, Ridgefield Park Village, Ridgewood Village, River Edge Borough, Rutherford Borough, Saddle Brook Township, Teaneck Township, Tenafly Borough, Waldwick Borough, Wallington Borough, Westwood Borough, Wood-Ridge Borough, Wyckoff Township</x:v>
      </x:c>
      <x:c r="O7" s="160" t="str">
        <x:v>Includes proxy city rows</x:v>
      </x:c>
      <x:c r="P7" s="160" t="str">
        <x:v>Aggregated from 39 city/municipality screening rows; overlapping catchments are not deduplicated.</x:v>
      </x:c>
      <x:c r="Q7" s="160" t="str">
        <x:v>U.S. Census Bureau 2025 Gazetteer — ALAND_SQMI</x:v>
      </x:c>
    </x:row>
    <x:row r="8">
      <x:c r="A8" s="28" t="n">
        <x:v>3</x:v>
      </x:c>
      <x:c r="B8" s="28" t="str">
        <x:v>Kings County</x:v>
      </x:c>
      <x:c r="C8" s="28" t="str">
        <x:v>NY</x:v>
      </x:c>
      <x:c r="D8" s="142" t="str">
        <x:v>36047</x:v>
      </x:c>
      <x:c r="E8" s="133" t="n">
        <x:f>SUMIFS('City Density Ranking'!$E$6:$E$974,'City Density Ranking'!$O$6:$O$974,B8,'City Density Ranking'!$C$6:$C$974,C8)</x:f>
        <x:v>9</x:v>
      </x:c>
      <x:c r="F8" s="133" t="n">
        <x:f>SUMIFS('City Density Ranking'!$F$6:$F$974,'City Density Ranking'!$O$6:$O$974,B8,'City Density Ranking'!$C$6:$C$974,C8)</x:f>
        <x:v>0</x:v>
      </x:c>
      <x:c r="G8" s="133" t="n">
        <x:f>SUMIFS('City Density Ranking'!$G$6:$G$974,'City Density Ranking'!$O$6:$O$974,B8,'City Density Ranking'!$C$6:$C$974,C8)</x:f>
        <x:v>0</x:v>
      </x:c>
      <x:c r="H8" s="133" t="n">
        <x:f>SUMIFS('City Density Ranking'!$H$6:$H$974,'City Density Ranking'!$O$6:$O$974,B8,'City Density Ranking'!$C$6:$C$974,C8)</x:f>
        <x:v>0</x:v>
      </x:c>
      <x:c r="I8" s="133" t="n">
        <x:f>SUMIFS('City Density Ranking'!$I$6:$I$974,'City Density Ranking'!$O$6:$O$974,B8,'City Density Ranking'!$C$6:$C$974,C8)</x:f>
        <x:v>0</x:v>
      </x:c>
      <x:c r="J8" s="133" t="n">
        <x:f>SUMIFS('City Density Ranking'!$J$6:$J$974,'City Density Ranking'!$O$6:$O$974,B8,'City Density Ranking'!$C$6:$C$974,C8)</x:f>
        <x:v>0</x:v>
      </x:c>
      <x:c r="K8" s="133" t="n">
        <x:f>SUM(E8:J8)</x:f>
        <x:v>9</x:v>
      </x:c>
      <x:c r="L8" s="204" t="n">
        <x:v>69.377</x:v>
      </x:c>
      <x:c r="M8" s="205" t="n">
        <x:f>IFERROR(K8/L8,0)</x:f>
        <x:v>0.1297259898813728</x:v>
      </x:c>
      <x:c r="N8" s="160" t="str">
        <x:v>New York</x:v>
      </x:c>
      <x:c r="O8" s="160" t="str">
        <x:v>Lower-bound city counts only</x:v>
      </x:c>
      <x:c r="P8" s="160" t="str">
        <x:v>Aggregated from 1 city/municipality screening rows; overlapping catchments are not deduplicated.</x:v>
      </x:c>
      <x:c r="Q8" s="160" t="str">
        <x:v>Verified Census land area (retained)</x:v>
      </x:c>
    </x:row>
    <x:row r="9">
      <x:c r="A9" s="28" t="n">
        <x:v>4</x:v>
      </x:c>
      <x:c r="B9" s="28" t="str">
        <x:v>Bristol County</x:v>
      </x:c>
      <x:c r="C9" s="28" t="str">
        <x:v>RI</x:v>
      </x:c>
      <x:c r="D9" s="142" t="str">
        <x:v>44001</x:v>
      </x:c>
      <x:c r="E9" s="133" t="n">
        <x:f>SUMIFS('City Density Ranking'!$E$6:$E$974,'City Density Ranking'!$O$6:$O$974,B9,'City Density Ranking'!$C$6:$C$974,C9)</x:f>
        <x:v>0</x:v>
      </x:c>
      <x:c r="F9" s="133" t="n">
        <x:f>SUMIFS('City Density Ranking'!$F$6:$F$974,'City Density Ranking'!$O$6:$O$974,B9,'City Density Ranking'!$C$6:$C$974,C9)</x:f>
        <x:v>0</x:v>
      </x:c>
      <x:c r="G9" s="133" t="n">
        <x:f>SUMIFS('City Density Ranking'!$G$6:$G$974,'City Density Ranking'!$O$6:$O$974,B9,'City Density Ranking'!$C$6:$C$974,C9)</x:f>
        <x:v>0</x:v>
      </x:c>
      <x:c r="H9" s="133" t="n">
        <x:f>SUMIFS('City Density Ranking'!$H$6:$H$974,'City Density Ranking'!$O$6:$O$974,B9,'City Density Ranking'!$C$6:$C$974,C9)</x:f>
        <x:v>0</x:v>
      </x:c>
      <x:c r="I9" s="133" t="n">
        <x:f>SUMIFS('City Density Ranking'!$I$6:$I$974,'City Density Ranking'!$O$6:$O$974,B9,'City Density Ranking'!$C$6:$C$974,C9)</x:f>
        <x:v>0</x:v>
      </x:c>
      <x:c r="J9" s="133" t="n">
        <x:f>SUMIFS('City Density Ranking'!$J$6:$J$974,'City Density Ranking'!$O$6:$O$974,B9,'City Density Ranking'!$C$6:$C$974,C9)</x:f>
        <x:v>3</x:v>
      </x:c>
      <x:c r="K9" s="133" t="n">
        <x:f>SUM(E9:J9)</x:f>
        <x:v>3</x:v>
      </x:c>
      <x:c r="L9" s="204" t="n">
        <x:v>24.132</x:v>
      </x:c>
      <x:c r="M9" s="205" t="n">
        <x:f>IFERROR(K9/L9,0)</x:f>
        <x:v>0.12431626056688214</x:v>
      </x:c>
      <x:c r="N9" s="160" t="str">
        <x:v>Barrington Town, Bristol Town, Warren Town</x:v>
      </x:c>
      <x:c r="O9" s="160" t="str">
        <x:v>Includes proxy city rows</x:v>
      </x:c>
      <x:c r="P9" s="160" t="str">
        <x:v>Aggregated from 3 city/municipality screening rows; overlapping catchments are not deduplicated.</x:v>
      </x:c>
      <x:c r="Q9" s="160" t="str">
        <x:v>U.S. Census Bureau 2025 Gazetteer — ALAND_SQMI</x:v>
      </x:c>
    </x:row>
    <x:row r="10">
      <x:c r="A10" s="28" t="n">
        <x:v>5</x:v>
      </x:c>
      <x:c r="B10" s="28" t="str">
        <x:v>District of Columbia</x:v>
      </x:c>
      <x:c r="C10" s="28" t="str">
        <x:v>DC</x:v>
      </x:c>
      <x:c r="D10" s="142" t="str">
        <x:v>11001</x:v>
      </x:c>
      <x:c r="E10" s="133" t="n">
        <x:f>SUMIFS('City Density Ranking'!$E$6:$E$974,'City Density Ranking'!$O$6:$O$974,B10,'City Density Ranking'!$C$6:$C$974,C10)</x:f>
        <x:v>5</x:v>
      </x:c>
      <x:c r="F10" s="133" t="n">
        <x:f>SUMIFS('City Density Ranking'!$F$6:$F$974,'City Density Ranking'!$O$6:$O$974,B10,'City Density Ranking'!$C$6:$C$974,C10)</x:f>
        <x:v>0</x:v>
      </x:c>
      <x:c r="G10" s="133" t="n">
        <x:f>SUMIFS('City Density Ranking'!$G$6:$G$974,'City Density Ranking'!$O$6:$O$974,B10,'City Density Ranking'!$C$6:$C$974,C10)</x:f>
        <x:v>0</x:v>
      </x:c>
      <x:c r="H10" s="133" t="n">
        <x:f>SUMIFS('City Density Ranking'!$H$6:$H$974,'City Density Ranking'!$O$6:$O$974,B10,'City Density Ranking'!$C$6:$C$974,C10)</x:f>
        <x:v>0</x:v>
      </x:c>
      <x:c r="I10" s="133" t="n">
        <x:f>SUMIFS('City Density Ranking'!$I$6:$I$974,'City Density Ranking'!$O$6:$O$974,B10,'City Density Ranking'!$C$6:$C$974,C10)</x:f>
        <x:v>1</x:v>
      </x:c>
      <x:c r="J10" s="133" t="n">
        <x:f>SUMIFS('City Density Ranking'!$J$6:$J$974,'City Density Ranking'!$O$6:$O$974,B10,'City Density Ranking'!$C$6:$C$974,C10)</x:f>
        <x:v>0</x:v>
      </x:c>
      <x:c r="K10" s="133" t="n">
        <x:f>SUM(E10:J10)</x:f>
        <x:v>6</x:v>
      </x:c>
      <x:c r="L10" s="204" t="n">
        <x:v>61.126</x:v>
      </x:c>
      <x:c r="M10" s="205" t="n">
        <x:f>IFERROR(K10/L10,0)</x:f>
        <x:v>0.09815790334718451</x:v>
      </x:c>
      <x:c r="N10" s="160" t="str">
        <x:v>Washington</x:v>
      </x:c>
      <x:c r="O10" s="160" t="str">
        <x:v>Lower-bound city counts only</x:v>
      </x:c>
      <x:c r="P10" s="160" t="str">
        <x:v>Aggregated from 1 city/municipality screening rows; overlapping catchments are not deduplicated.</x:v>
      </x:c>
      <x:c r="Q10" s="160" t="str">
        <x:v>Verified Census land area (retained)</x:v>
      </x:c>
    </x:row>
    <x:row r="11">
      <x:c r="A11" s="28" t="n">
        <x:v>6</x:v>
      </x:c>
      <x:c r="B11" s="28" t="str">
        <x:v>Alexandria city</x:v>
      </x:c>
      <x:c r="C11" s="28" t="str">
        <x:v>VA</x:v>
      </x:c>
      <x:c r="D11" s="142" t="str">
        <x:v>51510</x:v>
      </x:c>
      <x:c r="E11" s="133" t="n">
        <x:f>SUMIFS('City Density Ranking'!$E$6:$E$974,'City Density Ranking'!$O$6:$O$974,B11,'City Density Ranking'!$C$6:$C$974,C11)</x:f>
        <x:v>0</x:v>
      </x:c>
      <x:c r="F11" s="133" t="n">
        <x:f>SUMIFS('City Density Ranking'!$F$6:$F$974,'City Density Ranking'!$O$6:$O$974,B11,'City Density Ranking'!$C$6:$C$974,C11)</x:f>
        <x:v>0</x:v>
      </x:c>
      <x:c r="G11" s="133" t="n">
        <x:f>SUMIFS('City Density Ranking'!$G$6:$G$974,'City Density Ranking'!$O$6:$O$974,B11,'City Density Ranking'!$C$6:$C$974,C11)</x:f>
        <x:v>0</x:v>
      </x:c>
      <x:c r="H11" s="133" t="n">
        <x:f>SUMIFS('City Density Ranking'!$H$6:$H$974,'City Density Ranking'!$O$6:$O$974,B11,'City Density Ranking'!$C$6:$C$974,C11)</x:f>
        <x:v>0</x:v>
      </x:c>
      <x:c r="I11" s="133" t="n">
        <x:f>SUMIFS('City Density Ranking'!$I$6:$I$974,'City Density Ranking'!$O$6:$O$974,B11,'City Density Ranking'!$C$6:$C$974,C11)</x:f>
        <x:v>0</x:v>
      </x:c>
      <x:c r="J11" s="133" t="n">
        <x:f>SUMIFS('City Density Ranking'!$J$6:$J$974,'City Density Ranking'!$O$6:$O$974,B11,'City Density Ranking'!$C$6:$C$974,C11)</x:f>
        <x:v>1</x:v>
      </x:c>
      <x:c r="K11" s="133" t="n">
        <x:f>SUM(E11:J11)</x:f>
        <x:v>1</x:v>
      </x:c>
      <x:c r="L11" s="204" t="n">
        <x:v>13.96014461750679</x:v>
      </x:c>
      <x:c r="M11" s="205" t="n">
        <x:f>IFERROR(K11/L11,0)</x:f>
        <x:v>0.071632495751222</x:v>
      </x:c>
      <x:c r="N11" s="160" t="str">
        <x:v>Alexandria</x:v>
      </x:c>
      <x:c r="O11" s="160" t="str">
        <x:v>Includes proxy city rows</x:v>
      </x:c>
      <x:c r="P11" s="160" t="str">
        <x:v>Aggregated from 1 city/municipality screening rows; overlapping catchments are not deduplicated.</x:v>
      </x:c>
      <x:c r="Q11" s="160" t="str">
        <x:v>Estimated county land area: geodesic polygon × 0.896 land/total calibration</x:v>
      </x:c>
    </x:row>
    <x:row r="12">
      <x:c r="A12" s="28" t="n">
        <x:v>7</x:v>
      </x:c>
      <x:c r="B12" s="28" t="str">
        <x:v>Delaware County</x:v>
      </x:c>
      <x:c r="C12" s="28" t="str">
        <x:v>PA</x:v>
      </x:c>
      <x:c r="D12" s="142" t="str">
        <x:v>42045</x:v>
      </x:c>
      <x:c r="E12" s="133" t="n">
        <x:f>SUMIFS('City Density Ranking'!$E$6:$E$974,'City Density Ranking'!$O$6:$O$974,B12,'City Density Ranking'!$C$6:$C$974,C12)</x:f>
        <x:v>0</x:v>
      </x:c>
      <x:c r="F12" s="133" t="n">
        <x:f>SUMIFS('City Density Ranking'!$F$6:$F$974,'City Density Ranking'!$O$6:$O$974,B12,'City Density Ranking'!$C$6:$C$974,C12)</x:f>
        <x:v>0</x:v>
      </x:c>
      <x:c r="G12" s="133" t="n">
        <x:f>SUMIFS('City Density Ranking'!$G$6:$G$974,'City Density Ranking'!$O$6:$O$974,B12,'City Density Ranking'!$C$6:$C$974,C12)</x:f>
        <x:v>0</x:v>
      </x:c>
      <x:c r="H12" s="133" t="n">
        <x:f>SUMIFS('City Density Ranking'!$H$6:$H$974,'City Density Ranking'!$O$6:$O$974,B12,'City Density Ranking'!$C$6:$C$974,C12)</x:f>
        <x:v>0</x:v>
      </x:c>
      <x:c r="I12" s="133" t="n">
        <x:f>SUMIFS('City Density Ranking'!$I$6:$I$974,'City Density Ranking'!$O$6:$O$974,B12,'City Density Ranking'!$C$6:$C$974,C12)</x:f>
        <x:v>0</x:v>
      </x:c>
      <x:c r="J12" s="133" t="n">
        <x:f>SUMIFS('City Density Ranking'!$J$6:$J$974,'City Density Ranking'!$O$6:$O$974,B12,'City Density Ranking'!$C$6:$C$974,C12)</x:f>
        <x:v>13</x:v>
      </x:c>
      <x:c r="K12" s="133" t="n">
        <x:f>SUM(E12:J12)</x:f>
        <x:v>13</x:v>
      </x:c>
      <x:c r="L12" s="204" t="n">
        <x:v>183.808</x:v>
      </x:c>
      <x:c r="M12" s="205" t="n">
        <x:f>IFERROR(K12/L12,0)</x:f>
        <x:v>0.07072597493036212</x:v>
      </x:c>
      <x:c r="N12" s="160" t="str">
        <x:v>Aston Township, Chester City, Concord Township, Darby Borough, Haverford Township, Lansdowne Borough, Marple Township, Nether Providence Township, Radnor Township, Ridley Township, Upper Chichester Township, Upper Darby Township, Yeadon Borough</x:v>
      </x:c>
      <x:c r="O12" s="160" t="str">
        <x:v>Includes proxy city rows</x:v>
      </x:c>
      <x:c r="P12" s="160" t="str">
        <x:v>Aggregated from 13 city/municipality screening rows; overlapping catchments are not deduplicated.</x:v>
      </x:c>
      <x:c r="Q12" s="160" t="str">
        <x:v>U.S. Census Bureau 2025 Gazetteer — ALAND_SQMI</x:v>
      </x:c>
    </x:row>
    <x:row r="13">
      <x:c r="A13" s="28" t="n">
        <x:v>8</x:v>
      </x:c>
      <x:c r="B13" s="28" t="str">
        <x:v>Montgomery County</x:v>
      </x:c>
      <x:c r="C13" s="28" t="str">
        <x:v>PA</x:v>
      </x:c>
      <x:c r="D13" s="142" t="str">
        <x:v>42091</x:v>
      </x:c>
      <x:c r="E13" s="133" t="n">
        <x:f>SUMIFS('City Density Ranking'!$E$6:$E$974,'City Density Ranking'!$O$6:$O$974,B13,'City Density Ranking'!$C$6:$C$974,C13)</x:f>
        <x:v>0</x:v>
      </x:c>
      <x:c r="F13" s="133" t="n">
        <x:f>SUMIFS('City Density Ranking'!$F$6:$F$974,'City Density Ranking'!$O$6:$O$974,B13,'City Density Ranking'!$C$6:$C$974,C13)</x:f>
        <x:v>0</x:v>
      </x:c>
      <x:c r="G13" s="133" t="n">
        <x:f>SUMIFS('City Density Ranking'!$G$6:$G$974,'City Density Ranking'!$O$6:$O$974,B13,'City Density Ranking'!$C$6:$C$974,C13)</x:f>
        <x:v>0</x:v>
      </x:c>
      <x:c r="H13" s="133" t="n">
        <x:f>SUMIFS('City Density Ranking'!$H$6:$H$974,'City Density Ranking'!$O$6:$O$974,B13,'City Density Ranking'!$C$6:$C$974,C13)</x:f>
        <x:v>0</x:v>
      </x:c>
      <x:c r="I13" s="133" t="n">
        <x:f>SUMIFS('City Density Ranking'!$I$6:$I$974,'City Density Ranking'!$O$6:$O$974,B13,'City Density Ranking'!$C$6:$C$974,C13)</x:f>
        <x:v>0</x:v>
      </x:c>
      <x:c r="J13" s="133" t="n">
        <x:f>SUMIFS('City Density Ranking'!$J$6:$J$974,'City Density Ranking'!$O$6:$O$974,B13,'City Density Ranking'!$C$6:$C$974,C13)</x:f>
        <x:v>32</x:v>
      </x:c>
      <x:c r="K13" s="133" t="n">
        <x:f>SUM(E13:J13)</x:f>
        <x:v>32</x:v>
      </x:c>
      <x:c r="L13" s="204" t="n">
        <x:v>482.937</x:v>
      </x:c>
      <x:c r="M13" s="205" t="n">
        <x:f>IFERROR(K13/L13,0)</x:f>
        <x:v>0.06626123076094811</x:v>
      </x:c>
      <x:c r="N13" s="160" t="str">
        <x:v>Abington Township, Cheltenham Township, Douglass Township, East Norriton Township, Franconia Township, Hatfield Township, Horsham Township, Lansdale Borough, Limerick Township, Lower Gwynedd Township, Lower Merion Township, Lower Moreland Township, Lower Pottsgrove Township, Lower Providence Township, Lower Salford Township, Montgomery Township, New Hanover Township, Norristown Municipality, Plymouth Township, Pottstown Borough, Skippack Township, Springfield Township, Towamencin Township, Upper Dublin Township, Upper Gwynedd Township, Upper Merion Township, Upper Moreland Township, Upper Providence Township, West Norriton Township, Whitemarsh Township, Whitpain Township, Worcester Township</x:v>
      </x:c>
      <x:c r="O13" s="160" t="str">
        <x:v>Includes proxy city rows</x:v>
      </x:c>
      <x:c r="P13" s="160" t="str">
        <x:v>Aggregated from 32 city/municipality screening rows; overlapping catchments are not deduplicated.</x:v>
      </x:c>
      <x:c r="Q13" s="160" t="str">
        <x:v>U.S. Census Bureau 2025 Gazetteer — ALAND_SQMI</x:v>
      </x:c>
    </x:row>
    <x:row r="14">
      <x:c r="A14" s="28" t="n">
        <x:v>9</x:v>
      </x:c>
      <x:c r="B14" s="28" t="str">
        <x:v>Suffolk County</x:v>
      </x:c>
      <x:c r="C14" s="28" t="str">
        <x:v>MA</x:v>
      </x:c>
      <x:c r="D14" s="142" t="str">
        <x:v>25025</x:v>
      </x:c>
      <x:c r="E14" s="133" t="n">
        <x:f>SUMIFS('City Density Ranking'!$E$6:$E$974,'City Density Ranking'!$O$6:$O$974,B14,'City Density Ranking'!$C$6:$C$974,C14)</x:f>
        <x:v>3</x:v>
      </x:c>
      <x:c r="F14" s="133" t="n">
        <x:f>SUMIFS('City Density Ranking'!$F$6:$F$974,'City Density Ranking'!$O$6:$O$974,B14,'City Density Ranking'!$C$6:$C$974,C14)</x:f>
        <x:v>0</x:v>
      </x:c>
      <x:c r="G14" s="133" t="n">
        <x:f>SUMIFS('City Density Ranking'!$G$6:$G$974,'City Density Ranking'!$O$6:$O$974,B14,'City Density Ranking'!$C$6:$C$974,C14)</x:f>
        <x:v>0</x:v>
      </x:c>
      <x:c r="H14" s="133" t="n">
        <x:f>SUMIFS('City Density Ranking'!$H$6:$H$974,'City Density Ranking'!$O$6:$O$974,B14,'City Density Ranking'!$C$6:$C$974,C14)</x:f>
        <x:v>0</x:v>
      </x:c>
      <x:c r="I14" s="133" t="n">
        <x:f>SUMIFS('City Density Ranking'!$I$6:$I$974,'City Density Ranking'!$O$6:$O$974,B14,'City Density Ranking'!$C$6:$C$974,C14)</x:f>
        <x:v>0</x:v>
      </x:c>
      <x:c r="J14" s="133" t="n">
        <x:f>SUMIFS('City Density Ranking'!$J$6:$J$974,'City Density Ranking'!$O$6:$O$974,B14,'City Density Ranking'!$C$6:$C$974,C14)</x:f>
        <x:v>0</x:v>
      </x:c>
      <x:c r="K14" s="133" t="n">
        <x:f>SUM(E14:J14)</x:f>
        <x:v>3</x:v>
      </x:c>
      <x:c r="L14" s="204" t="n">
        <x:v>58.253</x:v>
      </x:c>
      <x:c r="M14" s="205" t="n">
        <x:f>IFERROR(K14/L14,0)</x:f>
        <x:v>0.05149949358831305</x:v>
      </x:c>
      <x:c r="N14" s="160" t="str">
        <x:v>Boston</x:v>
      </x:c>
      <x:c r="O14" s="160" t="str">
        <x:v>Lower-bound city counts only</x:v>
      </x:c>
      <x:c r="P14" s="160" t="str">
        <x:v>Aggregated from 1 city/municipality screening rows; overlapping catchments are not deduplicated.</x:v>
      </x:c>
      <x:c r="Q14" s="160" t="str">
        <x:v>Verified Census land area (retained)</x:v>
      </x:c>
    </x:row>
    <x:row r="15">
      <x:c r="A15" s="28" t="n">
        <x:v>10</x:v>
      </x:c>
      <x:c r="B15" s="28" t="str">
        <x:v>Morris County</x:v>
      </x:c>
      <x:c r="C15" s="28" t="str">
        <x:v>NJ</x:v>
      </x:c>
      <x:c r="D15" s="142" t="str">
        <x:v>34027</x:v>
      </x:c>
      <x:c r="E15" s="133" t="n">
        <x:f>SUMIFS('City Density Ranking'!$E$6:$E$974,'City Density Ranking'!$O$6:$O$974,B15,'City Density Ranking'!$C$6:$C$974,C15)</x:f>
        <x:v>1</x:v>
      </x:c>
      <x:c r="F15" s="133" t="n">
        <x:f>SUMIFS('City Density Ranking'!$F$6:$F$974,'City Density Ranking'!$O$6:$O$974,B15,'City Density Ranking'!$C$6:$C$974,C15)</x:f>
        <x:v>0</x:v>
      </x:c>
      <x:c r="G15" s="133" t="n">
        <x:f>SUMIFS('City Density Ranking'!$G$6:$G$974,'City Density Ranking'!$O$6:$O$974,B15,'City Density Ranking'!$C$6:$C$974,C15)</x:f>
        <x:v>0</x:v>
      </x:c>
      <x:c r="H15" s="133" t="n">
        <x:f>SUMIFS('City Density Ranking'!$H$6:$H$974,'City Density Ranking'!$O$6:$O$974,B15,'City Density Ranking'!$C$6:$C$974,C15)</x:f>
        <x:v>0</x:v>
      </x:c>
      <x:c r="I15" s="133" t="n">
        <x:f>SUMIFS('City Density Ranking'!$I$6:$I$974,'City Density Ranking'!$O$6:$O$974,B15,'City Density Ranking'!$C$6:$C$974,C15)</x:f>
        <x:v>0</x:v>
      </x:c>
      <x:c r="J15" s="133" t="n">
        <x:f>SUMIFS('City Density Ranking'!$J$6:$J$974,'City Density Ranking'!$O$6:$O$974,B15,'City Density Ranking'!$C$6:$C$974,C15)</x:f>
        <x:v>20</x:v>
      </x:c>
      <x:c r="K15" s="133" t="n">
        <x:f>SUM(E15:J15)</x:f>
        <x:v>21</x:v>
      </x:c>
      <x:c r="L15" s="204" t="n">
        <x:v>461.027</x:v>
      </x:c>
      <x:c r="M15" s="205" t="n">
        <x:f>IFERROR(K15/L15,0)</x:f>
        <x:v>0.04555047752083934</x:v>
      </x:c>
      <x:c r="N15" s="160" t="str">
        <x:v>Chatham Borough, Chatham Township, Denville Township, Dover Town, East Hanover Township, Florham Park Borough, Hanover Township, Jefferson Township, Kinnelon Borough, Lincoln Park Borough, Madison Borough, Montville Township, Morris Township, Morristown Town, Mount Olive Township, Parsippany-Troy Hills Township, Pequannock Township, Randolph Township, Rockaway Township, Roxbury Township, Washington Township</x:v>
      </x:c>
      <x:c r="O15" s="160" t="str">
        <x:v>Includes proxy city rows</x:v>
      </x:c>
      <x:c r="P15" s="160" t="str">
        <x:v>Aggregated from 21 city/municipality screening rows; overlapping catchments are not deduplicated.</x:v>
      </x:c>
      <x:c r="Q15" s="160" t="str">
        <x:v>U.S. Census Bureau 2025 Gazetteer — ALAND_SQMI</x:v>
      </x:c>
    </x:row>
    <x:row r="16">
      <x:c r="A16" s="28" t="n">
        <x:v>11</x:v>
      </x:c>
      <x:c r="B16" s="28" t="str">
        <x:v>Lake County</x:v>
      </x:c>
      <x:c r="C16" s="28" t="str">
        <x:v>OH</x:v>
      </x:c>
      <x:c r="D16" s="142" t="str">
        <x:v>39085</x:v>
      </x:c>
      <x:c r="E16" s="133" t="n">
        <x:f>SUMIFS('City Density Ranking'!$E$6:$E$974,'City Density Ranking'!$O$6:$O$974,B16,'City Density Ranking'!$C$6:$C$974,C16)</x:f>
        <x:v>0</x:v>
      </x:c>
      <x:c r="F16" s="133" t="n">
        <x:f>SUMIFS('City Density Ranking'!$F$6:$F$974,'City Density Ranking'!$O$6:$O$974,B16,'City Density Ranking'!$C$6:$C$974,C16)</x:f>
        <x:v>0</x:v>
      </x:c>
      <x:c r="G16" s="133" t="n">
        <x:f>SUMIFS('City Density Ranking'!$G$6:$G$974,'City Density Ranking'!$O$6:$O$974,B16,'City Density Ranking'!$C$6:$C$974,C16)</x:f>
        <x:v>0</x:v>
      </x:c>
      <x:c r="H16" s="133" t="n">
        <x:f>SUMIFS('City Density Ranking'!$H$6:$H$974,'City Density Ranking'!$O$6:$O$974,B16,'City Density Ranking'!$C$6:$C$974,C16)</x:f>
        <x:v>0</x:v>
      </x:c>
      <x:c r="I16" s="133" t="n">
        <x:f>SUMIFS('City Density Ranking'!$I$6:$I$974,'City Density Ranking'!$O$6:$O$974,B16,'City Density Ranking'!$C$6:$C$974,C16)</x:f>
        <x:v>0</x:v>
      </x:c>
      <x:c r="J16" s="133" t="n">
        <x:f>SUMIFS('City Density Ranking'!$J$6:$J$974,'City Density Ranking'!$O$6:$O$974,B16,'City Density Ranking'!$C$6:$C$974,C16)</x:f>
        <x:v>9</x:v>
      </x:c>
      <x:c r="K16" s="133" t="n">
        <x:f>SUM(E16:J16)</x:f>
        <x:v>9</x:v>
      </x:c>
      <x:c r="L16" s="204" t="n">
        <x:v>229.27</x:v>
      </x:c>
      <x:c r="M16" s="205" t="n">
        <x:f>IFERROR(K16/L16,0)</x:f>
        <x:v>0.039255026824268326</x:v>
      </x:c>
      <x:c r="N16" s="160" t="str">
        <x:v>Concord Township, Eastlake City, Madison Township, Mentor City, Painesville City, Painesville Township, Wickliffe City, Willoughby City, Willowick City</x:v>
      </x:c>
      <x:c r="O16" s="160" t="str">
        <x:v>Includes proxy city rows</x:v>
      </x:c>
      <x:c r="P16" s="160" t="str">
        <x:v>Aggregated from 9 city/municipality screening rows; overlapping catchments are not deduplicated.</x:v>
      </x:c>
      <x:c r="Q16" s="160" t="str">
        <x:v>U.S. Census Bureau QuickFacts — 2020 land area</x:v>
      </x:c>
    </x:row>
    <x:row r="17">
      <x:c r="A17" s="28" t="n">
        <x:v>12</x:v>
      </x:c>
      <x:c r="B17" s="28" t="str">
        <x:v>Newport County</x:v>
      </x:c>
      <x:c r="C17" s="28" t="str">
        <x:v>RI</x:v>
      </x:c>
      <x:c r="D17" s="142" t="str">
        <x:v>44005</x:v>
      </x:c>
      <x:c r="E17" s="133" t="n">
        <x:f>SUMIFS('City Density Ranking'!$E$6:$E$974,'City Density Ranking'!$O$6:$O$974,B17,'City Density Ranking'!$C$6:$C$974,C17)</x:f>
        <x:v>0</x:v>
      </x:c>
      <x:c r="F17" s="133" t="n">
        <x:f>SUMIFS('City Density Ranking'!$F$6:$F$974,'City Density Ranking'!$O$6:$O$974,B17,'City Density Ranking'!$C$6:$C$974,C17)</x:f>
        <x:v>0</x:v>
      </x:c>
      <x:c r="G17" s="133" t="n">
        <x:f>SUMIFS('City Density Ranking'!$G$6:$G$974,'City Density Ranking'!$O$6:$O$974,B17,'City Density Ranking'!$C$6:$C$974,C17)</x:f>
        <x:v>0</x:v>
      </x:c>
      <x:c r="H17" s="133" t="n">
        <x:f>SUMIFS('City Density Ranking'!$H$6:$H$974,'City Density Ranking'!$O$6:$O$974,B17,'City Density Ranking'!$C$6:$C$974,C17)</x:f>
        <x:v>0</x:v>
      </x:c>
      <x:c r="I17" s="133" t="n">
        <x:f>SUMIFS('City Density Ranking'!$I$6:$I$974,'City Density Ranking'!$O$6:$O$974,B17,'City Density Ranking'!$C$6:$C$974,C17)</x:f>
        <x:v>0</x:v>
      </x:c>
      <x:c r="J17" s="133" t="n">
        <x:f>SUMIFS('City Density Ranking'!$J$6:$J$974,'City Density Ranking'!$O$6:$O$974,B17,'City Density Ranking'!$C$6:$C$974,C17)</x:f>
        <x:v>4</x:v>
      </x:c>
      <x:c r="K17" s="133" t="n">
        <x:f>SUM(E17:J17)</x:f>
        <x:v>4</x:v>
      </x:c>
      <x:c r="L17" s="204" t="n">
        <x:v>102.431</x:v>
      </x:c>
      <x:c r="M17" s="205" t="n">
        <x:f>IFERROR(K17/L17,0)</x:f>
        <x:v>0.039050678017397075</x:v>
      </x:c>
      <x:c r="N17" s="160" t="str">
        <x:v>Middletown Town, Newport City, Portsmouth Town, Tiverton Town</x:v>
      </x:c>
      <x:c r="O17" s="160" t="str">
        <x:v>Includes proxy city rows</x:v>
      </x:c>
      <x:c r="P17" s="160" t="str">
        <x:v>Aggregated from 4 city/municipality screening rows; overlapping catchments are not deduplicated.</x:v>
      </x:c>
      <x:c r="Q17" s="160" t="str">
        <x:v>U.S. Census Bureau 2025 Gazetteer — ALAND_SQMI</x:v>
      </x:c>
    </x:row>
    <x:row r="18">
      <x:c r="A18" s="28" t="n">
        <x:v>13</x:v>
      </x:c>
      <x:c r="B18" s="28" t="str">
        <x:v>Monmouth County</x:v>
      </x:c>
      <x:c r="C18" s="28" t="str">
        <x:v>NJ</x:v>
      </x:c>
      <x:c r="D18" s="142" t="str">
        <x:v>34025</x:v>
      </x:c>
      <x:c r="E18" s="133" t="n">
        <x:f>SUMIFS('City Density Ranking'!$E$6:$E$974,'City Density Ranking'!$O$6:$O$974,B18,'City Density Ranking'!$C$6:$C$974,C18)</x:f>
        <x:v>1</x:v>
      </x:c>
      <x:c r="F18" s="133" t="n">
        <x:f>SUMIFS('City Density Ranking'!$F$6:$F$974,'City Density Ranking'!$O$6:$O$974,B18,'City Density Ranking'!$C$6:$C$974,C18)</x:f>
        <x:v>0</x:v>
      </x:c>
      <x:c r="G18" s="133" t="n">
        <x:f>SUMIFS('City Density Ranking'!$G$6:$G$974,'City Density Ranking'!$O$6:$O$974,B18,'City Density Ranking'!$C$6:$C$974,C18)</x:f>
        <x:v>0</x:v>
      </x:c>
      <x:c r="H18" s="133" t="n">
        <x:f>SUMIFS('City Density Ranking'!$H$6:$H$974,'City Density Ranking'!$O$6:$O$974,B18,'City Density Ranking'!$C$6:$C$974,C18)</x:f>
        <x:v>0</x:v>
      </x:c>
      <x:c r="I18" s="133" t="n">
        <x:f>SUMIFS('City Density Ranking'!$I$6:$I$974,'City Density Ranking'!$O$6:$O$974,B18,'City Density Ranking'!$C$6:$C$974,C18)</x:f>
        <x:v>2</x:v>
      </x:c>
      <x:c r="J18" s="133" t="n">
        <x:f>SUMIFS('City Density Ranking'!$J$6:$J$974,'City Density Ranking'!$O$6:$O$974,B18,'City Density Ranking'!$C$6:$C$974,C18)</x:f>
        <x:v>15</x:v>
      </x:c>
      <x:c r="K18" s="133" t="n">
        <x:f>SUM(E18:J18)</x:f>
        <x:v>18</x:v>
      </x:c>
      <x:c r="L18" s="204" t="n">
        <x:v>468.204</x:v>
      </x:c>
      <x:c r="M18" s="205" t="n">
        <x:f>IFERROR(K18/L18,0)</x:f>
        <x:v>0.038444780480303455</x:v>
      </x:c>
      <x:c r="N18" s="160" t="str">
        <x:v>Aberdeen Township, Asbury Park City, Eatontown Borough, Freehold Borough, Freehold Township, Hazlet Township, Holmdel Township, Howell Township, Long Branch City, Manalapan Township, Marlboro Township, Middletown Township, Millstone Township, Neptune Township, Ocean Township, Red Bank Borough, Tinton Falls Borough, Wall Township</x:v>
      </x:c>
      <x:c r="O18" s="160" t="str">
        <x:v>Includes proxy city rows</x:v>
      </x:c>
      <x:c r="P18" s="160" t="str">
        <x:v>Aggregated from 18 city/municipality screening rows; overlapping catchments are not deduplicated.</x:v>
      </x:c>
      <x:c r="Q18" s="160" t="str">
        <x:v>U.S. Census Bureau 2025 Gazetteer — ALAND_SQMI</x:v>
      </x:c>
    </x:row>
    <x:row r="19">
      <x:c r="A19" s="28" t="n">
        <x:v>14</x:v>
      </x:c>
      <x:c r="B19" s="28" t="str">
        <x:v>Somerset County</x:v>
      </x:c>
      <x:c r="C19" s="28" t="str">
        <x:v>NJ</x:v>
      </x:c>
      <x:c r="D19" s="142" t="str">
        <x:v>34035</x:v>
      </x:c>
      <x:c r="E19" s="133" t="n">
        <x:f>SUMIFS('City Density Ranking'!$E$6:$E$974,'City Density Ranking'!$O$6:$O$974,B19,'City Density Ranking'!$C$6:$C$974,C19)</x:f>
        <x:v>0</x:v>
      </x:c>
      <x:c r="F19" s="133" t="n">
        <x:f>SUMIFS('City Density Ranking'!$F$6:$F$974,'City Density Ranking'!$O$6:$O$974,B19,'City Density Ranking'!$C$6:$C$974,C19)</x:f>
        <x:v>0</x:v>
      </x:c>
      <x:c r="G19" s="133" t="n">
        <x:f>SUMIFS('City Density Ranking'!$G$6:$G$974,'City Density Ranking'!$O$6:$O$974,B19,'City Density Ranking'!$C$6:$C$974,C19)</x:f>
        <x:v>0</x:v>
      </x:c>
      <x:c r="H19" s="133" t="n">
        <x:f>SUMIFS('City Density Ranking'!$H$6:$H$974,'City Density Ranking'!$O$6:$O$974,B19,'City Density Ranking'!$C$6:$C$974,C19)</x:f>
        <x:v>0</x:v>
      </x:c>
      <x:c r="I19" s="133" t="n">
        <x:f>SUMIFS('City Density Ranking'!$I$6:$I$974,'City Density Ranking'!$O$6:$O$974,B19,'City Density Ranking'!$C$6:$C$974,C19)</x:f>
        <x:v>0</x:v>
      </x:c>
      <x:c r="J19" s="133" t="n">
        <x:f>SUMIFS('City Density Ranking'!$J$6:$J$974,'City Density Ranking'!$O$6:$O$974,B19,'City Density Ranking'!$C$6:$C$974,C19)</x:f>
        <x:v>11</x:v>
      </x:c>
      <x:c r="K19" s="133" t="n">
        <x:f>SUM(E19:J19)</x:f>
        <x:v>11</x:v>
      </x:c>
      <x:c r="L19" s="204" t="n">
        <x:v>301.873</x:v>
      </x:c>
      <x:c r="M19" s="205" t="n">
        <x:f>IFERROR(K19/L19,0)</x:f>
        <x:v>0.03643916481434246</x:v>
      </x:c>
      <x:c r="N19" s="160" t="str">
        <x:v>Bernards Township, Bound Brook Borough, Branchburg Township, Bridgewater Township, Franklin Township, Hillsborough Township, Manville Borough, Montgomery Township, North Plainfield Borough, Somerville Borough, Warren Township</x:v>
      </x:c>
      <x:c r="O19" s="160" t="str">
        <x:v>Includes proxy city rows</x:v>
      </x:c>
      <x:c r="P19" s="160" t="str">
        <x:v>Aggregated from 11 city/municipality screening rows; overlapping catchments are not deduplicated.</x:v>
      </x:c>
      <x:c r="Q19" s="160" t="str">
        <x:v>U.S. Census Bureau 2025 Gazetteer — ALAND_SQMI</x:v>
      </x:c>
    </x:row>
    <x:row r="20">
      <x:c r="A20" s="28" t="n">
        <x:v>15</x:v>
      </x:c>
      <x:c r="B20" s="28" t="str">
        <x:v>Richmond city</x:v>
      </x:c>
      <x:c r="C20" s="28" t="str">
        <x:v>VA</x:v>
      </x:c>
      <x:c r="D20" s="142" t="str">
        <x:v>51760</x:v>
      </x:c>
      <x:c r="E20" s="133" t="n">
        <x:f>SUMIFS('City Density Ranking'!$E$6:$E$974,'City Density Ranking'!$O$6:$O$974,B20,'City Density Ranking'!$C$6:$C$974,C20)</x:f>
        <x:v>0</x:v>
      </x:c>
      <x:c r="F20" s="133" t="n">
        <x:f>SUMIFS('City Density Ranking'!$F$6:$F$974,'City Density Ranking'!$O$6:$O$974,B20,'City Density Ranking'!$C$6:$C$974,C20)</x:f>
        <x:v>0</x:v>
      </x:c>
      <x:c r="G20" s="133" t="n">
        <x:f>SUMIFS('City Density Ranking'!$G$6:$G$974,'City Density Ranking'!$O$6:$O$974,B20,'City Density Ranking'!$C$6:$C$974,C20)</x:f>
        <x:v>2</x:v>
      </x:c>
      <x:c r="H20" s="133" t="n">
        <x:f>SUMIFS('City Density Ranking'!$H$6:$H$974,'City Density Ranking'!$O$6:$O$974,B20,'City Density Ranking'!$C$6:$C$974,C20)</x:f>
        <x:v>0</x:v>
      </x:c>
      <x:c r="I20" s="133" t="n">
        <x:f>SUMIFS('City Density Ranking'!$I$6:$I$974,'City Density Ranking'!$O$6:$O$974,B20,'City Density Ranking'!$C$6:$C$974,C20)</x:f>
        <x:v>0</x:v>
      </x:c>
      <x:c r="J20" s="133" t="n">
        <x:f>SUMIFS('City Density Ranking'!$J$6:$J$974,'City Density Ranking'!$O$6:$O$974,B20,'City Density Ranking'!$C$6:$C$974,C20)</x:f>
        <x:v>0</x:v>
      </x:c>
      <x:c r="K20" s="133" t="n">
        <x:f>SUM(E20:J20)</x:f>
        <x:v>2</x:v>
      </x:c>
      <x:c r="L20" s="204" t="n">
        <x:v>59.925</x:v>
      </x:c>
      <x:c r="M20" s="205" t="n">
        <x:f>IFERROR(K20/L20,0)</x:f>
        <x:v>0.033375052148518984</x:v>
      </x:c>
      <x:c r="N20" s="160" t="str">
        <x:v>Richmond</x:v>
      </x:c>
      <x:c r="O20" s="160" t="str">
        <x:v>Lower-bound city counts only</x:v>
      </x:c>
      <x:c r="P20" s="160" t="str">
        <x:v>Aggregated from 1 city/municipality screening rows; overlapping catchments are not deduplicated.</x:v>
      </x:c>
      <x:c r="Q20" s="160" t="str">
        <x:v>Verified Census land area (retained)</x:v>
      </x:c>
    </x:row>
    <x:row r="21">
      <x:c r="A21" s="28" t="n">
        <x:v>16</x:v>
      </x:c>
      <x:c r="B21" s="28" t="str">
        <x:v>Bucks County</x:v>
      </x:c>
      <x:c r="C21" s="28" t="str">
        <x:v>PA</x:v>
      </x:c>
      <x:c r="D21" s="142" t="str">
        <x:v>42017</x:v>
      </x:c>
      <x:c r="E21" s="133" t="n">
        <x:f>SUMIFS('City Density Ranking'!$E$6:$E$974,'City Density Ranking'!$O$6:$O$974,B21,'City Density Ranking'!$C$6:$C$974,C21)</x:f>
        <x:v>0</x:v>
      </x:c>
      <x:c r="F21" s="133" t="n">
        <x:f>SUMIFS('City Density Ranking'!$F$6:$F$974,'City Density Ranking'!$O$6:$O$974,B21,'City Density Ranking'!$C$6:$C$974,C21)</x:f>
        <x:v>0</x:v>
      </x:c>
      <x:c r="G21" s="133" t="n">
        <x:f>SUMIFS('City Density Ranking'!$G$6:$G$974,'City Density Ranking'!$O$6:$O$974,B21,'City Density Ranking'!$C$6:$C$974,C21)</x:f>
        <x:v>0</x:v>
      </x:c>
      <x:c r="H21" s="133" t="n">
        <x:f>SUMIFS('City Density Ranking'!$H$6:$H$974,'City Density Ranking'!$O$6:$O$974,B21,'City Density Ranking'!$C$6:$C$974,C21)</x:f>
        <x:v>0</x:v>
      </x:c>
      <x:c r="I21" s="133" t="n">
        <x:f>SUMIFS('City Density Ranking'!$I$6:$I$974,'City Density Ranking'!$O$6:$O$974,B21,'City Density Ranking'!$C$6:$C$974,C21)</x:f>
        <x:v>1</x:v>
      </x:c>
      <x:c r="J21" s="133" t="n">
        <x:f>SUMIFS('City Density Ranking'!$J$6:$J$974,'City Density Ranking'!$O$6:$O$974,B21,'City Density Ranking'!$C$6:$C$974,C21)</x:f>
        <x:v>18</x:v>
      </x:c>
      <x:c r="K21" s="133" t="n">
        <x:f>SUM(E21:J21)</x:f>
        <x:v>19</x:v>
      </x:c>
      <x:c r="L21" s="204" t="n">
        <x:v>604.436</x:v>
      </x:c>
      <x:c r="M21" s="205" t="n">
        <x:f>IFERROR(K21/L21,0)</x:f>
        <x:v>0.03143426268455221</x:v>
      </x:c>
      <x:c r="N21" s="160" t="str">
        <x:v>Bensalem Township, Bristol Township, Buckingham Township, Doylestown Township, Falls Township, Hilltown Township, Lower Makefield Township, Lower Southampton Township, Middletown Township, Milford Township, New Britain Township, Newtown Township, Northampton Township, Plumstead Township, Richland Township, Upper Southampton Township, Warminster Township, Warrington Township, Warwick Township</x:v>
      </x:c>
      <x:c r="O21" s="160" t="str">
        <x:v>Includes proxy city rows</x:v>
      </x:c>
      <x:c r="P21" s="160" t="str">
        <x:v>Aggregated from 19 city/municipality screening rows; overlapping catchments are not deduplicated.</x:v>
      </x:c>
      <x:c r="Q21" s="160" t="str">
        <x:v>U.S. Census Bureau 2025 Gazetteer — ALAND_SQMI</x:v>
      </x:c>
    </x:row>
    <x:row r="22">
      <x:c r="A22" s="28" t="n">
        <x:v>17</x:v>
      </x:c>
      <x:c r="B22" s="28" t="str">
        <x:v>Rockland County</x:v>
      </x:c>
      <x:c r="C22" s="28" t="str">
        <x:v>NY</x:v>
      </x:c>
      <x:c r="D22" s="142" t="str">
        <x:v>36087</x:v>
      </x:c>
      <x:c r="E22" s="133" t="n">
        <x:f>SUMIFS('City Density Ranking'!$E$6:$E$974,'City Density Ranking'!$O$6:$O$974,B22,'City Density Ranking'!$C$6:$C$974,C22)</x:f>
        <x:v>0</x:v>
      </x:c>
      <x:c r="F22" s="133" t="n">
        <x:f>SUMIFS('City Density Ranking'!$F$6:$F$974,'City Density Ranking'!$O$6:$O$974,B22,'City Density Ranking'!$C$6:$C$974,C22)</x:f>
        <x:v>0</x:v>
      </x:c>
      <x:c r="G22" s="133" t="n">
        <x:f>SUMIFS('City Density Ranking'!$G$6:$G$974,'City Density Ranking'!$O$6:$O$974,B22,'City Density Ranking'!$C$6:$C$974,C22)</x:f>
        <x:v>0</x:v>
      </x:c>
      <x:c r="H22" s="133" t="n">
        <x:f>SUMIFS('City Density Ranking'!$H$6:$H$974,'City Density Ranking'!$O$6:$O$974,B22,'City Density Ranking'!$C$6:$C$974,C22)</x:f>
        <x:v>0</x:v>
      </x:c>
      <x:c r="I22" s="133" t="n">
        <x:f>SUMIFS('City Density Ranking'!$I$6:$I$974,'City Density Ranking'!$O$6:$O$974,B22,'City Density Ranking'!$C$6:$C$974,C22)</x:f>
        <x:v>0</x:v>
      </x:c>
      <x:c r="J22" s="133" t="n">
        <x:f>SUMIFS('City Density Ranking'!$J$6:$J$974,'City Density Ranking'!$O$6:$O$974,B22,'City Density Ranking'!$C$6:$C$974,C22)</x:f>
        <x:v>5</x:v>
      </x:c>
      <x:c r="K22" s="133" t="n">
        <x:f>SUM(E22:J22)</x:f>
        <x:v>5</x:v>
      </x:c>
      <x:c r="L22" s="204" t="n">
        <x:v>173.44</x:v>
      </x:c>
      <x:c r="M22" s="205" t="n">
        <x:f>IFERROR(K22/L22,0)</x:f>
        <x:v>0.028828413284132843</x:v>
      </x:c>
      <x:c r="N22" s="160" t="str">
        <x:v>Clarkstown Town, Haverstraw Town, Orangetown Town, Ramapo Town, Stony Point Town</x:v>
      </x:c>
      <x:c r="O22" s="160" t="str">
        <x:v>Includes proxy city rows</x:v>
      </x:c>
      <x:c r="P22" s="160" t="str">
        <x:v>Aggregated from 5 city/municipality screening rows; overlapping catchments are not deduplicated.</x:v>
      </x:c>
      <x:c r="Q22" s="160" t="str">
        <x:v>U.S. Census Bureau QuickFacts — 2020 land area</x:v>
      </x:c>
    </x:row>
    <x:row r="23">
      <x:c r="A23" s="28" t="n">
        <x:v>18</x:v>
      </x:c>
      <x:c r="B23" s="28" t="str">
        <x:v>Gloucester County</x:v>
      </x:c>
      <x:c r="C23" s="28" t="str">
        <x:v>NJ</x:v>
      </x:c>
      <x:c r="D23" s="142" t="str">
        <x:v>34015</x:v>
      </x:c>
      <x:c r="E23" s="133" t="n">
        <x:f>SUMIFS('City Density Ranking'!$E$6:$E$974,'City Density Ranking'!$O$6:$O$974,B23,'City Density Ranking'!$C$6:$C$974,C23)</x:f>
        <x:v>0</x:v>
      </x:c>
      <x:c r="F23" s="133" t="n">
        <x:f>SUMIFS('City Density Ranking'!$F$6:$F$974,'City Density Ranking'!$O$6:$O$974,B23,'City Density Ranking'!$C$6:$C$974,C23)</x:f>
        <x:v>0</x:v>
      </x:c>
      <x:c r="G23" s="133" t="n">
        <x:f>SUMIFS('City Density Ranking'!$G$6:$G$974,'City Density Ranking'!$O$6:$O$974,B23,'City Density Ranking'!$C$6:$C$974,C23)</x:f>
        <x:v>0</x:v>
      </x:c>
      <x:c r="H23" s="133" t="n">
        <x:f>SUMIFS('City Density Ranking'!$H$6:$H$974,'City Density Ranking'!$O$6:$O$974,B23,'City Density Ranking'!$C$6:$C$974,C23)</x:f>
        <x:v>0</x:v>
      </x:c>
      <x:c r="I23" s="133" t="n">
        <x:f>SUMIFS('City Density Ranking'!$I$6:$I$974,'City Density Ranking'!$O$6:$O$974,B23,'City Density Ranking'!$C$6:$C$974,C23)</x:f>
        <x:v>0</x:v>
      </x:c>
      <x:c r="J23" s="133" t="n">
        <x:f>SUMIFS('City Density Ranking'!$J$6:$J$974,'City Density Ranking'!$O$6:$O$974,B23,'City Density Ranking'!$C$6:$C$974,C23)</x:f>
        <x:v>9</x:v>
      </x:c>
      <x:c r="K23" s="133" t="n">
        <x:f>SUM(E23:J23)</x:f>
        <x:v>9</x:v>
      </x:c>
      <x:c r="L23" s="204" t="n">
        <x:v>322.009</x:v>
      </x:c>
      <x:c r="M23" s="205" t="n">
        <x:f>IFERROR(K23/L23,0)</x:f>
        <x:v>0.027949529360980593</x:v>
      </x:c>
      <x:c r="N23" s="160" t="str">
        <x:v>Deptford Township, East Greenwich Township, Glassboro Borough, Harrison Township, Mantua Township, Monroe Township, West Deptford Township, Woodbury City, Woolwich Township</x:v>
      </x:c>
      <x:c r="O23" s="160" t="str">
        <x:v>Includes proxy city rows</x:v>
      </x:c>
      <x:c r="P23" s="160" t="str">
        <x:v>Aggregated from 9 city/municipality screening rows; overlapping catchments are not deduplicated.</x:v>
      </x:c>
      <x:c r="Q23" s="160" t="str">
        <x:v>U.S. Census Bureau 2025 Gazetteer — ALAND_SQMI</x:v>
      </x:c>
    </x:row>
    <x:row r="24">
      <x:c r="A24" s="28" t="n">
        <x:v>19</x:v>
      </x:c>
      <x:c r="B24" s="28" t="str">
        <x:v>Orange County</x:v>
      </x:c>
      <x:c r="C24" s="28" t="str">
        <x:v>CA</x:v>
      </x:c>
      <x:c r="D24" s="142" t="str">
        <x:v>06059</x:v>
      </x:c>
      <x:c r="E24" s="133" t="n">
        <x:f>SUMIFS('City Density Ranking'!$E$6:$E$974,'City Density Ranking'!$O$6:$O$974,B24,'City Density Ranking'!$C$6:$C$974,C24)</x:f>
        <x:v>1</x:v>
      </x:c>
      <x:c r="F24" s="133" t="n">
        <x:f>SUMIFS('City Density Ranking'!$F$6:$F$974,'City Density Ranking'!$O$6:$O$974,B24,'City Density Ranking'!$C$6:$C$974,C24)</x:f>
        <x:v>0</x:v>
      </x:c>
      <x:c r="G24" s="133" t="n">
        <x:f>SUMIFS('City Density Ranking'!$G$6:$G$974,'City Density Ranking'!$O$6:$O$974,B24,'City Density Ranking'!$C$6:$C$974,C24)</x:f>
        <x:v>0</x:v>
      </x:c>
      <x:c r="H24" s="133" t="n">
        <x:f>SUMIFS('City Density Ranking'!$H$6:$H$974,'City Density Ranking'!$O$6:$O$974,B24,'City Density Ranking'!$C$6:$C$974,C24)</x:f>
        <x:v>0</x:v>
      </x:c>
      <x:c r="I24" s="133" t="n">
        <x:f>SUMIFS('City Density Ranking'!$I$6:$I$974,'City Density Ranking'!$O$6:$O$974,B24,'City Density Ranking'!$C$6:$C$974,C24)</x:f>
        <x:v>0</x:v>
      </x:c>
      <x:c r="J24" s="133" t="n">
        <x:f>SUMIFS('City Density Ranking'!$J$6:$J$974,'City Density Ranking'!$O$6:$O$974,B24,'City Density Ranking'!$C$6:$C$974,C24)</x:f>
        <x:v>19</x:v>
      </x:c>
      <x:c r="K24" s="133" t="n">
        <x:f>SUM(E24:J24)</x:f>
        <x:v>20</x:v>
      </x:c>
      <x:c r="L24" s="204" t="n">
        <x:v>792.852</x:v>
      </x:c>
      <x:c r="M24" s="205" t="n">
        <x:f>IFERROR(K24/L24,0)</x:f>
        <x:v>0.025225388849369115</x:v>
      </x:c>
      <x:c r="N24" s="160" t="str">
        <x:v>Anaheim, Buena Park, Costa Mesa, Fountain Valley, Fullerton, Garden Grove, Huntington Beach, Irvine, La Habra, Laguna Niguel, Lake Forest, Mission Viejo, Newport Beach, Orange, Placentia, San Clemente, Santa Ana, Tustin, Westminster, Yorba Linda</x:v>
      </x:c>
      <x:c r="O24" s="160" t="str">
        <x:v>Includes proxy city rows</x:v>
      </x:c>
      <x:c r="P24" s="160" t="str">
        <x:v>Aggregated from 20 city/municipality screening rows; overlapping catchments are not deduplicated.</x:v>
      </x:c>
      <x:c r="Q24" s="160" t="str">
        <x:v>Verified Census land area (retained)</x:v>
      </x:c>
    </x:row>
    <x:row r="25">
      <x:c r="A25" s="28" t="n">
        <x:v>20</x:v>
      </x:c>
      <x:c r="B25" s="28" t="str">
        <x:v>Cook County</x:v>
      </x:c>
      <x:c r="C25" s="28" t="str">
        <x:v>IL</x:v>
      </x:c>
      <x:c r="D25" s="142" t="str">
        <x:v>17031</x:v>
      </x:c>
      <x:c r="E25" s="133" t="n">
        <x:f>SUMIFS('City Density Ranking'!$E$6:$E$974,'City Density Ranking'!$O$6:$O$974,B25,'City Density Ranking'!$C$6:$C$974,C25)</x:f>
        <x:v>8</x:v>
      </x:c>
      <x:c r="F25" s="133" t="n">
        <x:f>SUMIFS('City Density Ranking'!$F$6:$F$974,'City Density Ranking'!$O$6:$O$974,B25,'City Density Ranking'!$C$6:$C$974,C25)</x:f>
        <x:v>0</x:v>
      </x:c>
      <x:c r="G25" s="133" t="n">
        <x:f>SUMIFS('City Density Ranking'!$G$6:$G$974,'City Density Ranking'!$O$6:$O$974,B25,'City Density Ranking'!$C$6:$C$974,C25)</x:f>
        <x:v>0</x:v>
      </x:c>
      <x:c r="H25" s="133" t="n">
        <x:f>SUMIFS('City Density Ranking'!$H$6:$H$974,'City Density Ranking'!$O$6:$O$974,B25,'City Density Ranking'!$C$6:$C$974,C25)</x:f>
        <x:v>1</x:v>
      </x:c>
      <x:c r="I25" s="133" t="n">
        <x:f>SUMIFS('City Density Ranking'!$I$6:$I$974,'City Density Ranking'!$O$6:$O$974,B25,'City Density Ranking'!$C$6:$C$974,C25)</x:f>
        <x:v>0</x:v>
      </x:c>
      <x:c r="J25" s="133" t="n">
        <x:f>SUMIFS('City Density Ranking'!$J$6:$J$974,'City Density Ranking'!$O$6:$O$974,B25,'City Density Ranking'!$C$6:$C$974,C25)</x:f>
        <x:v>14</x:v>
      </x:c>
      <x:c r="K25" s="133" t="n">
        <x:f>SUM(E25:J25)</x:f>
        <x:v>23</x:v>
      </x:c>
      <x:c r="L25" s="204" t="n">
        <x:v>944.927</x:v>
      </x:c>
      <x:c r="M25" s="205" t="n">
        <x:f>IFERROR(K25/L25,0)</x:f>
        <x:v>0.02434050461040906</x:v>
      </x:c>
      <x:c r="N25" s="160" t="str">
        <x:v>Arlington Heights, Berwyn, Chicago, Cicero, Des Plaines, Evanston, Hoffman Estates, Mount Prospect, Oak Lawn, Oak Park, Orland Park, Palatine, Schaumburg, Skokie, Tinley Park</x:v>
      </x:c>
      <x:c r="O25" s="160" t="str">
        <x:v>Includes proxy city rows</x:v>
      </x:c>
      <x:c r="P25" s="160" t="str">
        <x:v>Aggregated from 15 city/municipality screening rows; overlapping catchments are not deduplicated.</x:v>
      </x:c>
      <x:c r="Q25" s="160" t="str">
        <x:v>Verified Census land area (retained)</x:v>
      </x:c>
    </x:row>
    <x:row r="26">
      <x:c r="A26" s="28" t="n">
        <x:v>21</x:v>
      </x:c>
      <x:c r="B26" s="28" t="str">
        <x:v>Barnstable County</x:v>
      </x:c>
      <x:c r="C26" s="28" t="str">
        <x:v>MA</x:v>
      </x:c>
      <x:c r="D26" s="142" t="str">
        <x:v>25001</x:v>
      </x:c>
      <x:c r="E26" s="133" t="n">
        <x:f>SUMIFS('City Density Ranking'!$E$6:$E$974,'City Density Ranking'!$O$6:$O$974,B26,'City Density Ranking'!$C$6:$C$974,C26)</x:f>
        <x:v>0</x:v>
      </x:c>
      <x:c r="F26" s="133" t="n">
        <x:f>SUMIFS('City Density Ranking'!$F$6:$F$974,'City Density Ranking'!$O$6:$O$974,B26,'City Density Ranking'!$C$6:$C$974,C26)</x:f>
        <x:v>0</x:v>
      </x:c>
      <x:c r="G26" s="133" t="n">
        <x:f>SUMIFS('City Density Ranking'!$G$6:$G$974,'City Density Ranking'!$O$6:$O$974,B26,'City Density Ranking'!$C$6:$C$974,C26)</x:f>
        <x:v>0</x:v>
      </x:c>
      <x:c r="H26" s="133" t="n">
        <x:f>SUMIFS('City Density Ranking'!$H$6:$H$974,'City Density Ranking'!$O$6:$O$974,B26,'City Density Ranking'!$C$6:$C$974,C26)</x:f>
        <x:v>0</x:v>
      </x:c>
      <x:c r="I26" s="133" t="n">
        <x:f>SUMIFS('City Density Ranking'!$I$6:$I$974,'City Density Ranking'!$O$6:$O$974,B26,'City Density Ranking'!$C$6:$C$974,C26)</x:f>
        <x:v>0</x:v>
      </x:c>
      <x:c r="J26" s="133" t="n">
        <x:f>SUMIFS('City Density Ranking'!$J$6:$J$974,'City Density Ranking'!$O$6:$O$974,B26,'City Density Ranking'!$C$6:$C$974,C26)</x:f>
        <x:v>9</x:v>
      </x:c>
      <x:c r="K26" s="133" t="n">
        <x:f>SUM(E26:J26)</x:f>
        <x:v>9</x:v>
      </x:c>
      <x:c r="L26" s="204" t="n">
        <x:v>394.18</x:v>
      </x:c>
      <x:c r="M26" s="205" t="n">
        <x:f>IFERROR(K26/L26,0)</x:f>
        <x:v>0.02283220863564869</x:v>
      </x:c>
      <x:c r="N26" s="160" t="str">
        <x:v>Barnstable Town City, Bourne Town, Brewster Town, Dennis Town, Falmouth Town, Harwich Town, Mashpee Town, Sandwich Town, Yarmouth Town</x:v>
      </x:c>
      <x:c r="O26" s="160" t="str">
        <x:v>Includes proxy city rows</x:v>
      </x:c>
      <x:c r="P26" s="160" t="str">
        <x:v>Aggregated from 9 city/municipality screening rows; overlapping catchments are not deduplicated.</x:v>
      </x:c>
      <x:c r="Q26" s="160" t="str">
        <x:v>U.S. Census Bureau QuickFacts / TIGER — land area</x:v>
      </x:c>
    </x:row>
    <x:row r="27">
      <x:c r="A27" s="28" t="n">
        <x:v>22</x:v>
      </x:c>
      <x:c r="B27" s="28" t="str">
        <x:v>Chester County</x:v>
      </x:c>
      <x:c r="C27" s="28" t="str">
        <x:v>PA</x:v>
      </x:c>
      <x:c r="D27" s="142" t="str">
        <x:v>42029</x:v>
      </x:c>
      <x:c r="E27" s="133" t="n">
        <x:f>SUMIFS('City Density Ranking'!$E$6:$E$974,'City Density Ranking'!$O$6:$O$974,B27,'City Density Ranking'!$C$6:$C$974,C27)</x:f>
        <x:v>0</x:v>
      </x:c>
      <x:c r="F27" s="133" t="n">
        <x:f>SUMIFS('City Density Ranking'!$F$6:$F$974,'City Density Ranking'!$O$6:$O$974,B27,'City Density Ranking'!$C$6:$C$974,C27)</x:f>
        <x:v>0</x:v>
      </x:c>
      <x:c r="G27" s="133" t="n">
        <x:f>SUMIFS('City Density Ranking'!$G$6:$G$974,'City Density Ranking'!$O$6:$O$974,B27,'City Density Ranking'!$C$6:$C$974,C27)</x:f>
        <x:v>0</x:v>
      </x:c>
      <x:c r="H27" s="133" t="n">
        <x:f>SUMIFS('City Density Ranking'!$H$6:$H$974,'City Density Ranking'!$O$6:$O$974,B27,'City Density Ranking'!$C$6:$C$974,C27)</x:f>
        <x:v>0</x:v>
      </x:c>
      <x:c r="I27" s="133" t="n">
        <x:f>SUMIFS('City Density Ranking'!$I$6:$I$974,'City Density Ranking'!$O$6:$O$974,B27,'City Density Ranking'!$C$6:$C$974,C27)</x:f>
        <x:v>0</x:v>
      </x:c>
      <x:c r="J27" s="133" t="n">
        <x:f>SUMIFS('City Density Ranking'!$J$6:$J$974,'City Density Ranking'!$O$6:$O$974,B27,'City Density Ranking'!$C$6:$C$974,C27)</x:f>
        <x:v>17</x:v>
      </x:c>
      <x:c r="K27" s="133" t="n">
        <x:f>SUM(E27:J27)</x:f>
        <x:v>17</x:v>
      </x:c>
      <x:c r="L27" s="204" t="n">
        <x:v>750.553</x:v>
      </x:c>
      <x:c r="M27" s="205" t="n">
        <x:f>IFERROR(K27/L27,0)</x:f>
        <x:v>0.02264996609166841</x:v>
      </x:c>
      <x:c r="N27" s="160" t="str">
        <x:v>Caln Township, Coatesville City, East Bradford Township, East Goshen Township, East Whiteland Township, Easttown Township, New Garden Township, Phoenixville Borough, Tredyffrin Township, Upper Uwchlan Township, Uwchlan Township, West Bradford Township, West Chester Borough, West Goshen Township, West Whiteland Township, Westtown Township, Willistown Township</x:v>
      </x:c>
      <x:c r="O27" s="160" t="str">
        <x:v>Includes proxy city rows</x:v>
      </x:c>
      <x:c r="P27" s="160" t="str">
        <x:v>Aggregated from 17 city/municipality screening rows; overlapping catchments are not deduplicated.</x:v>
      </x:c>
      <x:c r="Q27" s="160" t="str">
        <x:v>U.S. Census Bureau 2025 Gazetteer — ALAND_SQMI</x:v>
      </x:c>
    </x:row>
    <x:row r="28">
      <x:c r="A28" s="28" t="n">
        <x:v>23</x:v>
      </x:c>
      <x:c r="B28" s="28" t="str">
        <x:v>Warren County</x:v>
      </x:c>
      <x:c r="C28" s="28" t="str">
        <x:v>OH</x:v>
      </x:c>
      <x:c r="D28" s="142" t="str">
        <x:v>39165</x:v>
      </x:c>
      <x:c r="E28" s="133" t="n">
        <x:f>SUMIFS('City Density Ranking'!$E$6:$E$974,'City Density Ranking'!$O$6:$O$974,B28,'City Density Ranking'!$C$6:$C$974,C28)</x:f>
        <x:v>1</x:v>
      </x:c>
      <x:c r="F28" s="133" t="n">
        <x:f>SUMIFS('City Density Ranking'!$F$6:$F$974,'City Density Ranking'!$O$6:$O$974,B28,'City Density Ranking'!$C$6:$C$974,C28)</x:f>
        <x:v>0</x:v>
      </x:c>
      <x:c r="G28" s="133" t="n">
        <x:f>SUMIFS('City Density Ranking'!$G$6:$G$974,'City Density Ranking'!$O$6:$O$974,B28,'City Density Ranking'!$C$6:$C$974,C28)</x:f>
        <x:v>0</x:v>
      </x:c>
      <x:c r="H28" s="133" t="n">
        <x:f>SUMIFS('City Density Ranking'!$H$6:$H$974,'City Density Ranking'!$O$6:$O$974,B28,'City Density Ranking'!$C$6:$C$974,C28)</x:f>
        <x:v>0</x:v>
      </x:c>
      <x:c r="I28" s="133" t="n">
        <x:f>SUMIFS('City Density Ranking'!$I$6:$I$974,'City Density Ranking'!$O$6:$O$974,B28,'City Density Ranking'!$C$6:$C$974,C28)</x:f>
        <x:v>0</x:v>
      </x:c>
      <x:c r="J28" s="133" t="n">
        <x:f>SUMIFS('City Density Ranking'!$J$6:$J$974,'City Density Ranking'!$O$6:$O$974,B28,'City Density Ranking'!$C$6:$C$974,C28)</x:f>
        <x:v>8</x:v>
      </x:c>
      <x:c r="K28" s="133" t="n">
        <x:f>SUM(E28:J28)</x:f>
        <x:v>9</x:v>
      </x:c>
      <x:c r="L28" s="204" t="n">
        <x:v>401.43</x:v>
      </x:c>
      <x:c r="M28" s="205" t="n">
        <x:f>IFERROR(K28/L28,0)</x:f>
        <x:v>0.022419849039683134</x:v>
      </x:c>
      <x:c r="N28" s="160" t="str">
        <x:v>Clear Creek Township, Deerfield Township, Franklin City, Franklin Township, Hamilton Township, Lebanon City, Mason City, Springboro City, Turtlecreek Township</x:v>
      </x:c>
      <x:c r="O28" s="160" t="str">
        <x:v>Includes proxy city rows</x:v>
      </x:c>
      <x:c r="P28" s="160" t="str">
        <x:v>Aggregated from 9 city/municipality screening rows; overlapping catchments are not deduplicated.</x:v>
      </x:c>
      <x:c r="Q28" s="160" t="str">
        <x:v>U.S. Census Bureau QuickFacts — 2020 land area</x:v>
      </x:c>
    </x:row>
    <x:row r="29">
      <x:c r="A29" s="28" t="n">
        <x:v>24</x:v>
      </x:c>
      <x:c r="B29" s="28" t="str">
        <x:v>Putnam County</x:v>
      </x:c>
      <x:c r="C29" s="28" t="str">
        <x:v>NY</x:v>
      </x:c>
      <x:c r="D29" s="142" t="str">
        <x:v>36079</x:v>
      </x:c>
      <x:c r="E29" s="133" t="n">
        <x:f>SUMIFS('City Density Ranking'!$E$6:$E$974,'City Density Ranking'!$O$6:$O$974,B29,'City Density Ranking'!$C$6:$C$974,C29)</x:f>
        <x:v>0</x:v>
      </x:c>
      <x:c r="F29" s="133" t="n">
        <x:f>SUMIFS('City Density Ranking'!$F$6:$F$974,'City Density Ranking'!$O$6:$O$974,B29,'City Density Ranking'!$C$6:$C$974,C29)</x:f>
        <x:v>0</x:v>
      </x:c>
      <x:c r="G29" s="133" t="n">
        <x:f>SUMIFS('City Density Ranking'!$G$6:$G$974,'City Density Ranking'!$O$6:$O$974,B29,'City Density Ranking'!$C$6:$C$974,C29)</x:f>
        <x:v>0</x:v>
      </x:c>
      <x:c r="H29" s="133" t="n">
        <x:f>SUMIFS('City Density Ranking'!$H$6:$H$974,'City Density Ranking'!$O$6:$O$974,B29,'City Density Ranking'!$C$6:$C$974,C29)</x:f>
        <x:v>0</x:v>
      </x:c>
      <x:c r="I29" s="133" t="n">
        <x:f>SUMIFS('City Density Ranking'!$I$6:$I$974,'City Density Ranking'!$O$6:$O$974,B29,'City Density Ranking'!$C$6:$C$974,C29)</x:f>
        <x:v>0</x:v>
      </x:c>
      <x:c r="J29" s="133" t="n">
        <x:f>SUMIFS('City Density Ranking'!$J$6:$J$974,'City Density Ranking'!$O$6:$O$974,B29,'City Density Ranking'!$C$6:$C$974,C29)</x:f>
        <x:v>5</x:v>
      </x:c>
      <x:c r="K29" s="133" t="n">
        <x:f>SUM(E29:J29)</x:f>
        <x:v>5</x:v>
      </x:c>
      <x:c r="L29" s="204" t="n">
        <x:v>230.2</x:v>
      </x:c>
      <x:c r="M29" s="205" t="n">
        <x:f>IFERROR(K29/L29,0)</x:f>
        <x:v>0.021720243266724587</x:v>
      </x:c>
      <x:c r="N29" s="160" t="str">
        <x:v>Carmel town, Kent town, Patterson town, Putnam Valley town, Southeast town</x:v>
      </x:c>
      <x:c r="O29" s="160" t="str">
        <x:v>Includes proxy city rows</x:v>
      </x:c>
      <x:c r="P29" s="160" t="str">
        <x:v>Aggregated from 5 city/municipality screening rows; overlapping catchments are not deduplicated.</x:v>
      </x:c>
      <x:c r="Q29" s="160" t="str">
        <x:v>U.S. Census Bureau QuickFacts — 2020 land area</x:v>
      </x:c>
    </x:row>
    <x:row r="30">
      <x:c r="A30" s="28" t="n">
        <x:v>25</x:v>
      </x:c>
      <x:c r="B30" s="28" t="str">
        <x:v>Hudson County</x:v>
      </x:c>
      <x:c r="C30" s="28" t="str">
        <x:v>NJ</x:v>
      </x:c>
      <x:c r="D30" s="142" t="str">
        <x:v>34017</x:v>
      </x:c>
      <x:c r="E30" s="133" t="n">
        <x:f>SUMIFS('City Density Ranking'!$E$6:$E$974,'City Density Ranking'!$O$6:$O$974,B30,'City Density Ranking'!$C$6:$C$974,C30)</x:f>
        <x:v>0</x:v>
      </x:c>
      <x:c r="F30" s="133" t="n">
        <x:f>SUMIFS('City Density Ranking'!$F$6:$F$974,'City Density Ranking'!$O$6:$O$974,B30,'City Density Ranking'!$C$6:$C$974,C30)</x:f>
        <x:v>0</x:v>
      </x:c>
      <x:c r="G30" s="133" t="n">
        <x:f>SUMIFS('City Density Ranking'!$G$6:$G$974,'City Density Ranking'!$O$6:$O$974,B30,'City Density Ranking'!$C$6:$C$974,C30)</x:f>
        <x:v>0</x:v>
      </x:c>
      <x:c r="H30" s="133" t="n">
        <x:f>SUMIFS('City Density Ranking'!$H$6:$H$974,'City Density Ranking'!$O$6:$O$974,B30,'City Density Ranking'!$C$6:$C$974,C30)</x:f>
        <x:v>0</x:v>
      </x:c>
      <x:c r="I30" s="133" t="n">
        <x:f>SUMIFS('City Density Ranking'!$I$6:$I$974,'City Density Ranking'!$O$6:$O$974,B30,'City Density Ranking'!$C$6:$C$974,C30)</x:f>
        <x:v>0</x:v>
      </x:c>
      <x:c r="J30" s="133" t="n">
        <x:f>SUMIFS('City Density Ranking'!$J$6:$J$974,'City Density Ranking'!$O$6:$O$974,B30,'City Density Ranking'!$C$6:$C$974,C30)</x:f>
        <x:v>1</x:v>
      </x:c>
      <x:c r="K30" s="133" t="n">
        <x:f>SUM(E30:J30)</x:f>
        <x:v>1</x:v>
      </x:c>
      <x:c r="L30" s="204" t="n">
        <x:v>46.194</x:v>
      </x:c>
      <x:c r="M30" s="205" t="n">
        <x:f>IFERROR(K30/L30,0)</x:f>
        <x:v>0.0216478330519115</x:v>
      </x:c>
      <x:c r="N30" s="160" t="str">
        <x:v>Jersey City</x:v>
      </x:c>
      <x:c r="O30" s="160" t="str">
        <x:v>Includes proxy city rows</x:v>
      </x:c>
      <x:c r="P30" s="160" t="str">
        <x:v>Aggregated from 1 city/municipality screening rows; overlapping catchments are not deduplicated.</x:v>
      </x:c>
      <x:c r="Q30" s="160" t="str">
        <x:v>Verified Census land area (retained)</x:v>
      </x:c>
    </x:row>
    <x:row r="31">
      <x:c r="A31" s="28" t="n">
        <x:v>26</x:v>
      </x:c>
      <x:c r="B31" s="28" t="str">
        <x:v>Marion County</x:v>
      </x:c>
      <x:c r="C31" s="28" t="str">
        <x:v>IN</x:v>
      </x:c>
      <x:c r="D31" s="142" t="str">
        <x:v>18097</x:v>
      </x:c>
      <x:c r="E31" s="133" t="n">
        <x:f>SUMIFS('City Density Ranking'!$E$6:$E$974,'City Density Ranking'!$O$6:$O$974,B31,'City Density Ranking'!$C$6:$C$974,C31)</x:f>
        <x:v>2</x:v>
      </x:c>
      <x:c r="F31" s="133" t="n">
        <x:f>SUMIFS('City Density Ranking'!$F$6:$F$974,'City Density Ranking'!$O$6:$O$974,B31,'City Density Ranking'!$C$6:$C$974,C31)</x:f>
        <x:v>0</x:v>
      </x:c>
      <x:c r="G31" s="133" t="n">
        <x:f>SUMIFS('City Density Ranking'!$G$6:$G$974,'City Density Ranking'!$O$6:$O$974,B31,'City Density Ranking'!$C$6:$C$974,C31)</x:f>
        <x:v>0</x:v>
      </x:c>
      <x:c r="H31" s="133" t="n">
        <x:f>SUMIFS('City Density Ranking'!$H$6:$H$974,'City Density Ranking'!$O$6:$O$974,B31,'City Density Ranking'!$C$6:$C$974,C31)</x:f>
        <x:v>5</x:v>
      </x:c>
      <x:c r="I31" s="133" t="n">
        <x:f>SUMIFS('City Density Ranking'!$I$6:$I$974,'City Density Ranking'!$O$6:$O$974,B31,'City Density Ranking'!$C$6:$C$974,C31)</x:f>
        <x:v>0</x:v>
      </x:c>
      <x:c r="J31" s="133" t="n">
        <x:f>SUMIFS('City Density Ranking'!$J$6:$J$974,'City Density Ranking'!$O$6:$O$974,B31,'City Density Ranking'!$C$6:$C$974,C31)</x:f>
        <x:v>1</x:v>
      </x:c>
      <x:c r="K31" s="133" t="n">
        <x:f>SUM(E31:J31)</x:f>
        <x:v>8</x:v>
      </x:c>
      <x:c r="L31" s="204" t="n">
        <x:v>396.612</x:v>
      </x:c>
      <x:c r="M31" s="205" t="n">
        <x:f>IFERROR(K31/L31,0)</x:f>
        <x:v>0.0201708470747229</x:v>
      </x:c>
      <x:c r="N31" s="160" t="str">
        <x:v>Indianapolis, Lawrence</x:v>
      </x:c>
      <x:c r="O31" s="160" t="str">
        <x:v>Includes proxy city rows</x:v>
      </x:c>
      <x:c r="P31" s="160" t="str">
        <x:v>Aggregated from 2 city/municipality screening rows; overlapping catchments are not deduplicated.</x:v>
      </x:c>
      <x:c r="Q31" s="160" t="str">
        <x:v>Verified Census land area (retained)</x:v>
      </x:c>
    </x:row>
    <x:row r="32">
      <x:c r="A32" s="28" t="n">
        <x:v>27</x:v>
      </x:c>
      <x:c r="B32" s="28" t="str">
        <x:v>Burlington County</x:v>
      </x:c>
      <x:c r="C32" s="28" t="str">
        <x:v>NJ</x:v>
      </x:c>
      <x:c r="D32" s="142" t="str">
        <x:v>34005</x:v>
      </x:c>
      <x:c r="E32" s="133" t="n">
        <x:f>SUMIFS('City Density Ranking'!$E$6:$E$974,'City Density Ranking'!$O$6:$O$974,B32,'City Density Ranking'!$C$6:$C$974,C32)</x:f>
        <x:v>0</x:v>
      </x:c>
      <x:c r="F32" s="133" t="n">
        <x:f>SUMIFS('City Density Ranking'!$F$6:$F$974,'City Density Ranking'!$O$6:$O$974,B32,'City Density Ranking'!$C$6:$C$974,C32)</x:f>
        <x:v>0</x:v>
      </x:c>
      <x:c r="G32" s="133" t="n">
        <x:f>SUMIFS('City Density Ranking'!$G$6:$G$974,'City Density Ranking'!$O$6:$O$974,B32,'City Density Ranking'!$C$6:$C$974,C32)</x:f>
        <x:v>0</x:v>
      </x:c>
      <x:c r="H32" s="133" t="n">
        <x:f>SUMIFS('City Density Ranking'!$H$6:$H$974,'City Density Ranking'!$O$6:$O$974,B32,'City Density Ranking'!$C$6:$C$974,C32)</x:f>
        <x:v>0</x:v>
      </x:c>
      <x:c r="I32" s="133" t="n">
        <x:f>SUMIFS('City Density Ranking'!$I$6:$I$974,'City Density Ranking'!$O$6:$O$974,B32,'City Density Ranking'!$C$6:$C$974,C32)</x:f>
        <x:v>0</x:v>
      </x:c>
      <x:c r="J32" s="133" t="n">
        <x:f>SUMIFS('City Density Ranking'!$J$6:$J$974,'City Density Ranking'!$O$6:$O$974,B32,'City Density Ranking'!$C$6:$C$974,C32)</x:f>
        <x:v>16</x:v>
      </x:c>
      <x:c r="K32" s="133" t="n">
        <x:f>SUM(E32:J32)</x:f>
        <x:v>16</x:v>
      </x:c>
      <x:c r="L32" s="204" t="n">
        <x:v>799.292</x:v>
      </x:c>
      <x:c r="M32" s="205" t="n">
        <x:f>IFERROR(K32/L32,0)</x:f>
        <x:v>0.02001771567837536</x:v>
      </x:c>
      <x:c r="N32" s="160" t="str">
        <x:v>Bordentown Township, Burlington City, Burlington Township, Cinnaminson Township, Delran Township, Evesham Township, Florence Township, Lumberton Township, Maple Shade Township, Medford Township, Moorestown Township, Mount Holly Township, Mount Laurel Township, Pemberton Township, Southampton Township, Willingboro Township</x:v>
      </x:c>
      <x:c r="O32" s="160" t="str">
        <x:v>Includes proxy city rows</x:v>
      </x:c>
      <x:c r="P32" s="160" t="str">
        <x:v>Aggregated from 16 city/municipality screening rows; overlapping catchments are not deduplicated.</x:v>
      </x:c>
      <x:c r="Q32" s="160" t="str">
        <x:v>U.S. Census Bureau 2025 Gazetteer — ALAND_SQMI</x:v>
      </x:c>
    </x:row>
    <x:row r="33">
      <x:c r="A33" s="28" t="n">
        <x:v>28</x:v>
      </x:c>
      <x:c r="B33" s="28" t="str">
        <x:v>Dallas County</x:v>
      </x:c>
      <x:c r="C33" s="28" t="str">
        <x:v>TX</x:v>
      </x:c>
      <x:c r="D33" s="142" t="str">
        <x:v>48113</x:v>
      </x:c>
      <x:c r="E33" s="133" t="n">
        <x:f>SUMIFS('City Density Ranking'!$E$6:$E$974,'City Density Ranking'!$O$6:$O$974,B33,'City Density Ranking'!$C$6:$C$974,C33)</x:f>
        <x:v>4</x:v>
      </x:c>
      <x:c r="F33" s="133" t="n">
        <x:f>SUMIFS('City Density Ranking'!$F$6:$F$974,'City Density Ranking'!$O$6:$O$974,B33,'City Density Ranking'!$C$6:$C$974,C33)</x:f>
        <x:v>6</x:v>
      </x:c>
      <x:c r="G33" s="133" t="n">
        <x:f>SUMIFS('City Density Ranking'!$G$6:$G$974,'City Density Ranking'!$O$6:$O$974,B33,'City Density Ranking'!$C$6:$C$974,C33)</x:f>
        <x:v>0</x:v>
      </x:c>
      <x:c r="H33" s="133" t="n">
        <x:f>SUMIFS('City Density Ranking'!$H$6:$H$974,'City Density Ranking'!$O$6:$O$974,B33,'City Density Ranking'!$C$6:$C$974,C33)</x:f>
        <x:v>0</x:v>
      </x:c>
      <x:c r="I33" s="133" t="n">
        <x:f>SUMIFS('City Density Ranking'!$I$6:$I$974,'City Density Ranking'!$O$6:$O$974,B33,'City Density Ranking'!$C$6:$C$974,C33)</x:f>
        <x:v>0</x:v>
      </x:c>
      <x:c r="J33" s="133" t="n">
        <x:f>SUMIFS('City Density Ranking'!$J$6:$J$974,'City Density Ranking'!$O$6:$O$974,B33,'City Density Ranking'!$C$6:$C$974,C33)</x:f>
        <x:v>7</x:v>
      </x:c>
      <x:c r="K33" s="133" t="n">
        <x:f>SUM(E33:J33)</x:f>
        <x:v>17</x:v>
      </x:c>
      <x:c r="L33" s="204" t="n">
        <x:v>873.055</x:v>
      </x:c>
      <x:c r="M33" s="205" t="n">
        <x:f>IFERROR(K33/L33,0)</x:f>
        <x:v>0.01947185457960839</x:v>
      </x:c>
      <x:c r="N33" s="160" t="str">
        <x:v>Carrollton, Dallas, DeSoto, Garland, Grand Prairie, Irving, Mesquite, Richardson, Rowlett</x:v>
      </x:c>
      <x:c r="O33" s="160" t="str">
        <x:v>Includes proxy city rows</x:v>
      </x:c>
      <x:c r="P33" s="160" t="str">
        <x:v>Aggregated from 9 city/municipality screening rows; overlapping catchments are not deduplicated.</x:v>
      </x:c>
      <x:c r="Q33" s="160" t="str">
        <x:v>Verified Census land area (retained)</x:v>
      </x:c>
    </x:row>
    <x:row r="34">
      <x:c r="A34" s="28" t="n">
        <x:v>29</x:v>
      </x:c>
      <x:c r="B34" s="28" t="str">
        <x:v>Hampton city</x:v>
      </x:c>
      <x:c r="C34" s="28" t="str">
        <x:v>VA</x:v>
      </x:c>
      <x:c r="D34" s="142" t="str">
        <x:v>51650</x:v>
      </x:c>
      <x:c r="E34" s="133" t="n">
        <x:f>SUMIFS('City Density Ranking'!$E$6:$E$974,'City Density Ranking'!$O$6:$O$974,B34,'City Density Ranking'!$C$6:$C$974,C34)</x:f>
        <x:v>0</x:v>
      </x:c>
      <x:c r="F34" s="133" t="n">
        <x:f>SUMIFS('City Density Ranking'!$F$6:$F$974,'City Density Ranking'!$O$6:$O$974,B34,'City Density Ranking'!$C$6:$C$974,C34)</x:f>
        <x:v>0</x:v>
      </x:c>
      <x:c r="G34" s="133" t="n">
        <x:f>SUMIFS('City Density Ranking'!$G$6:$G$974,'City Density Ranking'!$O$6:$O$974,B34,'City Density Ranking'!$C$6:$C$974,C34)</x:f>
        <x:v>0</x:v>
      </x:c>
      <x:c r="H34" s="133" t="n">
        <x:f>SUMIFS('City Density Ranking'!$H$6:$H$974,'City Density Ranking'!$O$6:$O$974,B34,'City Density Ranking'!$C$6:$C$974,C34)</x:f>
        <x:v>0</x:v>
      </x:c>
      <x:c r="I34" s="133" t="n">
        <x:f>SUMIFS('City Density Ranking'!$I$6:$I$974,'City Density Ranking'!$O$6:$O$974,B34,'City Density Ranking'!$C$6:$C$974,C34)</x:f>
        <x:v>0</x:v>
      </x:c>
      <x:c r="J34" s="133" t="n">
        <x:f>SUMIFS('City Density Ranking'!$J$6:$J$974,'City Density Ranking'!$O$6:$O$974,B34,'City Density Ranking'!$C$6:$C$974,C34)</x:f>
        <x:v>1</x:v>
      </x:c>
      <x:c r="K34" s="133" t="n">
        <x:f>SUM(E34:J34)</x:f>
        <x:v>1</x:v>
      </x:c>
      <x:c r="L34" s="204" t="n">
        <x:v>52.8147775453436</x:v>
      </x:c>
      <x:c r="M34" s="205" t="n">
        <x:f>IFERROR(K34/L34,0)</x:f>
        <x:v>0.018934094707517418</x:v>
      </x:c>
      <x:c r="N34" s="160" t="str">
        <x:v>Hampton</x:v>
      </x:c>
      <x:c r="O34" s="160" t="str">
        <x:v>Includes proxy city rows</x:v>
      </x:c>
      <x:c r="P34" s="160" t="str">
        <x:v>Aggregated from 1 city/municipality screening rows; overlapping catchments are not deduplicated.</x:v>
      </x:c>
      <x:c r="Q34" s="160" t="str">
        <x:v>Estimated county land area: geodesic polygon × 0.896 land/total calibration</x:v>
      </x:c>
    </x:row>
    <x:row r="35">
      <x:c r="A35" s="28" t="n">
        <x:v>30</x:v>
      </x:c>
      <x:c r="B35" s="28" t="str">
        <x:v>Norfolk city</x:v>
      </x:c>
      <x:c r="C35" s="28" t="str">
        <x:v>VA</x:v>
      </x:c>
      <x:c r="D35" s="142" t="str">
        <x:v>51710</x:v>
      </x:c>
      <x:c r="E35" s="133" t="n">
        <x:f>SUMIFS('City Density Ranking'!$E$6:$E$974,'City Density Ranking'!$O$6:$O$974,B35,'City Density Ranking'!$C$6:$C$974,C35)</x:f>
        <x:v>0</x:v>
      </x:c>
      <x:c r="F35" s="133" t="n">
        <x:f>SUMIFS('City Density Ranking'!$F$6:$F$974,'City Density Ranking'!$O$6:$O$974,B35,'City Density Ranking'!$C$6:$C$974,C35)</x:f>
        <x:v>0</x:v>
      </x:c>
      <x:c r="G35" s="133" t="n">
        <x:f>SUMIFS('City Density Ranking'!$G$6:$G$974,'City Density Ranking'!$O$6:$O$974,B35,'City Density Ranking'!$C$6:$C$974,C35)</x:f>
        <x:v>0</x:v>
      </x:c>
      <x:c r="H35" s="133" t="n">
        <x:f>SUMIFS('City Density Ranking'!$H$6:$H$974,'City Density Ranking'!$O$6:$O$974,B35,'City Density Ranking'!$C$6:$C$974,C35)</x:f>
        <x:v>0</x:v>
      </x:c>
      <x:c r="I35" s="133" t="n">
        <x:f>SUMIFS('City Density Ranking'!$I$6:$I$974,'City Density Ranking'!$O$6:$O$974,B35,'City Density Ranking'!$C$6:$C$974,C35)</x:f>
        <x:v>0</x:v>
      </x:c>
      <x:c r="J35" s="133" t="n">
        <x:f>SUMIFS('City Density Ranking'!$J$6:$J$974,'City Density Ranking'!$O$6:$O$974,B35,'City Density Ranking'!$C$6:$C$974,C35)</x:f>
        <x:v>1</x:v>
      </x:c>
      <x:c r="K35" s="133" t="n">
        <x:f>SUM(E35:J35)</x:f>
        <x:v>1</x:v>
      </x:c>
      <x:c r="L35" s="204" t="n">
        <x:v>53.275</x:v>
      </x:c>
      <x:c r="M35" s="205" t="n">
        <x:f>IFERROR(K35/L35,0)</x:f>
        <x:v>0.018770530267480056</x:v>
      </x:c>
      <x:c r="N35" s="160" t="str">
        <x:v>Norfolk</x:v>
      </x:c>
      <x:c r="O35" s="160" t="str">
        <x:v>Includes proxy city rows</x:v>
      </x:c>
      <x:c r="P35" s="160" t="str">
        <x:v>Aggregated from 1 city/municipality screening rows; overlapping catchments are not deduplicated.</x:v>
      </x:c>
      <x:c r="Q35" s="160" t="str">
        <x:v>Verified Census land area (retained)</x:v>
      </x:c>
    </x:row>
    <x:row r="36">
      <x:c r="A36" s="28" t="n">
        <x:v>31</x:v>
      </x:c>
      <x:c r="B36" s="28" t="str">
        <x:v>Ottawa County</x:v>
      </x:c>
      <x:c r="C36" s="28" t="str">
        <x:v>MI</x:v>
      </x:c>
      <x:c r="D36" s="142" t="str">
        <x:v>26139</x:v>
      </x:c>
      <x:c r="E36" s="133" t="n">
        <x:f>SUMIFS('City Density Ranking'!$E$6:$E$974,'City Density Ranking'!$O$6:$O$974,B36,'City Density Ranking'!$C$6:$C$974,C36)</x:f>
        <x:v>0</x:v>
      </x:c>
      <x:c r="F36" s="133" t="n">
        <x:f>SUMIFS('City Density Ranking'!$F$6:$F$974,'City Density Ranking'!$O$6:$O$974,B36,'City Density Ranking'!$C$6:$C$974,C36)</x:f>
        <x:v>0</x:v>
      </x:c>
      <x:c r="G36" s="133" t="n">
        <x:f>SUMIFS('City Density Ranking'!$G$6:$G$974,'City Density Ranking'!$O$6:$O$974,B36,'City Density Ranking'!$C$6:$C$974,C36)</x:f>
        <x:v>0</x:v>
      </x:c>
      <x:c r="H36" s="133" t="n">
        <x:f>SUMIFS('City Density Ranking'!$H$6:$H$974,'City Density Ranking'!$O$6:$O$974,B36,'City Density Ranking'!$C$6:$C$974,C36)</x:f>
        <x:v>0</x:v>
      </x:c>
      <x:c r="I36" s="133" t="n">
        <x:f>SUMIFS('City Density Ranking'!$I$6:$I$974,'City Density Ranking'!$O$6:$O$974,B36,'City Density Ranking'!$C$6:$C$974,C36)</x:f>
        <x:v>0</x:v>
      </x:c>
      <x:c r="J36" s="133" t="n">
        <x:f>SUMIFS('City Density Ranking'!$J$6:$J$974,'City Density Ranking'!$O$6:$O$974,B36,'City Density Ranking'!$C$6:$C$974,C36)</x:f>
        <x:v>10</x:v>
      </x:c>
      <x:c r="K36" s="133" t="n">
        <x:f>SUM(E36:J36)</x:f>
        <x:v>10</x:v>
      </x:c>
      <x:c r="L36" s="204" t="n">
        <x:v>563.52</x:v>
      </x:c>
      <x:c r="M36" s="205" t="n">
        <x:f>IFERROR(K36/L36,0)</x:f>
        <x:v>0.017745599091425326</x:v>
      </x:c>
      <x:c r="N36" s="160" t="str">
        <x:v>Allendale Charter Township, Georgetown Charter Township, Grand Haven Charter Township, Grand Haven City, Holland Charter Township, Holland City, Jamestown Charter Township, Park Township, Spring Lake Township, Zeeland Charter Township</x:v>
      </x:c>
      <x:c r="O36" s="160" t="str">
        <x:v>Includes proxy city rows</x:v>
      </x:c>
      <x:c r="P36" s="160" t="str">
        <x:v>Aggregated from 10 city/municipality screening rows; overlapping catchments are not deduplicated.</x:v>
      </x:c>
      <x:c r="Q36" s="160" t="str">
        <x:v>U.S. Census Bureau QuickFacts 2020 land area</x:v>
      </x:c>
    </x:row>
    <x:row r="37">
      <x:c r="A37" s="28" t="n">
        <x:v>32</x:v>
      </x:c>
      <x:c r="B37" s="28" t="str">
        <x:v>Nassau County</x:v>
      </x:c>
      <x:c r="C37" s="28" t="str">
        <x:v>NY</x:v>
      </x:c>
      <x:c r="D37" s="142" t="str">
        <x:v>36059</x:v>
      </x:c>
      <x:c r="E37" s="133" t="n">
        <x:f>SUMIFS('City Density Ranking'!$E$6:$E$974,'City Density Ranking'!$O$6:$O$974,B37,'City Density Ranking'!$C$6:$C$974,C37)</x:f>
        <x:v>0</x:v>
      </x:c>
      <x:c r="F37" s="133" t="n">
        <x:f>SUMIFS('City Density Ranking'!$F$6:$F$974,'City Density Ranking'!$O$6:$O$974,B37,'City Density Ranking'!$C$6:$C$974,C37)</x:f>
        <x:v>0</x:v>
      </x:c>
      <x:c r="G37" s="133" t="n">
        <x:f>SUMIFS('City Density Ranking'!$G$6:$G$974,'City Density Ranking'!$O$6:$O$974,B37,'City Density Ranking'!$C$6:$C$974,C37)</x:f>
        <x:v>0</x:v>
      </x:c>
      <x:c r="H37" s="133" t="n">
        <x:f>SUMIFS('City Density Ranking'!$H$6:$H$974,'City Density Ranking'!$O$6:$O$974,B37,'City Density Ranking'!$C$6:$C$974,C37)</x:f>
        <x:v>0</x:v>
      </x:c>
      <x:c r="I37" s="133" t="n">
        <x:f>SUMIFS('City Density Ranking'!$I$6:$I$974,'City Density Ranking'!$O$6:$O$974,B37,'City Density Ranking'!$C$6:$C$974,C37)</x:f>
        <x:v>0</x:v>
      </x:c>
      <x:c r="J37" s="133" t="n">
        <x:f>SUMIFS('City Density Ranking'!$J$6:$J$974,'City Density Ranking'!$O$6:$O$974,B37,'City Density Ranking'!$C$6:$C$974,C37)</x:f>
        <x:v>5</x:v>
      </x:c>
      <x:c r="K37" s="133" t="n">
        <x:f>SUM(E37:J37)</x:f>
        <x:v>5</x:v>
      </x:c>
      <x:c r="L37" s="204" t="n">
        <x:v>284.544</x:v>
      </x:c>
      <x:c r="M37" s="205" t="n">
        <x:f>IFERROR(K37/L37,0)</x:f>
        <x:v>0.017571974808816917</x:v>
      </x:c>
      <x:c r="N37" s="160" t="str">
        <x:v>Glen Cove City, Hempstead Town, Long Beach City, North Hempstead Town, Oyster Bay Town</x:v>
      </x:c>
      <x:c r="O37" s="160" t="str">
        <x:v>Includes proxy city rows</x:v>
      </x:c>
      <x:c r="P37" s="160" t="str">
        <x:v>Aggregated from 5 city/municipality screening rows; overlapping catchments are not deduplicated.</x:v>
      </x:c>
      <x:c r="Q37" s="160" t="str">
        <x:v>U.S. Census Bureau 2025 Gazetteer — ALAND_SQMI</x:v>
      </x:c>
    </x:row>
    <x:row r="38">
      <x:c r="A38" s="28" t="n">
        <x:v>33</x:v>
      </x:c>
      <x:c r="B38" s="28" t="str">
        <x:v>Orange County</x:v>
      </x:c>
      <x:c r="C38" s="28" t="str">
        <x:v>NY</x:v>
      </x:c>
      <x:c r="D38" s="142" t="str">
        <x:v>36071</x:v>
      </x:c>
      <x:c r="E38" s="133" t="n">
        <x:f>SUMIFS('City Density Ranking'!$E$6:$E$974,'City Density Ranking'!$O$6:$O$974,B38,'City Density Ranking'!$C$6:$C$974,C38)</x:f>
        <x:v>0</x:v>
      </x:c>
      <x:c r="F38" s="133" t="n">
        <x:f>SUMIFS('City Density Ranking'!$F$6:$F$974,'City Density Ranking'!$O$6:$O$974,B38,'City Density Ranking'!$C$6:$C$974,C38)</x:f>
        <x:v>0</x:v>
      </x:c>
      <x:c r="G38" s="133" t="n">
        <x:f>SUMIFS('City Density Ranking'!$G$6:$G$974,'City Density Ranking'!$O$6:$O$974,B38,'City Density Ranking'!$C$6:$C$974,C38)</x:f>
        <x:v>0</x:v>
      </x:c>
      <x:c r="H38" s="133" t="n">
        <x:f>SUMIFS('City Density Ranking'!$H$6:$H$974,'City Density Ranking'!$O$6:$O$974,B38,'City Density Ranking'!$C$6:$C$974,C38)</x:f>
        <x:v>0</x:v>
      </x:c>
      <x:c r="I38" s="133" t="n">
        <x:f>SUMIFS('City Density Ranking'!$I$6:$I$974,'City Density Ranking'!$O$6:$O$974,B38,'City Density Ranking'!$C$6:$C$974,C38)</x:f>
        <x:v>0</x:v>
      </x:c>
      <x:c r="J38" s="133" t="n">
        <x:f>SUMIFS('City Density Ranking'!$J$6:$J$974,'City Density Ranking'!$O$6:$O$974,B38,'City Density Ranking'!$C$6:$C$974,C38)</x:f>
        <x:v>14</x:v>
      </x:c>
      <x:c r="K38" s="133" t="n">
        <x:f>SUM(E38:J38)</x:f>
        <x:v>14</x:v>
      </x:c>
      <x:c r="L38" s="204" t="n">
        <x:v>812.079</x:v>
      </x:c>
      <x:c r="M38" s="205" t="n">
        <x:f>IFERROR(K38/L38,0)</x:f>
        <x:v>0.01723970204869231</x:v>
      </x:c>
      <x:c r="N38" s="160" t="str">
        <x:v>Blooming Grove Town, Chester Town, Cornwall Town, Goshen Town, Highlands Town, Middletown City, Monroe Town, Montgomery Town, New Windsor Town, Newburgh City, Newburgh Town, Wallkill Town, Warwick Town, Woodbury Town</x:v>
      </x:c>
      <x:c r="O38" s="160" t="str">
        <x:v>Includes proxy city rows</x:v>
      </x:c>
      <x:c r="P38" s="160" t="str">
        <x:v>Aggregated from 14 city/municipality screening rows; overlapping catchments are not deduplicated.</x:v>
      </x:c>
      <x:c r="Q38" s="160" t="str">
        <x:v>U.S. Census Bureau 2025 Gazetteer — ALAND_SQMI</x:v>
      </x:c>
    </x:row>
    <x:row r="39">
      <x:c r="A39" s="28" t="n">
        <x:v>34</x:v>
      </x:c>
      <x:c r="B39" s="28" t="str">
        <x:v>Fulton County</x:v>
      </x:c>
      <x:c r="C39" s="28" t="str">
        <x:v>GA</x:v>
      </x:c>
      <x:c r="D39" s="142" t="str">
        <x:v>13121</x:v>
      </x:c>
      <x:c r="E39" s="133" t="n">
        <x:f>SUMIFS('City Density Ranking'!$E$6:$E$974,'City Density Ranking'!$O$6:$O$974,B39,'City Density Ranking'!$C$6:$C$974,C39)</x:f>
        <x:v>4</x:v>
      </x:c>
      <x:c r="F39" s="133" t="n">
        <x:f>SUMIFS('City Density Ranking'!$F$6:$F$974,'City Density Ranking'!$O$6:$O$974,B39,'City Density Ranking'!$C$6:$C$974,C39)</x:f>
        <x:v>0</x:v>
      </x:c>
      <x:c r="G39" s="133" t="n">
        <x:f>SUMIFS('City Density Ranking'!$G$6:$G$974,'City Density Ranking'!$O$6:$O$974,B39,'City Density Ranking'!$C$6:$C$974,C39)</x:f>
        <x:v>0</x:v>
      </x:c>
      <x:c r="H39" s="133" t="n">
        <x:f>SUMIFS('City Density Ranking'!$H$6:$H$974,'City Density Ranking'!$O$6:$O$974,B39,'City Density Ranking'!$C$6:$C$974,C39)</x:f>
        <x:v>0</x:v>
      </x:c>
      <x:c r="I39" s="133" t="n">
        <x:f>SUMIFS('City Density Ranking'!$I$6:$I$974,'City Density Ranking'!$O$6:$O$974,B39,'City Density Ranking'!$C$6:$C$974,C39)</x:f>
        <x:v>0</x:v>
      </x:c>
      <x:c r="J39" s="133" t="n">
        <x:f>SUMIFS('City Density Ranking'!$J$6:$J$974,'City Density Ranking'!$O$6:$O$974,B39,'City Density Ranking'!$C$6:$C$974,C39)</x:f>
        <x:v>5</x:v>
      </x:c>
      <x:c r="K39" s="133" t="n">
        <x:f>SUM(E39:J39)</x:f>
        <x:v>9</x:v>
      </x:c>
      <x:c r="L39" s="204" t="n">
        <x:v>526.75</x:v>
      </x:c>
      <x:c r="M39" s="205" t="n">
        <x:f>IFERROR(K39/L39,0)</x:f>
        <x:v>0.0170859041290935</x:v>
      </x:c>
      <x:c r="N39" s="160" t="str">
        <x:v>Alpharetta, Atlanta, Johns Creek, Roswell, Sandy Springs, South Fulton</x:v>
      </x:c>
      <x:c r="O39" s="160" t="str">
        <x:v>Includes proxy city rows</x:v>
      </x:c>
      <x:c r="P39" s="160" t="str">
        <x:v>Aggregated from 6 city/municipality screening rows; overlapping catchments are not deduplicated.</x:v>
      </x:c>
      <x:c r="Q39" s="160" t="str">
        <x:v>Verified Census land area (retained)</x:v>
      </x:c>
    </x:row>
    <x:row r="40">
      <x:c r="A40" s="28" t="n">
        <x:v>36</x:v>
      </x:c>
      <x:c r="B40" s="28" t="str">
        <x:v>Monroe County</x:v>
      </x:c>
      <x:c r="C40" s="28" t="str">
        <x:v>NY</x:v>
      </x:c>
      <x:c r="D40" s="142" t="str">
        <x:v>36055</x:v>
      </x:c>
      <x:c r="E40" s="133" t="n">
        <x:f>SUMIFS('City Density Ranking'!$E$6:$E$974,'City Density Ranking'!$O$6:$O$974,B40,'City Density Ranking'!$C$6:$C$974,C40)</x:f>
        <x:v>0</x:v>
      </x:c>
      <x:c r="F40" s="133" t="n">
        <x:f>SUMIFS('City Density Ranking'!$F$6:$F$974,'City Density Ranking'!$O$6:$O$974,B40,'City Density Ranking'!$C$6:$C$974,C40)</x:f>
        <x:v>0</x:v>
      </x:c>
      <x:c r="G40" s="133" t="n">
        <x:f>SUMIFS('City Density Ranking'!$G$6:$G$974,'City Density Ranking'!$O$6:$O$974,B40,'City Density Ranking'!$C$6:$C$974,C40)</x:f>
        <x:v>0</x:v>
      </x:c>
      <x:c r="H40" s="133" t="n">
        <x:f>SUMIFS('City Density Ranking'!$H$6:$H$974,'City Density Ranking'!$O$6:$O$974,B40,'City Density Ranking'!$C$6:$C$974,C40)</x:f>
        <x:v>0</x:v>
      </x:c>
      <x:c r="I40" s="133" t="n">
        <x:f>SUMIFS('City Density Ranking'!$I$6:$I$974,'City Density Ranking'!$O$6:$O$974,B40,'City Density Ranking'!$C$6:$C$974,C40)</x:f>
        <x:v>11</x:v>
      </x:c>
      <x:c r="J40" s="133" t="n">
        <x:f>SUMIFS('City Density Ranking'!$J$6:$J$974,'City Density Ranking'!$O$6:$O$974,B40,'City Density Ranking'!$C$6:$C$974,C40)</x:f>
        <x:v>0</x:v>
      </x:c>
      <x:c r="K40" s="133" t="n">
        <x:f>SUM(E40:J40)</x:f>
        <x:v>11</x:v>
      </x:c>
      <x:c r="L40" s="204" t="n">
        <x:v>656.948</x:v>
      </x:c>
      <x:c r="M40" s="205" t="n">
        <x:f>IFERROR(K40/L40,0)</x:f>
        <x:v>0.016744095423077626</x:v>
      </x:c>
      <x:c r="N40" s="160" t="str">
        <x:v>Rochester</x:v>
      </x:c>
      <x:c r="O40" s="160" t="str">
        <x:v>Lower-bound city counts only</x:v>
      </x:c>
      <x:c r="P40" s="160" t="str">
        <x:v>Aggregated from 1 city/municipality screening rows; overlapping catchments are not deduplicated.</x:v>
      </x:c>
      <x:c r="Q40" s="160" t="str">
        <x:v>Verified Census land area (retained)</x:v>
      </x:c>
    </x:row>
    <x:row r="41">
      <x:c r="A41" s="28" t="n">
        <x:v>37</x:v>
      </x:c>
      <x:c r="B41" s="28" t="str">
        <x:v>St. Louis city</x:v>
      </x:c>
      <x:c r="C41" s="28" t="str">
        <x:v>MO</x:v>
      </x:c>
      <x:c r="D41" s="142" t="str">
        <x:v>29510</x:v>
      </x:c>
      <x:c r="E41" s="133" t="n">
        <x:f>SUMIFS('City Density Ranking'!$E$6:$E$974,'City Density Ranking'!$O$6:$O$974,B41,'City Density Ranking'!$C$6:$C$974,C41)</x:f>
        <x:v>0</x:v>
      </x:c>
      <x:c r="F41" s="133" t="n">
        <x:f>SUMIFS('City Density Ranking'!$F$6:$F$974,'City Density Ranking'!$O$6:$O$974,B41,'City Density Ranking'!$C$6:$C$974,C41)</x:f>
        <x:v>0</x:v>
      </x:c>
      <x:c r="G41" s="133" t="n">
        <x:f>SUMIFS('City Density Ranking'!$G$6:$G$974,'City Density Ranking'!$O$6:$O$974,B41,'City Density Ranking'!$C$6:$C$974,C41)</x:f>
        <x:v>0</x:v>
      </x:c>
      <x:c r="H41" s="133" t="n">
        <x:f>SUMIFS('City Density Ranking'!$H$6:$H$974,'City Density Ranking'!$O$6:$O$974,B41,'City Density Ranking'!$C$6:$C$974,C41)</x:f>
        <x:v>0</x:v>
      </x:c>
      <x:c r="I41" s="133" t="n">
        <x:f>SUMIFS('City Density Ranking'!$I$6:$I$974,'City Density Ranking'!$O$6:$O$974,B41,'City Density Ranking'!$C$6:$C$974,C41)</x:f>
        <x:v>0</x:v>
      </x:c>
      <x:c r="J41" s="133" t="n">
        <x:f>SUMIFS('City Density Ranking'!$J$6:$J$974,'City Density Ranking'!$O$6:$O$974,B41,'City Density Ranking'!$C$6:$C$974,C41)</x:f>
        <x:v>1</x:v>
      </x:c>
      <x:c r="K41" s="133" t="n">
        <x:f>SUM(E41:J41)</x:f>
        <x:v>1</x:v>
      </x:c>
      <x:c r="L41" s="204" t="n">
        <x:v>61.736</x:v>
      </x:c>
      <x:c r="M41" s="205" t="n">
        <x:f>IFERROR(K41/L41,0)</x:f>
        <x:v>0.0161980044058572</x:v>
      </x:c>
      <x:c r="N41" s="160" t="str">
        <x:v>St. Louis</x:v>
      </x:c>
      <x:c r="O41" s="160" t="str">
        <x:v>Includes proxy city rows</x:v>
      </x:c>
      <x:c r="P41" s="160" t="str">
        <x:v>Aggregated from 1 city/municipality screening rows; overlapping catchments are not deduplicated.</x:v>
      </x:c>
      <x:c r="Q41" s="160" t="str">
        <x:v>Verified Census land area (retained)</x:v>
      </x:c>
    </x:row>
    <x:row r="42">
      <x:c r="A42" s="28" t="n">
        <x:v>38</x:v>
      </x:c>
      <x:c r="B42" s="28" t="str">
        <x:v>Cape May County</x:v>
      </x:c>
      <x:c r="C42" s="28" t="str">
        <x:v>NJ</x:v>
      </x:c>
      <x:c r="D42" s="142" t="str">
        <x:v>34009</x:v>
      </x:c>
      <x:c r="E42" s="133" t="n">
        <x:f>SUMIFS('City Density Ranking'!$E$6:$E$974,'City Density Ranking'!$O$6:$O$974,B42,'City Density Ranking'!$C$6:$C$974,C42)</x:f>
        <x:v>0</x:v>
      </x:c>
      <x:c r="F42" s="133" t="n">
        <x:f>SUMIFS('City Density Ranking'!$F$6:$F$974,'City Density Ranking'!$O$6:$O$974,B42,'City Density Ranking'!$C$6:$C$974,C42)</x:f>
        <x:v>0</x:v>
      </x:c>
      <x:c r="G42" s="133" t="n">
        <x:f>SUMIFS('City Density Ranking'!$G$6:$G$974,'City Density Ranking'!$O$6:$O$974,B42,'City Density Ranking'!$C$6:$C$974,C42)</x:f>
        <x:v>0</x:v>
      </x:c>
      <x:c r="H42" s="133" t="n">
        <x:f>SUMIFS('City Density Ranking'!$H$6:$H$974,'City Density Ranking'!$O$6:$O$974,B42,'City Density Ranking'!$C$6:$C$974,C42)</x:f>
        <x:v>0</x:v>
      </x:c>
      <x:c r="I42" s="133" t="n">
        <x:f>SUMIFS('City Density Ranking'!$I$6:$I$974,'City Density Ranking'!$O$6:$O$974,B42,'City Density Ranking'!$C$6:$C$974,C42)</x:f>
        <x:v>0</x:v>
      </x:c>
      <x:c r="J42" s="133" t="n">
        <x:f>SUMIFS('City Density Ranking'!$J$6:$J$974,'City Density Ranking'!$O$6:$O$974,B42,'City Density Ranking'!$C$6:$C$974,C42)</x:f>
        <x:v>4</x:v>
      </x:c>
      <x:c r="K42" s="133" t="n">
        <x:f>SUM(E42:J42)</x:f>
        <x:v>4</x:v>
      </x:c>
      <x:c r="L42" s="204" t="n">
        <x:v>251.513</x:v>
      </x:c>
      <x:c r="M42" s="205" t="n">
        <x:f>IFERROR(K42/L42,0)</x:f>
        <x:v>0.015903750501962126</x:v>
      </x:c>
      <x:c r="N42" s="160" t="str">
        <x:v>Lower Township, Middle Township, Ocean City, Upper Township</x:v>
      </x:c>
      <x:c r="O42" s="160" t="str">
        <x:v>Includes proxy city rows</x:v>
      </x:c>
      <x:c r="P42" s="160" t="str">
        <x:v>Aggregated from 4 city/municipality screening rows; overlapping catchments are not deduplicated.</x:v>
      </x:c>
      <x:c r="Q42" s="160" t="str">
        <x:v>U.S. Census Bureau TIGER/ACS25 — ALAND_SQMI</x:v>
      </x:c>
    </x:row>
    <x:row r="43">
      <x:c r="A43" s="28" t="n">
        <x:v>39</x:v>
      </x:c>
      <x:c r="B43" s="28" t="str">
        <x:v>Delaware County</x:v>
      </x:c>
      <x:c r="C43" s="28" t="str">
        <x:v>OH</x:v>
      </x:c>
      <x:c r="D43" s="142" t="str">
        <x:v>39041</x:v>
      </x:c>
      <x:c r="E43" s="133" t="n">
        <x:f>SUMIFS('City Density Ranking'!$E$6:$E$974,'City Density Ranking'!$O$6:$O$974,B43,'City Density Ranking'!$C$6:$C$974,C43)</x:f>
        <x:v>0</x:v>
      </x:c>
      <x:c r="F43" s="133" t="n">
        <x:f>SUMIFS('City Density Ranking'!$F$6:$F$974,'City Density Ranking'!$O$6:$O$974,B43,'City Density Ranking'!$C$6:$C$974,C43)</x:f>
        <x:v>0</x:v>
      </x:c>
      <x:c r="G43" s="133" t="n">
        <x:f>SUMIFS('City Density Ranking'!$G$6:$G$974,'City Density Ranking'!$O$6:$O$974,B43,'City Density Ranking'!$C$6:$C$974,C43)</x:f>
        <x:v>0</x:v>
      </x:c>
      <x:c r="H43" s="133" t="n">
        <x:f>SUMIFS('City Density Ranking'!$H$6:$H$974,'City Density Ranking'!$O$6:$O$974,B43,'City Density Ranking'!$C$6:$C$974,C43)</x:f>
        <x:v>0</x:v>
      </x:c>
      <x:c r="I43" s="133" t="n">
        <x:f>SUMIFS('City Density Ranking'!$I$6:$I$974,'City Density Ranking'!$O$6:$O$974,B43,'City Density Ranking'!$C$6:$C$974,C43)</x:f>
        <x:v>0</x:v>
      </x:c>
      <x:c r="J43" s="133" t="n">
        <x:f>SUMIFS('City Density Ranking'!$J$6:$J$974,'City Density Ranking'!$O$6:$O$974,B43,'City Density Ranking'!$C$6:$C$974,C43)</x:f>
        <x:v>7</x:v>
      </x:c>
      <x:c r="K43" s="133" t="n">
        <x:f>SUM(E43:J43)</x:f>
        <x:v>7</x:v>
      </x:c>
      <x:c r="L43" s="204" t="n">
        <x:v>443.15</x:v>
      </x:c>
      <x:c r="M43" s="205" t="n">
        <x:f>IFERROR(K43/L43,0)</x:f>
        <x:v>0.015796005867087893</x:v>
      </x:c>
      <x:c r="N43" s="160" t="str">
        <x:v>Delaware City, Dublin City, Genoa Township, Liberty Township, Orange Township, Powell City, Westerville City</x:v>
      </x:c>
      <x:c r="O43" s="160" t="str">
        <x:v>Includes proxy city rows</x:v>
      </x:c>
      <x:c r="P43" s="160" t="str">
        <x:v>Aggregated from 7 city/municipality screening rows; overlapping catchments are not deduplicated.</x:v>
      </x:c>
      <x:c r="Q43" s="160" t="str">
        <x:v>U.S. Census Bureau QuickFacts — 2020 land area</x:v>
      </x:c>
    </x:row>
    <x:row r="44">
      <x:c r="A44" s="28" t="n">
        <x:v>40</x:v>
      </x:c>
      <x:c r="B44" s="28" t="str">
        <x:v>Newport News city</x:v>
      </x:c>
      <x:c r="C44" s="28" t="str">
        <x:v>VA</x:v>
      </x:c>
      <x:c r="D44" s="142" t="str">
        <x:v>51700</x:v>
      </x:c>
      <x:c r="E44" s="133" t="n">
        <x:f>SUMIFS('City Density Ranking'!$E$6:$E$974,'City Density Ranking'!$O$6:$O$974,B44,'City Density Ranking'!$C$6:$C$974,C44)</x:f>
        <x:v>0</x:v>
      </x:c>
      <x:c r="F44" s="133" t="n">
        <x:f>SUMIFS('City Density Ranking'!$F$6:$F$974,'City Density Ranking'!$O$6:$O$974,B44,'City Density Ranking'!$C$6:$C$974,C44)</x:f>
        <x:v>0</x:v>
      </x:c>
      <x:c r="G44" s="133" t="n">
        <x:f>SUMIFS('City Density Ranking'!$G$6:$G$974,'City Density Ranking'!$O$6:$O$974,B44,'City Density Ranking'!$C$6:$C$974,C44)</x:f>
        <x:v>0</x:v>
      </x:c>
      <x:c r="H44" s="133" t="n">
        <x:f>SUMIFS('City Density Ranking'!$H$6:$H$974,'City Density Ranking'!$O$6:$O$974,B44,'City Density Ranking'!$C$6:$C$974,C44)</x:f>
        <x:v>0</x:v>
      </x:c>
      <x:c r="I44" s="133" t="n">
        <x:f>SUMIFS('City Density Ranking'!$I$6:$I$974,'City Density Ranking'!$O$6:$O$974,B44,'City Density Ranking'!$C$6:$C$974,C44)</x:f>
        <x:v>0</x:v>
      </x:c>
      <x:c r="J44" s="133" t="n">
        <x:f>SUMIFS('City Density Ranking'!$J$6:$J$974,'City Density Ranking'!$O$6:$O$974,B44,'City Density Ranking'!$C$6:$C$974,C44)</x:f>
        <x:v>1</x:v>
      </x:c>
      <x:c r="K44" s="133" t="n">
        <x:f>SUM(E44:J44)</x:f>
        <x:v>1</x:v>
      </x:c>
      <x:c r="L44" s="204" t="n">
        <x:v>64.35170655981895</x:v>
      </x:c>
      <x:c r="M44" s="205" t="n">
        <x:f>IFERROR(K44/L44,0)</x:f>
        <x:v>0.015539603430259261</x:v>
      </x:c>
      <x:c r="N44" s="160" t="str">
        <x:v>Newport News</x:v>
      </x:c>
      <x:c r="O44" s="160" t="str">
        <x:v>Includes proxy city rows</x:v>
      </x:c>
      <x:c r="P44" s="160" t="str">
        <x:v>Aggregated from 1 city/municipality screening rows; overlapping catchments are not deduplicated.</x:v>
      </x:c>
      <x:c r="Q44" s="160" t="str">
        <x:v>Estimated county land area: geodesic polygon × 0.896 land/total calibration</x:v>
      </x:c>
    </x:row>
    <x:row r="45">
      <x:c r="A45" s="28" t="n">
        <x:v>41</x:v>
      </x:c>
      <x:c r="B45" s="28" t="str">
        <x:v>Mecklenburg County</x:v>
      </x:c>
      <x:c r="C45" s="28" t="str">
        <x:v>NC</x:v>
      </x:c>
      <x:c r="D45" s="142" t="str">
        <x:v>37119</x:v>
      </x:c>
      <x:c r="E45" s="133" t="n">
        <x:f>SUMIFS('City Density Ranking'!$E$6:$E$974,'City Density Ranking'!$O$6:$O$974,B45,'City Density Ranking'!$C$6:$C$974,C45)</x:f>
        <x:v>3</x:v>
      </x:c>
      <x:c r="F45" s="133" t="n">
        <x:f>SUMIFS('City Density Ranking'!$F$6:$F$974,'City Density Ranking'!$O$6:$O$974,B45,'City Density Ranking'!$C$6:$C$974,C45)</x:f>
        <x:v>0</x:v>
      </x:c>
      <x:c r="G45" s="133" t="n">
        <x:f>SUMIFS('City Density Ranking'!$G$6:$G$974,'City Density Ranking'!$O$6:$O$974,B45,'City Density Ranking'!$C$6:$C$974,C45)</x:f>
        <x:v>4</x:v>
      </x:c>
      <x:c r="H45" s="133" t="n">
        <x:f>SUMIFS('City Density Ranking'!$H$6:$H$974,'City Density Ranking'!$O$6:$O$974,B45,'City Density Ranking'!$C$6:$C$974,C45)</x:f>
        <x:v>0</x:v>
      </x:c>
      <x:c r="I45" s="133" t="n">
        <x:f>SUMIFS('City Density Ranking'!$I$6:$I$974,'City Density Ranking'!$O$6:$O$974,B45,'City Density Ranking'!$C$6:$C$974,C45)</x:f>
        <x:v>0</x:v>
      </x:c>
      <x:c r="J45" s="133" t="n">
        <x:f>SUMIFS('City Density Ranking'!$J$6:$J$974,'City Density Ranking'!$O$6:$O$974,B45,'City Density Ranking'!$C$6:$C$974,C45)</x:f>
        <x:v>1</x:v>
      </x:c>
      <x:c r="K45" s="133" t="n">
        <x:f>SUM(E45:J45)</x:f>
        <x:v>8</x:v>
      </x:c>
      <x:c r="L45" s="204" t="n">
        <x:v>523.606</x:v>
      </x:c>
      <x:c r="M45" s="205" t="n">
        <x:f>IFERROR(K45/L45,0)</x:f>
        <x:v>0.015278663728070343</x:v>
      </x:c>
      <x:c r="N45" s="160" t="str">
        <x:v>Charlotte, Huntersville</x:v>
      </x:c>
      <x:c r="O45" s="160" t="str">
        <x:v>Includes proxy city rows</x:v>
      </x:c>
      <x:c r="P45" s="160" t="str">
        <x:v>Aggregated from 2 city/municipality screening rows; overlapping catchments are not deduplicated.</x:v>
      </x:c>
      <x:c r="Q45" s="160" t="str">
        <x:v>Verified Census land area (retained)</x:v>
      </x:c>
    </x:row>
    <x:row r="46">
      <x:c r="A46" s="28" t="n">
        <x:v>42</x:v>
      </x:c>
      <x:c r="B46" s="28" t="str">
        <x:v>Alameda County</x:v>
      </x:c>
      <x:c r="C46" s="28" t="str">
        <x:v>CA</x:v>
      </x:c>
      <x:c r="D46" s="142" t="str">
        <x:v>06001</x:v>
      </x:c>
      <x:c r="E46" s="133" t="n">
        <x:f>SUMIFS('City Density Ranking'!$E$6:$E$974,'City Density Ranking'!$O$6:$O$974,B46,'City Density Ranking'!$C$6:$C$974,C46)</x:f>
        <x:v>2</x:v>
      </x:c>
      <x:c r="F46" s="133" t="n">
        <x:f>SUMIFS('City Density Ranking'!$F$6:$F$974,'City Density Ranking'!$O$6:$O$974,B46,'City Density Ranking'!$C$6:$C$974,C46)</x:f>
        <x:v>0</x:v>
      </x:c>
      <x:c r="G46" s="133" t="n">
        <x:f>SUMIFS('City Density Ranking'!$G$6:$G$974,'City Density Ranking'!$O$6:$O$974,B46,'City Density Ranking'!$C$6:$C$974,C46)</x:f>
        <x:v>0</x:v>
      </x:c>
      <x:c r="H46" s="133" t="n">
        <x:f>SUMIFS('City Density Ranking'!$H$6:$H$974,'City Density Ranking'!$O$6:$O$974,B46,'City Density Ranking'!$C$6:$C$974,C46)</x:f>
        <x:v>0</x:v>
      </x:c>
      <x:c r="I46" s="133" t="n">
        <x:f>SUMIFS('City Density Ranking'!$I$6:$I$974,'City Density Ranking'!$O$6:$O$974,B46,'City Density Ranking'!$C$6:$C$974,C46)</x:f>
        <x:v>0</x:v>
      </x:c>
      <x:c r="J46" s="133" t="n">
        <x:f>SUMIFS('City Density Ranking'!$J$6:$J$974,'City Density Ranking'!$O$6:$O$974,B46,'City Density Ranking'!$C$6:$C$974,C46)</x:f>
        <x:v>9</x:v>
      </x:c>
      <x:c r="K46" s="133" t="n">
        <x:f>SUM(E46:J46)</x:f>
        <x:v>11</x:v>
      </x:c>
      <x:c r="L46" s="204" t="n">
        <x:v>737.462</x:v>
      </x:c>
      <x:c r="M46" s="205" t="n">
        <x:f>IFERROR(K46/L46,0)</x:f>
        <x:v>0.014916022791682826</x:v>
      </x:c>
      <x:c r="N46" s="160" t="str">
        <x:v>Alameda, Berkeley, Dublin, Fremont, Hayward, Livermore, Oakland, Pleasanton, San Leandro, Union City</x:v>
      </x:c>
      <x:c r="O46" s="160" t="str">
        <x:v>Includes proxy city rows</x:v>
      </x:c>
      <x:c r="P46" s="160" t="str">
        <x:v>Aggregated from 10 city/municipality screening rows; overlapping catchments are not deduplicated.</x:v>
      </x:c>
      <x:c r="Q46" s="160" t="str">
        <x:v>Verified Census land area (retained)</x:v>
      </x:c>
    </x:row>
    <x:row r="47">
      <x:c r="A47" s="28" t="n">
        <x:v>43</x:v>
      </x:c>
      <x:c r="B47" s="28" t="str">
        <x:v>Philadelphia County</x:v>
      </x:c>
      <x:c r="C47" s="28" t="str">
        <x:v>PA</x:v>
      </x:c>
      <x:c r="D47" s="142" t="str">
        <x:v>42101</x:v>
      </x:c>
      <x:c r="E47" s="133" t="n">
        <x:f>SUMIFS('City Density Ranking'!$E$6:$E$974,'City Density Ranking'!$O$6:$O$974,B47,'City Density Ranking'!$C$6:$C$974,C47)</x:f>
        <x:v>2</x:v>
      </x:c>
      <x:c r="F47" s="133" t="n">
        <x:f>SUMIFS('City Density Ranking'!$F$6:$F$974,'City Density Ranking'!$O$6:$O$974,B47,'City Density Ranking'!$C$6:$C$974,C47)</x:f>
        <x:v>0</x:v>
      </x:c>
      <x:c r="G47" s="133" t="n">
        <x:f>SUMIFS('City Density Ranking'!$G$6:$G$974,'City Density Ranking'!$O$6:$O$974,B47,'City Density Ranking'!$C$6:$C$974,C47)</x:f>
        <x:v>0</x:v>
      </x:c>
      <x:c r="H47" s="133" t="n">
        <x:f>SUMIFS('City Density Ranking'!$H$6:$H$974,'City Density Ranking'!$O$6:$O$974,B47,'City Density Ranking'!$C$6:$C$974,C47)</x:f>
        <x:v>0</x:v>
      </x:c>
      <x:c r="I47" s="133" t="n">
        <x:f>SUMIFS('City Density Ranking'!$I$6:$I$974,'City Density Ranking'!$O$6:$O$974,B47,'City Density Ranking'!$C$6:$C$974,C47)</x:f>
        <x:v>0</x:v>
      </x:c>
      <x:c r="J47" s="133" t="n">
        <x:f>SUMIFS('City Density Ranking'!$J$6:$J$974,'City Density Ranking'!$O$6:$O$974,B47,'City Density Ranking'!$C$6:$C$974,C47)</x:f>
        <x:v>0</x:v>
      </x:c>
      <x:c r="K47" s="133" t="n">
        <x:f>SUM(E47:J47)</x:f>
        <x:v>2</x:v>
      </x:c>
      <x:c r="L47" s="204" t="n">
        <x:v>134.356</x:v>
      </x:c>
      <x:c r="M47" s="205" t="n">
        <x:f>IFERROR(K47/L47,0)</x:f>
        <x:v>0.014885825716752508</x:v>
      </x:c>
      <x:c r="N47" s="160" t="str">
        <x:v>Philadelphia</x:v>
      </x:c>
      <x:c r="O47" s="160" t="str">
        <x:v>Lower-bound city counts only</x:v>
      </x:c>
      <x:c r="P47" s="160" t="str">
        <x:v>Aggregated from 1 city/municipality screening rows; overlapping catchments are not deduplicated.</x:v>
      </x:c>
      <x:c r="Q47" s="160" t="str">
        <x:v>Verified Census land area (retained)</x:v>
      </x:c>
    </x:row>
    <x:row r="48">
      <x:c r="A48" s="28" t="n">
        <x:v>44</x:v>
      </x:c>
      <x:c r="B48" s="28" t="str">
        <x:v>Cobb County</x:v>
      </x:c>
      <x:c r="C48" s="28" t="str">
        <x:v>GA</x:v>
      </x:c>
      <x:c r="D48" s="142" t="str">
        <x:v>13067</x:v>
      </x:c>
      <x:c r="E48" s="133" t="n">
        <x:f>SUMIFS('City Density Ranking'!$E$6:$E$974,'City Density Ranking'!$O$6:$O$974,B48,'City Density Ranking'!$C$6:$C$974,C48)</x:f>
        <x:v>1</x:v>
      </x:c>
      <x:c r="F48" s="133" t="n">
        <x:f>SUMIFS('City Density Ranking'!$F$6:$F$974,'City Density Ranking'!$O$6:$O$974,B48,'City Density Ranking'!$C$6:$C$974,C48)</x:f>
        <x:v>4</x:v>
      </x:c>
      <x:c r="G48" s="133" t="n">
        <x:f>SUMIFS('City Density Ranking'!$G$6:$G$974,'City Density Ranking'!$O$6:$O$974,B48,'City Density Ranking'!$C$6:$C$974,C48)</x:f>
        <x:v>0</x:v>
      </x:c>
      <x:c r="H48" s="133" t="n">
        <x:f>SUMIFS('City Density Ranking'!$H$6:$H$974,'City Density Ranking'!$O$6:$O$974,B48,'City Density Ranking'!$C$6:$C$974,C48)</x:f>
        <x:v>0</x:v>
      </x:c>
      <x:c r="I48" s="133" t="n">
        <x:f>SUMIFS('City Density Ranking'!$I$6:$I$974,'City Density Ranking'!$O$6:$O$974,B48,'City Density Ranking'!$C$6:$C$974,C48)</x:f>
        <x:v>0</x:v>
      </x:c>
      <x:c r="J48" s="133" t="n">
        <x:f>SUMIFS('City Density Ranking'!$J$6:$J$974,'City Density Ranking'!$O$6:$O$974,B48,'City Density Ranking'!$C$6:$C$974,C48)</x:f>
        <x:v>0</x:v>
      </x:c>
      <x:c r="K48" s="133" t="n">
        <x:f>SUM(E48:J48)</x:f>
        <x:v>5</x:v>
      </x:c>
      <x:c r="L48" s="204" t="n">
        <x:v>339.78</x:v>
      </x:c>
      <x:c r="M48" s="205" t="n">
        <x:f>IFERROR(K48/L48,0)</x:f>
        <x:v>0.014715404084996175</x:v>
      </x:c>
      <x:c r="N48" s="160" t="str">
        <x:v>Marietta, Smyrna</x:v>
      </x:c>
      <x:c r="O48" s="160" t="str">
        <x:v>Lower-bound city counts only</x:v>
      </x:c>
      <x:c r="P48" s="160" t="str">
        <x:v>Aggregated from 2 city/municipality screening rows; overlapping catchments are not deduplicated.</x:v>
      </x:c>
      <x:c r="Q48" s="160" t="str">
        <x:v>Verified Census QuickFacts land area (2020)</x:v>
      </x:c>
    </x:row>
    <x:row r="49">
      <x:c r="A49" s="28" t="n">
        <x:v>45</x:v>
      </x:c>
      <x:c r="B49" s="28" t="str">
        <x:v>Cumberland County</x:v>
      </x:c>
      <x:c r="C49" s="28" t="str">
        <x:v>PA</x:v>
      </x:c>
      <x:c r="D49" s="142" t="str">
        <x:v>42041</x:v>
      </x:c>
      <x:c r="E49" s="133" t="n">
        <x:f>SUMIFS('City Density Ranking'!$E$6:$E$974,'City Density Ranking'!$O$6:$O$974,B49,'City Density Ranking'!$C$6:$C$974,C49)</x:f>
        <x:v>0</x:v>
      </x:c>
      <x:c r="F49" s="133" t="n">
        <x:f>SUMIFS('City Density Ranking'!$F$6:$F$974,'City Density Ranking'!$O$6:$O$974,B49,'City Density Ranking'!$C$6:$C$974,C49)</x:f>
        <x:v>0</x:v>
      </x:c>
      <x:c r="G49" s="133" t="n">
        <x:f>SUMIFS('City Density Ranking'!$G$6:$G$974,'City Density Ranking'!$O$6:$O$974,B49,'City Density Ranking'!$C$6:$C$974,C49)</x:f>
        <x:v>0</x:v>
      </x:c>
      <x:c r="H49" s="133" t="n">
        <x:f>SUMIFS('City Density Ranking'!$H$6:$H$974,'City Density Ranking'!$O$6:$O$974,B49,'City Density Ranking'!$C$6:$C$974,C49)</x:f>
        <x:v>0</x:v>
      </x:c>
      <x:c r="I49" s="133" t="n">
        <x:f>SUMIFS('City Density Ranking'!$I$6:$I$974,'City Density Ranking'!$O$6:$O$974,B49,'City Density Ranking'!$C$6:$C$974,C49)</x:f>
        <x:v>0</x:v>
      </x:c>
      <x:c r="J49" s="133" t="n">
        <x:f>SUMIFS('City Density Ranking'!$J$6:$J$974,'City Density Ranking'!$O$6:$O$974,B49,'City Density Ranking'!$C$6:$C$974,C49)</x:f>
        <x:v>8</x:v>
      </x:c>
      <x:c r="K49" s="133" t="n">
        <x:f>SUM(E49:J49)</x:f>
        <x:v>8</x:v>
      </x:c>
      <x:c r="L49" s="204" t="n">
        <x:v>545.48</x:v>
      </x:c>
      <x:c r="M49" s="205" t="n">
        <x:f>IFERROR(K49/L49,0)</x:f>
        <x:v>0.014665982254161472</x:v>
      </x:c>
      <x:c r="N49" s="160" t="str">
        <x:v>Carlisle Borough, East Pennsboro Township, Hampden Township, Lower Allen Township, North Middleton Township, Silver Spring Township, South Middleton Township, Upper Allen Township</x:v>
      </x:c>
      <x:c r="O49" s="160" t="str">
        <x:v>Includes proxy city rows</x:v>
      </x:c>
      <x:c r="P49" s="160" t="str">
        <x:v>Aggregated from 8 city/municipality screening rows; overlapping catchments are not deduplicated.</x:v>
      </x:c>
      <x:c r="Q49" s="160" t="str">
        <x:v>U.S. Census Bureau QuickFacts — 2020 land area</x:v>
      </x:c>
    </x:row>
    <x:row r="50">
      <x:c r="A50" s="28" t="n">
        <x:v>46</x:v>
      </x:c>
      <x:c r="B50" s="28" t="str">
        <x:v>York County</x:v>
      </x:c>
      <x:c r="C50" s="28" t="str">
        <x:v>PA</x:v>
      </x:c>
      <x:c r="D50" s="142" t="str">
        <x:v>42133</x:v>
      </x:c>
      <x:c r="E50" s="133" t="n">
        <x:f>SUMIFS('City Density Ranking'!$E$6:$E$974,'City Density Ranking'!$O$6:$O$974,B50,'City Density Ranking'!$C$6:$C$974,C50)</x:f>
        <x:v>0</x:v>
      </x:c>
      <x:c r="F50" s="133" t="n">
        <x:f>SUMIFS('City Density Ranking'!$F$6:$F$974,'City Density Ranking'!$O$6:$O$974,B50,'City Density Ranking'!$C$6:$C$974,C50)</x:f>
        <x:v>0</x:v>
      </x:c>
      <x:c r="G50" s="133" t="n">
        <x:f>SUMIFS('City Density Ranking'!$G$6:$G$974,'City Density Ranking'!$O$6:$O$974,B50,'City Density Ranking'!$C$6:$C$974,C50)</x:f>
        <x:v>0</x:v>
      </x:c>
      <x:c r="H50" s="133" t="n">
        <x:f>SUMIFS('City Density Ranking'!$H$6:$H$974,'City Density Ranking'!$O$6:$O$974,B50,'City Density Ranking'!$C$6:$C$974,C50)</x:f>
        <x:v>0</x:v>
      </x:c>
      <x:c r="I50" s="133" t="n">
        <x:f>SUMIFS('City Density Ranking'!$I$6:$I$974,'City Density Ranking'!$O$6:$O$974,B50,'City Density Ranking'!$C$6:$C$974,C50)</x:f>
        <x:v>0</x:v>
      </x:c>
      <x:c r="J50" s="133" t="n">
        <x:f>SUMIFS('City Density Ranking'!$J$6:$J$974,'City Density Ranking'!$O$6:$O$974,B50,'City Density Ranking'!$C$6:$C$974,C50)</x:f>
        <x:v>13</x:v>
      </x:c>
      <x:c r="K50" s="133" t="n">
        <x:f>SUM(E50:J50)</x:f>
        <x:v>13</x:v>
      </x:c>
      <x:c r="L50" s="204" t="n">
        <x:v>904.352</x:v>
      </x:c>
      <x:c r="M50" s="205" t="n">
        <x:f>IFERROR(K50/L50,0)</x:f>
        <x:v>0.014374933654152365</x:v>
      </x:c>
      <x:c r="N50" s="160" t="str">
        <x:v>Dover Township, Fairview Township, Hanover Borough, Manchester Township, Newberry Township, Penn Township, Spring Garden Township, Springettsbury Township, West Manchester Township, West Manheim Township, Windsor Township, York City, York Township</x:v>
      </x:c>
      <x:c r="O50" s="160" t="str">
        <x:v>Includes proxy city rows</x:v>
      </x:c>
      <x:c r="P50" s="160" t="str">
        <x:v>Aggregated from 13 city/municipality screening rows; overlapping catchments are not deduplicated.</x:v>
      </x:c>
      <x:c r="Q50" s="160" t="str">
        <x:v>U.S. Census Bureau 2025 Gazetteer — ALAND_SQMI</x:v>
      </x:c>
    </x:row>
    <x:row r="51">
      <x:c r="A51" s="28" t="n">
        <x:v>47</x:v>
      </x:c>
      <x:c r="B51" s="28" t="str">
        <x:v>Livingston County</x:v>
      </x:c>
      <x:c r="C51" s="28" t="str">
        <x:v>MI</x:v>
      </x:c>
      <x:c r="D51" s="142" t="str">
        <x:v>26093</x:v>
      </x:c>
      <x:c r="E51" s="133" t="n">
        <x:f>SUMIFS('City Density Ranking'!$E$6:$E$974,'City Density Ranking'!$O$6:$O$974,B51,'City Density Ranking'!$C$6:$C$974,C51)</x:f>
        <x:v>0</x:v>
      </x:c>
      <x:c r="F51" s="133" t="n">
        <x:f>SUMIFS('City Density Ranking'!$F$6:$F$974,'City Density Ranking'!$O$6:$O$974,B51,'City Density Ranking'!$C$6:$C$974,C51)</x:f>
        <x:v>0</x:v>
      </x:c>
      <x:c r="G51" s="133" t="n">
        <x:f>SUMIFS('City Density Ranking'!$G$6:$G$974,'City Density Ranking'!$O$6:$O$974,B51,'City Density Ranking'!$C$6:$C$974,C51)</x:f>
        <x:v>0</x:v>
      </x:c>
      <x:c r="H51" s="133" t="n">
        <x:f>SUMIFS('City Density Ranking'!$H$6:$H$974,'City Density Ranking'!$O$6:$O$974,B51,'City Density Ranking'!$C$6:$C$974,C51)</x:f>
        <x:v>0</x:v>
      </x:c>
      <x:c r="I51" s="133" t="n">
        <x:f>SUMIFS('City Density Ranking'!$I$6:$I$974,'City Density Ranking'!$O$6:$O$974,B51,'City Density Ranking'!$C$6:$C$974,C51)</x:f>
        <x:v>0</x:v>
      </x:c>
      <x:c r="J51" s="133" t="n">
        <x:f>SUMIFS('City Density Ranking'!$J$6:$J$974,'City Density Ranking'!$O$6:$O$974,B51,'City Density Ranking'!$C$6:$C$974,C51)</x:f>
        <x:v>8</x:v>
      </x:c>
      <x:c r="K51" s="133" t="n">
        <x:f>SUM(E51:J51)</x:f>
        <x:v>8</x:v>
      </x:c>
      <x:c r="L51" s="204" t="n">
        <x:v>565.28</x:v>
      </x:c>
      <x:c r="M51" s="205" t="n">
        <x:f>IFERROR(K51/L51,0)</x:f>
        <x:v>0.014152278516841213</x:v>
      </x:c>
      <x:c r="N51" s="160" t="str">
        <x:v>Brighton Township, Genoa Township, Green Oak Township, Hamburg Township, Hartland Township, Marion Township, Oceola Township, Tyrone Township</x:v>
      </x:c>
      <x:c r="O51" s="160" t="str">
        <x:v>Includes proxy city rows</x:v>
      </x:c>
      <x:c r="P51" s="160" t="str">
        <x:v>Aggregated from 8 city/municipality screening rows; overlapping catchments are not deduplicated.</x:v>
      </x:c>
      <x:c r="Q51" s="160" t="str">
        <x:v>U.S. Census Bureau QuickFacts — 2020 land area</x:v>
      </x:c>
    </x:row>
    <x:row r="52">
      <x:c r="A52" s="28" t="n">
        <x:v>48</x:v>
      </x:c>
      <x:c r="B52" s="28" t="str">
        <x:v>Broward County</x:v>
      </x:c>
      <x:c r="C52" s="28" t="str">
        <x:v>FL</x:v>
      </x:c>
      <x:c r="D52" s="142" t="str">
        <x:v>12011</x:v>
      </x:c>
      <x:c r="E52" s="133" t="n">
        <x:f>SUMIFS('City Density Ranking'!$E$6:$E$974,'City Density Ranking'!$O$6:$O$974,B52,'City Density Ranking'!$C$6:$C$974,C52)</x:f>
        <x:v>0</x:v>
      </x:c>
      <x:c r="F52" s="133" t="n">
        <x:f>SUMIFS('City Density Ranking'!$F$6:$F$974,'City Density Ranking'!$O$6:$O$974,B52,'City Density Ranking'!$C$6:$C$974,C52)</x:f>
        <x:v>0</x:v>
      </x:c>
      <x:c r="G52" s="133" t="n">
        <x:f>SUMIFS('City Density Ranking'!$G$6:$G$974,'City Density Ranking'!$O$6:$O$974,B52,'City Density Ranking'!$C$6:$C$974,C52)</x:f>
        <x:v>0</x:v>
      </x:c>
      <x:c r="H52" s="133" t="n">
        <x:f>SUMIFS('City Density Ranking'!$H$6:$H$974,'City Density Ranking'!$O$6:$O$974,B52,'City Density Ranking'!$C$6:$C$974,C52)</x:f>
        <x:v>0</x:v>
      </x:c>
      <x:c r="I52" s="133" t="n">
        <x:f>SUMIFS('City Density Ranking'!$I$6:$I$974,'City Density Ranking'!$O$6:$O$974,B52,'City Density Ranking'!$C$6:$C$974,C52)</x:f>
        <x:v>0</x:v>
      </x:c>
      <x:c r="J52" s="133" t="n">
        <x:f>SUMIFS('City Density Ranking'!$J$6:$J$974,'City Density Ranking'!$O$6:$O$974,B52,'City Density Ranking'!$C$6:$C$974,C52)</x:f>
        <x:v>15</x:v>
      </x:c>
      <x:c r="K52" s="133" t="n">
        <x:f>SUM(E52:J52)</x:f>
        <x:v>15</x:v>
      </x:c>
      <x:c r="L52" s="204" t="n">
        <x:v>1102.331822636874</x:v>
      </x:c>
      <x:c r="M52" s="205" t="n">
        <x:f>IFERROR(K52/L52,0)</x:f>
        <x:v>0.013607517892496916</x:v>
      </x:c>
      <x:c r="N52" s="160" t="str">
        <x:v>Coconut Creek, Coral Springs, Davie, Deerfield Beach, Fort Lauderdale, Hollywood, Lauderhill, Margate, Miramar, Pembroke Pines, Plantation, Pompano Beach, Sunrise, Tamarac, Weston</x:v>
      </x:c>
      <x:c r="O52" s="160" t="str">
        <x:v>Includes proxy city rows</x:v>
      </x:c>
      <x:c r="P52" s="160" t="str">
        <x:v>Aggregated from 15 city/municipality screening rows; overlapping catchments are not deduplicated.</x:v>
      </x:c>
      <x:c r="Q52" s="160" t="str">
        <x:v>Estimated county land area: geodesic polygon × 0.900 land/total calibration</x:v>
      </x:c>
    </x:row>
    <x:row r="53">
      <x:c r="A53" s="28" t="n">
        <x:v>50</x:v>
      </x:c>
      <x:c r="B53" s="28" t="str">
        <x:v>Clermont County</x:v>
      </x:c>
      <x:c r="C53" s="28" t="str">
        <x:v>OH</x:v>
      </x:c>
      <x:c r="D53" s="142" t="str">
        <x:v>39025</x:v>
      </x:c>
      <x:c r="E53" s="133" t="n">
        <x:f>SUMIFS('City Density Ranking'!$E$6:$E$974,'City Density Ranking'!$O$6:$O$974,B53,'City Density Ranking'!$C$6:$C$974,C53)</x:f>
        <x:v>0</x:v>
      </x:c>
      <x:c r="F53" s="133" t="n">
        <x:f>SUMIFS('City Density Ranking'!$F$6:$F$974,'City Density Ranking'!$O$6:$O$974,B53,'City Density Ranking'!$C$6:$C$974,C53)</x:f>
        <x:v>0</x:v>
      </x:c>
      <x:c r="G53" s="133" t="n">
        <x:f>SUMIFS('City Density Ranking'!$G$6:$G$974,'City Density Ranking'!$O$6:$O$974,B53,'City Density Ranking'!$C$6:$C$974,C53)</x:f>
        <x:v>0</x:v>
      </x:c>
      <x:c r="H53" s="133" t="n">
        <x:f>SUMIFS('City Density Ranking'!$H$6:$H$974,'City Density Ranking'!$O$6:$O$974,B53,'City Density Ranking'!$C$6:$C$974,C53)</x:f>
        <x:v>0</x:v>
      </x:c>
      <x:c r="I53" s="133" t="n">
        <x:f>SUMIFS('City Density Ranking'!$I$6:$I$974,'City Density Ranking'!$O$6:$O$974,B53,'City Density Ranking'!$C$6:$C$974,C53)</x:f>
        <x:v>0</x:v>
      </x:c>
      <x:c r="J53" s="133" t="n">
        <x:f>SUMIFS('City Density Ranking'!$J$6:$J$974,'City Density Ranking'!$O$6:$O$974,B53,'City Density Ranking'!$C$6:$C$974,C53)</x:f>
        <x:v>6</x:v>
      </x:c>
      <x:c r="K53" s="133" t="n">
        <x:f>SUM(E53:J53)</x:f>
        <x:v>6</x:v>
      </x:c>
      <x:c r="L53" s="204" t="n">
        <x:v>452.56</x:v>
      </x:c>
      <x:c r="M53" s="205" t="n">
        <x:f>IFERROR(K53/L53,0)</x:f>
        <x:v>0.0132579105532968</x:v>
      </x:c>
      <x:c r="N53" s="160" t="str">
        <x:v>Batavia Township, Goshen Township, Loveland City, Miami Township, Pierce Township, Union Township</x:v>
      </x:c>
      <x:c r="O53" s="160" t="str">
        <x:v>Includes proxy city rows</x:v>
      </x:c>
      <x:c r="P53" s="160" t="str">
        <x:v>Aggregated from 6 city/municipality screening rows; overlapping catchments are not deduplicated.</x:v>
      </x:c>
      <x:c r="Q53" s="160" t="str">
        <x:v>U.S. Census Bureau QuickFacts — 2020 land area</x:v>
      </x:c>
    </x:row>
    <x:row r="54">
      <x:c r="A54" s="28" t="n">
        <x:v>51</x:v>
      </x:c>
      <x:c r="B54" s="28" t="str">
        <x:v>Atlantic County</x:v>
      </x:c>
      <x:c r="C54" s="28" t="str">
        <x:v>NJ</x:v>
      </x:c>
      <x:c r="D54" s="142" t="str">
        <x:v>34001</x:v>
      </x:c>
      <x:c r="E54" s="133" t="n">
        <x:f>SUMIFS('City Density Ranking'!$E$6:$E$974,'City Density Ranking'!$O$6:$O$974,B54,'City Density Ranking'!$C$6:$C$974,C54)</x:f>
        <x:v>0</x:v>
      </x:c>
      <x:c r="F54" s="133" t="n">
        <x:f>SUMIFS('City Density Ranking'!$F$6:$F$974,'City Density Ranking'!$O$6:$O$974,B54,'City Density Ranking'!$C$6:$C$974,C54)</x:f>
        <x:v>0</x:v>
      </x:c>
      <x:c r="G54" s="133" t="n">
        <x:f>SUMIFS('City Density Ranking'!$G$6:$G$974,'City Density Ranking'!$O$6:$O$974,B54,'City Density Ranking'!$C$6:$C$974,C54)</x:f>
        <x:v>0</x:v>
      </x:c>
      <x:c r="H54" s="133" t="n">
        <x:f>SUMIFS('City Density Ranking'!$H$6:$H$974,'City Density Ranking'!$O$6:$O$974,B54,'City Density Ranking'!$C$6:$C$974,C54)</x:f>
        <x:v>0</x:v>
      </x:c>
      <x:c r="I54" s="133" t="n">
        <x:f>SUMIFS('City Density Ranking'!$I$6:$I$974,'City Density Ranking'!$O$6:$O$974,B54,'City Density Ranking'!$C$6:$C$974,C54)</x:f>
        <x:v>0</x:v>
      </x:c>
      <x:c r="J54" s="133" t="n">
        <x:f>SUMIFS('City Density Ranking'!$J$6:$J$974,'City Density Ranking'!$O$6:$O$974,B54,'City Density Ranking'!$C$6:$C$974,C54)</x:f>
        <x:v>7</x:v>
      </x:c>
      <x:c r="K54" s="133" t="n">
        <x:f>SUM(E54:J54)</x:f>
        <x:v>7</x:v>
      </x:c>
      <x:c r="L54" s="204" t="n">
        <x:v>555.51</x:v>
      </x:c>
      <x:c r="M54" s="205" t="n">
        <x:f>IFERROR(K54/L54,0)</x:f>
        <x:v>0.012601033284729349</x:v>
      </x:c>
      <x:c r="N54" s="160" t="str">
        <x:v>Atlantic City, Egg Harbor Township, Galloway Township, Hamilton Township, Hammonton Town, Pleasantville City, Somers Point City</x:v>
      </x:c>
      <x:c r="O54" s="160" t="str">
        <x:v>Includes proxy city rows</x:v>
      </x:c>
      <x:c r="P54" s="160" t="str">
        <x:v>Aggregated from 7 city/municipality screening rows; overlapping catchments are not deduplicated.</x:v>
      </x:c>
      <x:c r="Q54" s="160" t="str">
        <x:v>U.S. Census Bureau QuickFacts — 2020 land area</x:v>
      </x:c>
    </x:row>
    <x:row r="55">
      <x:c r="A55" s="28" t="n">
        <x:v>52</x:v>
      </x:c>
      <x:c r="B55" s="28" t="str">
        <x:v>Dutchess County</x:v>
      </x:c>
      <x:c r="C55" s="28" t="str">
        <x:v>NY</x:v>
      </x:c>
      <x:c r="D55" s="142" t="str">
        <x:v>36027</x:v>
      </x:c>
      <x:c r="E55" s="133" t="n">
        <x:f>SUMIFS('City Density Ranking'!$E$6:$E$974,'City Density Ranking'!$O$6:$O$974,B55,'City Density Ranking'!$C$6:$C$974,C55)</x:f>
        <x:v>0</x:v>
      </x:c>
      <x:c r="F55" s="133" t="n">
        <x:f>SUMIFS('City Density Ranking'!$F$6:$F$974,'City Density Ranking'!$O$6:$O$974,B55,'City Density Ranking'!$C$6:$C$974,C55)</x:f>
        <x:v>0</x:v>
      </x:c>
      <x:c r="G55" s="133" t="n">
        <x:f>SUMIFS('City Density Ranking'!$G$6:$G$974,'City Density Ranking'!$O$6:$O$974,B55,'City Density Ranking'!$C$6:$C$974,C55)</x:f>
        <x:v>0</x:v>
      </x:c>
      <x:c r="H55" s="133" t="n">
        <x:f>SUMIFS('City Density Ranking'!$H$6:$H$974,'City Density Ranking'!$O$6:$O$974,B55,'City Density Ranking'!$C$6:$C$974,C55)</x:f>
        <x:v>0</x:v>
      </x:c>
      <x:c r="I55" s="133" t="n">
        <x:f>SUMIFS('City Density Ranking'!$I$6:$I$974,'City Density Ranking'!$O$6:$O$974,B55,'City Density Ranking'!$C$6:$C$974,C55)</x:f>
        <x:v>0</x:v>
      </x:c>
      <x:c r="J55" s="133" t="n">
        <x:f>SUMIFS('City Density Ranking'!$J$6:$J$974,'City Density Ranking'!$O$6:$O$974,B55,'City Density Ranking'!$C$6:$C$974,C55)</x:f>
        <x:v>10</x:v>
      </x:c>
      <x:c r="K55" s="133" t="n">
        <x:f>SUM(E55:J55)</x:f>
        <x:v>10</x:v>
      </x:c>
      <x:c r="L55" s="204" t="n">
        <x:v>795.65</x:v>
      </x:c>
      <x:c r="M55" s="205" t="n">
        <x:f>IFERROR(K55/L55,0)</x:f>
        <x:v>0.012568340350656695</x:v>
      </x:c>
      <x:c r="N55" s="160" t="str">
        <x:v>Beacon City, Beekman Town, East Fishkill Town, Fishkill Town, Hyde Park Town, LaGrange Town, Poughkeepsie City, Poughkeepsie Town, Red Hook Town, Wappinger Town</x:v>
      </x:c>
      <x:c r="O55" s="160" t="str">
        <x:v>Includes proxy city rows</x:v>
      </x:c>
      <x:c r="P55" s="160" t="str">
        <x:v>Aggregated from 10 city/municipality screening rows; overlapping catchments are not deduplicated.</x:v>
      </x:c>
      <x:c r="Q55" s="160" t="str">
        <x:v>U.S. Census Bureau QuickFacts 2020 land area</x:v>
      </x:c>
    </x:row>
    <x:row r="56">
      <x:c r="A56" s="28" t="n">
        <x:v>53</x:v>
      </x:c>
      <x:c r="B56" s="28" t="str">
        <x:v>Baltimore city</x:v>
      </x:c>
      <x:c r="C56" s="28" t="str">
        <x:v>MD</x:v>
      </x:c>
      <x:c r="D56" s="142" t="str">
        <x:v>24510</x:v>
      </x:c>
      <x:c r="E56" s="133" t="n">
        <x:f>SUMIFS('City Density Ranking'!$E$6:$E$974,'City Density Ranking'!$O$6:$O$974,B56,'City Density Ranking'!$C$6:$C$974,C56)</x:f>
        <x:v>1</x:v>
      </x:c>
      <x:c r="F56" s="133" t="n">
        <x:f>SUMIFS('City Density Ranking'!$F$6:$F$974,'City Density Ranking'!$O$6:$O$974,B56,'City Density Ranking'!$C$6:$C$974,C56)</x:f>
        <x:v>0</x:v>
      </x:c>
      <x:c r="G56" s="133" t="n">
        <x:f>SUMIFS('City Density Ranking'!$G$6:$G$974,'City Density Ranking'!$O$6:$O$974,B56,'City Density Ranking'!$C$6:$C$974,C56)</x:f>
        <x:v>0</x:v>
      </x:c>
      <x:c r="H56" s="133" t="n">
        <x:f>SUMIFS('City Density Ranking'!$H$6:$H$974,'City Density Ranking'!$O$6:$O$974,B56,'City Density Ranking'!$C$6:$C$974,C56)</x:f>
        <x:v>0</x:v>
      </x:c>
      <x:c r="I56" s="133" t="n">
        <x:f>SUMIFS('City Density Ranking'!$I$6:$I$974,'City Density Ranking'!$O$6:$O$974,B56,'City Density Ranking'!$C$6:$C$974,C56)</x:f>
        <x:v>0</x:v>
      </x:c>
      <x:c r="J56" s="133" t="n">
        <x:f>SUMIFS('City Density Ranking'!$J$6:$J$974,'City Density Ranking'!$O$6:$O$974,B56,'City Density Ranking'!$C$6:$C$974,C56)</x:f>
        <x:v>0</x:v>
      </x:c>
      <x:c r="K56" s="133" t="n">
        <x:f>SUM(E56:J56)</x:f>
        <x:v>1</x:v>
      </x:c>
      <x:c r="L56" s="204" t="n">
        <x:v>80.946</x:v>
      </x:c>
      <x:c r="M56" s="205" t="n">
        <x:f>IFERROR(K56/L56,0)</x:f>
        <x:v>0.012353914955649446</x:v>
      </x:c>
      <x:c r="N56" s="160" t="str">
        <x:v>Baltimore</x:v>
      </x:c>
      <x:c r="O56" s="160" t="str">
        <x:v>Lower-bound city counts only</x:v>
      </x:c>
      <x:c r="P56" s="160" t="str">
        <x:v>Aggregated from 1 city/municipality screening rows; overlapping catchments are not deduplicated.</x:v>
      </x:c>
      <x:c r="Q56" s="160" t="str">
        <x:v>Verified Census land area (retained)</x:v>
      </x:c>
    </x:row>
    <x:row r="57">
      <x:c r="A57" s="28" t="n">
        <x:v>54</x:v>
      </x:c>
      <x:c r="B57" s="28" t="str">
        <x:v>Virginia Beach city</x:v>
      </x:c>
      <x:c r="C57" s="28" t="str">
        <x:v>VA</x:v>
      </x:c>
      <x:c r="D57" s="142" t="str">
        <x:v>51810</x:v>
      </x:c>
      <x:c r="E57" s="133" t="n">
        <x:f>SUMIFS('City Density Ranking'!$E$6:$E$974,'City Density Ranking'!$O$6:$O$974,B57,'City Density Ranking'!$C$6:$C$974,C57)</x:f>
        <x:v>1</x:v>
      </x:c>
      <x:c r="F57" s="133" t="n">
        <x:f>SUMIFS('City Density Ranking'!$F$6:$F$974,'City Density Ranking'!$O$6:$O$974,B57,'City Density Ranking'!$C$6:$C$974,C57)</x:f>
        <x:v>0</x:v>
      </x:c>
      <x:c r="G57" s="133" t="n">
        <x:f>SUMIFS('City Density Ranking'!$G$6:$G$974,'City Density Ranking'!$O$6:$O$974,B57,'City Density Ranking'!$C$6:$C$974,C57)</x:f>
        <x:v>2</x:v>
      </x:c>
      <x:c r="H57" s="133" t="n">
        <x:f>SUMIFS('City Density Ranking'!$H$6:$H$974,'City Density Ranking'!$O$6:$O$974,B57,'City Density Ranking'!$C$6:$C$974,C57)</x:f>
        <x:v>0</x:v>
      </x:c>
      <x:c r="I57" s="133" t="n">
        <x:f>SUMIFS('City Density Ranking'!$I$6:$I$974,'City Density Ranking'!$O$6:$O$974,B57,'City Density Ranking'!$C$6:$C$974,C57)</x:f>
        <x:v>0</x:v>
      </x:c>
      <x:c r="J57" s="133" t="n">
        <x:f>SUMIFS('City Density Ranking'!$J$6:$J$974,'City Density Ranking'!$O$6:$O$974,B57,'City Density Ranking'!$C$6:$C$974,C57)</x:f>
        <x:v>0</x:v>
      </x:c>
      <x:c r="K57" s="133" t="n">
        <x:f>SUM(E57:J57)</x:f>
        <x:v>3</x:v>
      </x:c>
      <x:c r="L57" s="204" t="n">
        <x:v>244.723</x:v>
      </x:c>
      <x:c r="M57" s="205" t="n">
        <x:f>IFERROR(K57/L57,0)</x:f>
        <x:v>0.012258757860928478</x:v>
      </x:c>
      <x:c r="N57" s="160" t="str">
        <x:v>Virginia Beach</x:v>
      </x:c>
      <x:c r="O57" s="160" t="str">
        <x:v>Lower-bound city counts only</x:v>
      </x:c>
      <x:c r="P57" s="160" t="str">
        <x:v>Aggregated from 1 city/municipality screening rows; overlapping catchments are not deduplicated.</x:v>
      </x:c>
      <x:c r="Q57" s="160" t="str">
        <x:v>Verified Census land area (retained)</x:v>
      </x:c>
    </x:row>
    <x:row r="58">
      <x:c r="A58" s="28" t="n">
        <x:v>55</x:v>
      </x:c>
      <x:c r="B58" s="28" t="str">
        <x:v>Washington County</x:v>
      </x:c>
      <x:c r="C58" s="28" t="str">
        <x:v>RI</x:v>
      </x:c>
      <x:c r="D58" s="142" t="str">
        <x:v>44009</x:v>
      </x:c>
      <x:c r="E58" s="133" t="n">
        <x:f>SUMIFS('City Density Ranking'!$E$6:$E$974,'City Density Ranking'!$O$6:$O$974,B58,'City Density Ranking'!$C$6:$C$974,C58)</x:f>
        <x:v>0</x:v>
      </x:c>
      <x:c r="F58" s="133" t="n">
        <x:f>SUMIFS('City Density Ranking'!$F$6:$F$974,'City Density Ranking'!$O$6:$O$974,B58,'City Density Ranking'!$C$6:$C$974,C58)</x:f>
        <x:v>0</x:v>
      </x:c>
      <x:c r="G58" s="133" t="n">
        <x:f>SUMIFS('City Density Ranking'!$G$6:$G$974,'City Density Ranking'!$O$6:$O$974,B58,'City Density Ranking'!$C$6:$C$974,C58)</x:f>
        <x:v>0</x:v>
      </x:c>
      <x:c r="H58" s="133" t="n">
        <x:f>SUMIFS('City Density Ranking'!$H$6:$H$974,'City Density Ranking'!$O$6:$O$974,B58,'City Density Ranking'!$C$6:$C$974,C58)</x:f>
        <x:v>0</x:v>
      </x:c>
      <x:c r="I58" s="133" t="n">
        <x:f>SUMIFS('City Density Ranking'!$I$6:$I$974,'City Density Ranking'!$O$6:$O$974,B58,'City Density Ranking'!$C$6:$C$974,C58)</x:f>
        <x:v>0</x:v>
      </x:c>
      <x:c r="J58" s="133" t="n">
        <x:f>SUMIFS('City Density Ranking'!$J$6:$J$974,'City Density Ranking'!$O$6:$O$974,B58,'City Density Ranking'!$C$6:$C$974,C58)</x:f>
        <x:v>4</x:v>
      </x:c>
      <x:c r="K58" s="133" t="n">
        <x:f>SUM(E58:J58)</x:f>
        <x:v>4</x:v>
      </x:c>
      <x:c r="L58" s="204" t="n">
        <x:v>329.279</x:v>
      </x:c>
      <x:c r="M58" s="205" t="n">
        <x:f>IFERROR(K58/L58,0)</x:f>
        <x:v>0.012147753121213318</x:v>
      </x:c>
      <x:c r="N58" s="160" t="str">
        <x:v>Narragansett Town, North Kingstown Town, South Kingstown Town, Westerly Town</x:v>
      </x:c>
      <x:c r="O58" s="160" t="str">
        <x:v>Includes proxy city rows</x:v>
      </x:c>
      <x:c r="P58" s="160" t="str">
        <x:v>Aggregated from 4 city/municipality screening rows; overlapping catchments are not deduplicated.</x:v>
      </x:c>
      <x:c r="Q58" s="160" t="str">
        <x:v>U.S. Census Bureau TIGER/BAS26 — ALAND_SQMI</x:v>
      </x:c>
    </x:row>
    <x:row r="59">
      <x:c r="A59" s="28" t="n">
        <x:v>56</x:v>
      </x:c>
      <x:c r="B59" s="28" t="str">
        <x:v>Greene County</x:v>
      </x:c>
      <x:c r="C59" s="28" t="str">
        <x:v>OH</x:v>
      </x:c>
      <x:c r="D59" s="142" t="str">
        <x:v>39057</x:v>
      </x:c>
      <x:c r="E59" s="133" t="n">
        <x:f>SUMIFS('City Density Ranking'!$E$6:$E$974,'City Density Ranking'!$O$6:$O$974,B59,'City Density Ranking'!$C$6:$C$974,C59)</x:f>
        <x:v>0</x:v>
      </x:c>
      <x:c r="F59" s="133" t="n">
        <x:f>SUMIFS('City Density Ranking'!$F$6:$F$974,'City Density Ranking'!$O$6:$O$974,B59,'City Density Ranking'!$C$6:$C$974,C59)</x:f>
        <x:v>0</x:v>
      </x:c>
      <x:c r="G59" s="133" t="n">
        <x:f>SUMIFS('City Density Ranking'!$G$6:$G$974,'City Density Ranking'!$O$6:$O$974,B59,'City Density Ranking'!$C$6:$C$974,C59)</x:f>
        <x:v>0</x:v>
      </x:c>
      <x:c r="H59" s="133" t="n">
        <x:f>SUMIFS('City Density Ranking'!$H$6:$H$974,'City Density Ranking'!$O$6:$O$974,B59,'City Density Ranking'!$C$6:$C$974,C59)</x:f>
        <x:v>1</x:v>
      </x:c>
      <x:c r="I59" s="133" t="n">
        <x:f>SUMIFS('City Density Ranking'!$I$6:$I$974,'City Density Ranking'!$O$6:$O$974,B59,'City Density Ranking'!$C$6:$C$974,C59)</x:f>
        <x:v>0</x:v>
      </x:c>
      <x:c r="J59" s="133" t="n">
        <x:f>SUMIFS('City Density Ranking'!$J$6:$J$974,'City Density Ranking'!$O$6:$O$974,B59,'City Density Ranking'!$C$6:$C$974,C59)</x:f>
        <x:v>4</x:v>
      </x:c>
      <x:c r="K59" s="133" t="n">
        <x:f>SUM(E59:J59)</x:f>
        <x:v>5</x:v>
      </x:c>
      <x:c r="L59" s="204" t="n">
        <x:v>413.632</x:v>
      </x:c>
      <x:c r="M59" s="205" t="n">
        <x:f>IFERROR(K59/L59,0)</x:f>
        <x:v>0.012088039610088194</x:v>
      </x:c>
      <x:c r="N59" s="160" t="str">
        <x:v>Bath Township, Beavercreek City, Beavercreek Township, Fairborn City, Xenia City</x:v>
      </x:c>
      <x:c r="O59" s="160" t="str">
        <x:v>Includes proxy city rows</x:v>
      </x:c>
      <x:c r="P59" s="160" t="str">
        <x:v>Aggregated from 5 city/municipality screening rows; overlapping catchments are not deduplicated.</x:v>
      </x:c>
      <x:c r="Q59" s="160" t="str">
        <x:v>U.S. Census Bureau 2025 Gazetteer — ALAND_SQMI</x:v>
      </x:c>
    </x:row>
    <x:row r="60">
      <x:c r="A60" s="28" t="n">
        <x:v>58</x:v>
      </x:c>
      <x:c r="B60" s="28" t="str">
        <x:v>Medina County</x:v>
      </x:c>
      <x:c r="C60" s="28" t="str">
        <x:v>OH</x:v>
      </x:c>
      <x:c r="D60" s="142" t="str">
        <x:v>39103</x:v>
      </x:c>
      <x:c r="E60" s="133" t="n">
        <x:f>SUMIFS('City Density Ranking'!$E$6:$E$974,'City Density Ranking'!$O$6:$O$974,B60,'City Density Ranking'!$C$6:$C$974,C60)</x:f>
        <x:v>0</x:v>
      </x:c>
      <x:c r="F60" s="133" t="n">
        <x:f>SUMIFS('City Density Ranking'!$F$6:$F$974,'City Density Ranking'!$O$6:$O$974,B60,'City Density Ranking'!$C$6:$C$974,C60)</x:f>
        <x:v>0</x:v>
      </x:c>
      <x:c r="G60" s="133" t="n">
        <x:f>SUMIFS('City Density Ranking'!$G$6:$G$974,'City Density Ranking'!$O$6:$O$974,B60,'City Density Ranking'!$C$6:$C$974,C60)</x:f>
        <x:v>0</x:v>
      </x:c>
      <x:c r="H60" s="133" t="n">
        <x:f>SUMIFS('City Density Ranking'!$H$6:$H$974,'City Density Ranking'!$O$6:$O$974,B60,'City Density Ranking'!$C$6:$C$974,C60)</x:f>
        <x:v>0</x:v>
      </x:c>
      <x:c r="I60" s="133" t="n">
        <x:f>SUMIFS('City Density Ranking'!$I$6:$I$974,'City Density Ranking'!$O$6:$O$974,B60,'City Density Ranking'!$C$6:$C$974,C60)</x:f>
        <x:v>0</x:v>
      </x:c>
      <x:c r="J60" s="133" t="n">
        <x:f>SUMIFS('City Density Ranking'!$J$6:$J$974,'City Density Ranking'!$O$6:$O$974,B60,'City Density Ranking'!$C$6:$C$974,C60)</x:f>
        <x:v>5</x:v>
      </x:c>
      <x:c r="K60" s="133" t="n">
        <x:f>SUM(E60:J60)</x:f>
        <x:v>5</x:v>
      </x:c>
      <x:c r="L60" s="204" t="n">
        <x:v>421.46</x:v>
      </x:c>
      <x:c r="M60" s="205" t="n">
        <x:f>IFERROR(K60/L60,0)</x:f>
        <x:v>0.011863522042423955</x:v>
      </x:c>
      <x:c r="N60" s="160" t="str">
        <x:v>Brunswick City, Brunswick Hills Township, Medina City, Montville Township, Wadsworth City</x:v>
      </x:c>
      <x:c r="O60" s="160" t="str">
        <x:v>Includes proxy city rows</x:v>
      </x:c>
      <x:c r="P60" s="160" t="str">
        <x:v>Aggregated from 5 city/municipality screening rows; overlapping catchments are not deduplicated.</x:v>
      </x:c>
      <x:c r="Q60" s="160" t="str">
        <x:v>U.S. Census Bureau QuickFacts — 2020 land area</x:v>
      </x:c>
    </x:row>
    <x:row r="61">
      <x:c r="A61" s="28" t="n">
        <x:v>59</x:v>
      </x:c>
      <x:c r="B61" s="28" t="str">
        <x:v>Orleans Parish</x:v>
      </x:c>
      <x:c r="C61" s="28" t="str">
        <x:v>LA</x:v>
      </x:c>
      <x:c r="D61" s="142" t="str">
        <x:v>22071</x:v>
      </x:c>
      <x:c r="E61" s="133" t="n">
        <x:f>SUMIFS('City Density Ranking'!$E$6:$E$974,'City Density Ranking'!$O$6:$O$974,B61,'City Density Ranking'!$C$6:$C$974,C61)</x:f>
        <x:v>2</x:v>
      </x:c>
      <x:c r="F61" s="133" t="n">
        <x:f>SUMIFS('City Density Ranking'!$F$6:$F$974,'City Density Ranking'!$O$6:$O$974,B61,'City Density Ranking'!$C$6:$C$974,C61)</x:f>
        <x:v>0</x:v>
      </x:c>
      <x:c r="G61" s="133" t="n">
        <x:f>SUMIFS('City Density Ranking'!$G$6:$G$974,'City Density Ranking'!$O$6:$O$974,B61,'City Density Ranking'!$C$6:$C$974,C61)</x:f>
        <x:v>0</x:v>
      </x:c>
      <x:c r="H61" s="133" t="n">
        <x:f>SUMIFS('City Density Ranking'!$H$6:$H$974,'City Density Ranking'!$O$6:$O$974,B61,'City Density Ranking'!$C$6:$C$974,C61)</x:f>
        <x:v>0</x:v>
      </x:c>
      <x:c r="I61" s="133" t="n">
        <x:f>SUMIFS('City Density Ranking'!$I$6:$I$974,'City Density Ranking'!$O$6:$O$974,B61,'City Density Ranking'!$C$6:$C$974,C61)</x:f>
        <x:v>0</x:v>
      </x:c>
      <x:c r="J61" s="133" t="n">
        <x:f>SUMIFS('City Density Ranking'!$J$6:$J$974,'City Density Ranking'!$O$6:$O$974,B61,'City Density Ranking'!$C$6:$C$974,C61)</x:f>
        <x:v>0</x:v>
      </x:c>
      <x:c r="K61" s="133" t="n">
        <x:f>SUM(E61:J61)</x:f>
        <x:v>2</x:v>
      </x:c>
      <x:c r="L61" s="204" t="n">
        <x:v>169.499</x:v>
      </x:c>
      <x:c r="M61" s="205" t="n">
        <x:f>IFERROR(K61/L61,0)</x:f>
        <x:v>0.011799479642947747</x:v>
      </x:c>
      <x:c r="N61" s="160" t="str">
        <x:v>New Orleans</x:v>
      </x:c>
      <x:c r="O61" s="160" t="str">
        <x:v>Lower-bound city counts only</x:v>
      </x:c>
      <x:c r="P61" s="160" t="str">
        <x:v>Aggregated from 1 city/municipality screening rows; overlapping catchments are not deduplicated.</x:v>
      </x:c>
      <x:c r="Q61" s="160" t="str">
        <x:v>Verified Census land area (retained)</x:v>
      </x:c>
    </x:row>
    <x:row r="62">
      <x:c r="A62" s="28" t="n">
        <x:v>60</x:v>
      </x:c>
      <x:c r="B62" s="28" t="str">
        <x:v>Rockingham County</x:v>
      </x:c>
      <x:c r="C62" s="28" t="str">
        <x:v>NH</x:v>
      </x:c>
      <x:c r="D62" s="142" t="str">
        <x:v>33015</x:v>
      </x:c>
      <x:c r="E62" s="133" t="n">
        <x:f>SUMIFS('City Density Ranking'!$E$6:$E$974,'City Density Ranking'!$O$6:$O$974,B62,'City Density Ranking'!$C$6:$C$974,C62)</x:f>
        <x:v>1</x:v>
      </x:c>
      <x:c r="F62" s="133" t="n">
        <x:f>SUMIFS('City Density Ranking'!$F$6:$F$974,'City Density Ranking'!$O$6:$O$974,B62,'City Density Ranking'!$C$6:$C$974,C62)</x:f>
        <x:v>0</x:v>
      </x:c>
      <x:c r="G62" s="133" t="n">
        <x:f>SUMIFS('City Density Ranking'!$G$6:$G$974,'City Density Ranking'!$O$6:$O$974,B62,'City Density Ranking'!$C$6:$C$974,C62)</x:f>
        <x:v>0</x:v>
      </x:c>
      <x:c r="H62" s="133" t="n">
        <x:f>SUMIFS('City Density Ranking'!$H$6:$H$974,'City Density Ranking'!$O$6:$O$974,B62,'City Density Ranking'!$C$6:$C$974,C62)</x:f>
        <x:v>0</x:v>
      </x:c>
      <x:c r="I62" s="133" t="n">
        <x:f>SUMIFS('City Density Ranking'!$I$6:$I$974,'City Density Ranking'!$O$6:$O$974,B62,'City Density Ranking'!$C$6:$C$974,C62)</x:f>
        <x:v>0</x:v>
      </x:c>
      <x:c r="J62" s="133" t="n">
        <x:f>SUMIFS('City Density Ranking'!$J$6:$J$974,'City Density Ranking'!$O$6:$O$974,B62,'City Density Ranking'!$C$6:$C$974,C62)</x:f>
        <x:v>7</x:v>
      </x:c>
      <x:c r="K62" s="133" t="n">
        <x:f>SUM(E62:J62)</x:f>
        <x:v>8</x:v>
      </x:c>
      <x:c r="L62" s="204" t="n">
        <x:v>695.39</x:v>
      </x:c>
      <x:c r="M62" s="205" t="n">
        <x:f>IFERROR(K62/L62,0)</x:f>
        <x:v>0.011504335696515624</x:v>
      </x:c>
      <x:c r="N62" s="160" t="str">
        <x:v>Derry Town, Exeter Town, Hampton Town, Londonderry Town, Portsmouth City, Raymond Town, Salem Town, Windham Town</x:v>
      </x:c>
      <x:c r="O62" s="160" t="str">
        <x:v>Includes proxy city rows</x:v>
      </x:c>
      <x:c r="P62" s="160" t="str">
        <x:v>Aggregated from 8 city/municipality screening rows; overlapping catchments are not deduplicated.</x:v>
      </x:c>
      <x:c r="Q62" s="160" t="str">
        <x:v>U.S. Census Bureau QuickFacts 2020 land area</x:v>
      </x:c>
    </x:row>
    <x:row r="63">
      <x:c r="A63" s="28" t="n">
        <x:v>61</x:v>
      </x:c>
      <x:c r="B63" s="28" t="str">
        <x:v>Niagara County</x:v>
      </x:c>
      <x:c r="C63" s="28" t="str">
        <x:v>NY</x:v>
      </x:c>
      <x:c r="D63" s="142" t="str">
        <x:v>36063</x:v>
      </x:c>
      <x:c r="E63" s="133" t="n">
        <x:f>SUMIFS('City Density Ranking'!$E$6:$E$974,'City Density Ranking'!$O$6:$O$974,B63,'City Density Ranking'!$C$6:$C$974,C63)</x:f>
        <x:v>0</x:v>
      </x:c>
      <x:c r="F63" s="133" t="n">
        <x:f>SUMIFS('City Density Ranking'!$F$6:$F$974,'City Density Ranking'!$O$6:$O$974,B63,'City Density Ranking'!$C$6:$C$974,C63)</x:f>
        <x:v>0</x:v>
      </x:c>
      <x:c r="G63" s="133" t="n">
        <x:f>SUMIFS('City Density Ranking'!$G$6:$G$974,'City Density Ranking'!$O$6:$O$974,B63,'City Density Ranking'!$C$6:$C$974,C63)</x:f>
        <x:v>0</x:v>
      </x:c>
      <x:c r="H63" s="133" t="n">
        <x:f>SUMIFS('City Density Ranking'!$H$6:$H$974,'City Density Ranking'!$O$6:$O$974,B63,'City Density Ranking'!$C$6:$C$974,C63)</x:f>
        <x:v>0</x:v>
      </x:c>
      <x:c r="I63" s="133" t="n">
        <x:f>SUMIFS('City Density Ranking'!$I$6:$I$974,'City Density Ranking'!$O$6:$O$974,B63,'City Density Ranking'!$C$6:$C$974,C63)</x:f>
        <x:v>0</x:v>
      </x:c>
      <x:c r="J63" s="133" t="n">
        <x:f>SUMIFS('City Density Ranking'!$J$6:$J$974,'City Density Ranking'!$O$6:$O$974,B63,'City Density Ranking'!$C$6:$C$974,C63)</x:f>
        <x:v>6</x:v>
      </x:c>
      <x:c r="K63" s="133" t="n">
        <x:f>SUM(E63:J63)</x:f>
        <x:v>6</x:v>
      </x:c>
      <x:c r="L63" s="204" t="n">
        <x:v>522.35</x:v>
      </x:c>
      <x:c r="M63" s="205" t="n">
        <x:f>IFERROR(K63/L63,0)</x:f>
        <x:v>0.011486551163013305</x:v>
      </x:c>
      <x:c r="N63" s="160" t="str">
        <x:v>Lewiston town, Lockport city, Lockport town, Niagara Falls city, North Tonawanda city, Wheatfield town</x:v>
      </x:c>
      <x:c r="O63" s="160" t="str">
        <x:v>Includes proxy city rows</x:v>
      </x:c>
      <x:c r="P63" s="160" t="str">
        <x:v>Aggregated from 6 city/municipality screening rows; overlapping catchments are not deduplicated.</x:v>
      </x:c>
      <x:c r="Q63" s="160" t="str">
        <x:v>U.S. Census Bureau QuickFacts — 2020 land area</x:v>
      </x:c>
    </x:row>
    <x:row r="64">
      <x:c r="A64" s="28" t="n">
        <x:v>62</x:v>
      </x:c>
      <x:c r="B64" s="28" t="str">
        <x:v>Hampshire County</x:v>
      </x:c>
      <x:c r="C64" s="28" t="str">
        <x:v>MA</x:v>
      </x:c>
      <x:c r="D64" s="142" t="str">
        <x:v>25015</x:v>
      </x:c>
      <x:c r="E64" s="133" t="n">
        <x:f>SUMIFS('City Density Ranking'!$E$6:$E$974,'City Density Ranking'!$O$6:$O$974,B64,'City Density Ranking'!$C$6:$C$974,C64)</x:f>
        <x:v>0</x:v>
      </x:c>
      <x:c r="F64" s="133" t="n">
        <x:f>SUMIFS('City Density Ranking'!$F$6:$F$974,'City Density Ranking'!$O$6:$O$974,B64,'City Density Ranking'!$C$6:$C$974,C64)</x:f>
        <x:v>0</x:v>
      </x:c>
      <x:c r="G64" s="133" t="n">
        <x:f>SUMIFS('City Density Ranking'!$G$6:$G$974,'City Density Ranking'!$O$6:$O$974,B64,'City Density Ranking'!$C$6:$C$974,C64)</x:f>
        <x:v>0</x:v>
      </x:c>
      <x:c r="H64" s="133" t="n">
        <x:f>SUMIFS('City Density Ranking'!$H$6:$H$974,'City Density Ranking'!$O$6:$O$974,B64,'City Density Ranking'!$C$6:$C$974,C64)</x:f>
        <x:v>0</x:v>
      </x:c>
      <x:c r="I64" s="133" t="n">
        <x:f>SUMIFS('City Density Ranking'!$I$6:$I$974,'City Density Ranking'!$O$6:$O$974,B64,'City Density Ranking'!$C$6:$C$974,C64)</x:f>
        <x:v>0</x:v>
      </x:c>
      <x:c r="J64" s="133" t="n">
        <x:f>SUMIFS('City Density Ranking'!$J$6:$J$974,'City Density Ranking'!$O$6:$O$974,B64,'City Density Ranking'!$C$6:$C$974,C64)</x:f>
        <x:v>6</x:v>
      </x:c>
      <x:c r="K64" s="133" t="n">
        <x:f>SUM(E64:J64)</x:f>
        <x:v>6</x:v>
      </x:c>
      <x:c r="L64" s="204" t="n">
        <x:v>527.23</x:v>
      </x:c>
      <x:c r="M64" s="205" t="n">
        <x:f>IFERROR(K64/L64,0)</x:f>
        <x:v>0.01138023253608482</x:v>
      </x:c>
      <x:c r="N64" s="160" t="str">
        <x:v>Amherst Town City, Belchertown Town, Easthampton City, Northampton City, South Hadley Town, Ware Town</x:v>
      </x:c>
      <x:c r="O64" s="160" t="str">
        <x:v>Includes proxy city rows</x:v>
      </x:c>
      <x:c r="P64" s="160" t="str">
        <x:v>Aggregated from 6 city/municipality screening rows; overlapping catchments are not deduplicated.</x:v>
      </x:c>
      <x:c r="Q64" s="160" t="str">
        <x:v>U.S. Census Bureau QuickFacts — 2020 land area</x:v>
      </x:c>
    </x:row>
    <x:row r="65">
      <x:c r="A65" s="28" t="n">
        <x:v>64</x:v>
      </x:c>
      <x:c r="B65" s="28" t="str">
        <x:v>Los Angeles County</x:v>
      </x:c>
      <x:c r="C65" s="28" t="str">
        <x:v>CA</x:v>
      </x:c>
      <x:c r="D65" s="142" t="str">
        <x:v>06037</x:v>
      </x:c>
      <x:c r="E65" s="133" t="n">
        <x:f>SUMIFS('City Density Ranking'!$E$6:$E$974,'City Density Ranking'!$O$6:$O$974,B65,'City Density Ranking'!$C$6:$C$974,C65)</x:f>
        <x:v>5</x:v>
      </x:c>
      <x:c r="F65" s="133" t="n">
        <x:f>SUMIFS('City Density Ranking'!$F$6:$F$974,'City Density Ranking'!$O$6:$O$974,B65,'City Density Ranking'!$C$6:$C$974,C65)</x:f>
        <x:v>6</x:v>
      </x:c>
      <x:c r="G65" s="133" t="n">
        <x:f>SUMIFS('City Density Ranking'!$G$6:$G$974,'City Density Ranking'!$O$6:$O$974,B65,'City Density Ranking'!$C$6:$C$974,C65)</x:f>
        <x:v>0</x:v>
      </x:c>
      <x:c r="H65" s="133" t="n">
        <x:f>SUMIFS('City Density Ranking'!$H$6:$H$974,'City Density Ranking'!$O$6:$O$974,B65,'City Density Ranking'!$C$6:$C$974,C65)</x:f>
        <x:v>0</x:v>
      </x:c>
      <x:c r="I65" s="133" t="n">
        <x:f>SUMIFS('City Density Ranking'!$I$6:$I$974,'City Density Ranking'!$O$6:$O$974,B65,'City Density Ranking'!$C$6:$C$974,C65)</x:f>
        <x:v>0</x:v>
      </x:c>
      <x:c r="J65" s="133" t="n">
        <x:f>SUMIFS('City Density Ranking'!$J$6:$J$974,'City Density Ranking'!$O$6:$O$974,B65,'City Density Ranking'!$C$6:$C$974,C65)</x:f>
        <x:v>34</x:v>
      </x:c>
      <x:c r="K65" s="133" t="n">
        <x:f>SUM(E65:J65)</x:f>
        <x:v>45</x:v>
      </x:c>
      <x:c r="L65" s="204" t="n">
        <x:v>4059.289</x:v>
      </x:c>
      <x:c r="M65" s="205" t="n">
        <x:f>IFERROR(K65/L65,0)</x:f>
        <x:v>0.011085685202507137</x:v>
      </x:c>
      <x:c r="N65" s="160" t="str">
        <x:v>Alhambra, Arcadia, Baldwin Park, Bellflower, Burbank, Carson, Compton, Diamond Bar, Downey, El Monte, Gardena, Glendale, Hawthorne, Huntington Park, Inglewood, Lakewood, Lancaster, Long Beach, Los Angeles, Lynwood, Montebello, Monterey Park, Norwalk, Palmdale, Paramount, Pasadena, Pico Rivera, Pomona, Redondo Beach, Santa Clarita, Santa Monica, South Gate, Torrance, West Covina, Whittier</x:v>
      </x:c>
      <x:c r="O65" s="160" t="str">
        <x:v>Includes proxy city rows</x:v>
      </x:c>
      <x:c r="P65" s="160" t="str">
        <x:v>Aggregated from 35 city/municipality screening rows; overlapping catchments are not deduplicated.</x:v>
      </x:c>
      <x:c r="Q65" s="160" t="str">
        <x:v>Verified Census land area (retained)</x:v>
      </x:c>
    </x:row>
    <x:row r="66">
      <x:c r="A66" s="28" t="n">
        <x:v>65</x:v>
      </x:c>
      <x:c r="B66" s="28" t="str">
        <x:v>Strafford County</x:v>
      </x:c>
      <x:c r="C66" s="28" t="str">
        <x:v>NH</x:v>
      </x:c>
      <x:c r="D66" s="142" t="str">
        <x:v>33017</x:v>
      </x:c>
      <x:c r="E66" s="133" t="n">
        <x:f>SUMIFS('City Density Ranking'!$E$6:$E$974,'City Density Ranking'!$O$6:$O$974,B66,'City Density Ranking'!$C$6:$C$974,C66)</x:f>
        <x:v>0</x:v>
      </x:c>
      <x:c r="F66" s="133" t="n">
        <x:f>SUMIFS('City Density Ranking'!$F$6:$F$974,'City Density Ranking'!$O$6:$O$974,B66,'City Density Ranking'!$C$6:$C$974,C66)</x:f>
        <x:v>0</x:v>
      </x:c>
      <x:c r="G66" s="133" t="n">
        <x:f>SUMIFS('City Density Ranking'!$G$6:$G$974,'City Density Ranking'!$O$6:$O$974,B66,'City Density Ranking'!$C$6:$C$974,C66)</x:f>
        <x:v>0</x:v>
      </x:c>
      <x:c r="H66" s="133" t="n">
        <x:f>SUMIFS('City Density Ranking'!$H$6:$H$974,'City Density Ranking'!$O$6:$O$974,B66,'City Density Ranking'!$C$6:$C$974,C66)</x:f>
        <x:v>0</x:v>
      </x:c>
      <x:c r="I66" s="133" t="n">
        <x:f>SUMIFS('City Density Ranking'!$I$6:$I$974,'City Density Ranking'!$O$6:$O$974,B66,'City Density Ranking'!$C$6:$C$974,C66)</x:f>
        <x:v>0</x:v>
      </x:c>
      <x:c r="J66" s="133" t="n">
        <x:f>SUMIFS('City Density Ranking'!$J$6:$J$974,'City Density Ranking'!$O$6:$O$974,B66,'City Density Ranking'!$C$6:$C$974,C66)</x:f>
        <x:v>4</x:v>
      </x:c>
      <x:c r="K66" s="133" t="n">
        <x:f>SUM(E66:J66)</x:f>
        <x:v>4</x:v>
      </x:c>
      <x:c r="L66" s="204" t="n">
        <x:v>367.47</x:v>
      </x:c>
      <x:c r="M66" s="205" t="n">
        <x:f>IFERROR(K66/L66,0)</x:f>
        <x:v>0.010885242332707431</x:v>
      </x:c>
      <x:c r="N66" s="160" t="str">
        <x:v>Dover city, Durham town, Rochester city, Somersworth city</x:v>
      </x:c>
      <x:c r="O66" s="160" t="str">
        <x:v>Includes proxy city rows</x:v>
      </x:c>
      <x:c r="P66" s="160" t="str">
        <x:v>Aggregated from 4 city/municipality screening rows; overlapping catchments are not deduplicated.</x:v>
      </x:c>
      <x:c r="Q66" s="160" t="str">
        <x:v>U.S. Census Bureau QuickFacts — 2020 land area</x:v>
      </x:c>
    </x:row>
    <x:row r="67">
      <x:c r="A67" s="28" t="n">
        <x:v>66</x:v>
      </x:c>
      <x:c r="B67" s="28" t="str">
        <x:v>Santa Clara County</x:v>
      </x:c>
      <x:c r="C67" s="28" t="str">
        <x:v>CA</x:v>
      </x:c>
      <x:c r="D67" s="142" t="str">
        <x:v>06085</x:v>
      </x:c>
      <x:c r="E67" s="133" t="n">
        <x:f>SUMIFS('City Density Ranking'!$E$6:$E$974,'City Density Ranking'!$O$6:$O$974,B67,'City Density Ranking'!$C$6:$C$974,C67)</x:f>
        <x:v>1</x:v>
      </x:c>
      <x:c r="F67" s="133" t="n">
        <x:f>SUMIFS('City Density Ranking'!$F$6:$F$974,'City Density Ranking'!$O$6:$O$974,B67,'City Density Ranking'!$C$6:$C$974,C67)</x:f>
        <x:v>6</x:v>
      </x:c>
      <x:c r="G67" s="133" t="n">
        <x:f>SUMIFS('City Density Ranking'!$G$6:$G$974,'City Density Ranking'!$O$6:$O$974,B67,'City Density Ranking'!$C$6:$C$974,C67)</x:f>
        <x:v>0</x:v>
      </x:c>
      <x:c r="H67" s="133" t="n">
        <x:f>SUMIFS('City Density Ranking'!$H$6:$H$974,'City Density Ranking'!$O$6:$O$974,B67,'City Density Ranking'!$C$6:$C$974,C67)</x:f>
        <x:v>0</x:v>
      </x:c>
      <x:c r="I67" s="133" t="n">
        <x:f>SUMIFS('City Density Ranking'!$I$6:$I$974,'City Density Ranking'!$O$6:$O$974,B67,'City Density Ranking'!$C$6:$C$974,C67)</x:f>
        <x:v>0</x:v>
      </x:c>
      <x:c r="J67" s="133" t="n">
        <x:f>SUMIFS('City Density Ranking'!$J$6:$J$974,'City Density Ranking'!$O$6:$O$974,B67,'City Density Ranking'!$C$6:$C$974,C67)</x:f>
        <x:v>7</x:v>
      </x:c>
      <x:c r="K67" s="133" t="n">
        <x:f>SUM(E67:J67)</x:f>
        <x:v>14</x:v>
      </x:c>
      <x:c r="L67" s="204" t="n">
        <x:v>1291.084</x:v>
      </x:c>
      <x:c r="M67" s="205" t="n">
        <x:f>IFERROR(K67/L67,0)</x:f>
        <x:v>0.010843601190937227</x:v>
      </x:c>
      <x:c r="N67" s="160" t="str">
        <x:v>Cupertino, Gilroy, Milpitas, Mountain View, Palo Alto, San Jose, Santa Clara, Sunnyvale</x:v>
      </x:c>
      <x:c r="O67" s="160" t="str">
        <x:v>Includes proxy city rows</x:v>
      </x:c>
      <x:c r="P67" s="160" t="str">
        <x:v>Aggregated from 8 city/municipality screening rows; overlapping catchments are not deduplicated.</x:v>
      </x:c>
      <x:c r="Q67" s="160" t="str">
        <x:v>Verified Census land area (retained)</x:v>
      </x:c>
    </x:row>
    <x:row r="68">
      <x:c r="A68" s="28" t="n">
        <x:v>67</x:v>
      </x:c>
      <x:c r="B68" s="28" t="str">
        <x:v>Union County</x:v>
      </x:c>
      <x:c r="C68" s="28" t="str">
        <x:v>NJ</x:v>
      </x:c>
      <x:c r="D68" s="142" t="str">
        <x:v>34039</x:v>
      </x:c>
      <x:c r="E68" s="133" t="n">
        <x:f>SUMIFS('City Density Ranking'!$E$6:$E$974,'City Density Ranking'!$O$6:$O$974,B68,'City Density Ranking'!$C$6:$C$974,C68)</x:f>
        <x:v>0</x:v>
      </x:c>
      <x:c r="F68" s="133" t="n">
        <x:f>SUMIFS('City Density Ranking'!$F$6:$F$974,'City Density Ranking'!$O$6:$O$974,B68,'City Density Ranking'!$C$6:$C$974,C68)</x:f>
        <x:v>0</x:v>
      </x:c>
      <x:c r="G68" s="133" t="n">
        <x:f>SUMIFS('City Density Ranking'!$G$6:$G$974,'City Density Ranking'!$O$6:$O$974,B68,'City Density Ranking'!$C$6:$C$974,C68)</x:f>
        <x:v>0</x:v>
      </x:c>
      <x:c r="H68" s="133" t="n">
        <x:f>SUMIFS('City Density Ranking'!$H$6:$H$974,'City Density Ranking'!$O$6:$O$974,B68,'City Density Ranking'!$C$6:$C$974,C68)</x:f>
        <x:v>0</x:v>
      </x:c>
      <x:c r="I68" s="133" t="n">
        <x:f>SUMIFS('City Density Ranking'!$I$6:$I$974,'City Density Ranking'!$O$6:$O$974,B68,'City Density Ranking'!$C$6:$C$974,C68)</x:f>
        <x:v>0</x:v>
      </x:c>
      <x:c r="J68" s="133" t="n">
        <x:f>SUMIFS('City Density Ranking'!$J$6:$J$974,'City Density Ranking'!$O$6:$O$974,B68,'City Density Ranking'!$C$6:$C$974,C68)</x:f>
        <x:v>1</x:v>
      </x:c>
      <x:c r="K68" s="133" t="n">
        <x:f>SUM(E68:J68)</x:f>
        <x:v>1</x:v>
      </x:c>
      <x:c r="L68" s="204" t="n">
        <x:v>93.05216766043984</x:v>
      </x:c>
      <x:c r="M68" s="205" t="n">
        <x:f>IFERROR(K68/L68,0)</x:f>
        <x:v>0.010746659912847357</x:v>
      </x:c>
      <x:c r="N68" s="160" t="str">
        <x:v>Elizabeth</x:v>
      </x:c>
      <x:c r="O68" s="160" t="str">
        <x:v>Includes proxy city rows</x:v>
      </x:c>
      <x:c r="P68" s="160" t="str">
        <x:v>Aggregated from 1 city/municipality screening rows; overlapping catchments are not deduplicated.</x:v>
      </x:c>
      <x:c r="Q68" s="160" t="str">
        <x:v>Estimated county land area: geodesic polygon × 0.885 land/total calibration</x:v>
      </x:c>
    </x:row>
    <x:row r="69">
      <x:c r="A69" s="28" t="n">
        <x:v>68</x:v>
      </x:c>
      <x:c r="B69" s="28" t="str">
        <x:v>Portage County</x:v>
      </x:c>
      <x:c r="C69" s="28" t="str">
        <x:v>OH</x:v>
      </x:c>
      <x:c r="D69" s="142" t="str">
        <x:v>39133</x:v>
      </x:c>
      <x:c r="E69" s="133" t="n">
        <x:f>SUMIFS('City Density Ranking'!$E$6:$E$974,'City Density Ranking'!$O$6:$O$974,B69,'City Density Ranking'!$C$6:$C$974,C69)</x:f>
        <x:v>0</x:v>
      </x:c>
      <x:c r="F69" s="133" t="n">
        <x:f>SUMIFS('City Density Ranking'!$F$6:$F$974,'City Density Ranking'!$O$6:$O$974,B69,'City Density Ranking'!$C$6:$C$974,C69)</x:f>
        <x:v>0</x:v>
      </x:c>
      <x:c r="G69" s="133" t="n">
        <x:f>SUMIFS('City Density Ranking'!$G$6:$G$974,'City Density Ranking'!$O$6:$O$974,B69,'City Density Ranking'!$C$6:$C$974,C69)</x:f>
        <x:v>0</x:v>
      </x:c>
      <x:c r="H69" s="133" t="n">
        <x:f>SUMIFS('City Density Ranking'!$H$6:$H$974,'City Density Ranking'!$O$6:$O$974,B69,'City Density Ranking'!$C$6:$C$974,C69)</x:f>
        <x:v>0</x:v>
      </x:c>
      <x:c r="I69" s="133" t="n">
        <x:f>SUMIFS('City Density Ranking'!$I$6:$I$974,'City Density Ranking'!$O$6:$O$974,B69,'City Density Ranking'!$C$6:$C$974,C69)</x:f>
        <x:v>0</x:v>
      </x:c>
      <x:c r="J69" s="133" t="n">
        <x:f>SUMIFS('City Density Ranking'!$J$6:$J$974,'City Density Ranking'!$O$6:$O$974,B69,'City Density Ranking'!$C$6:$C$974,C69)</x:f>
        <x:v>5</x:v>
      </x:c>
      <x:c r="K69" s="133" t="n">
        <x:f>SUM(E69:J69)</x:f>
        <x:v>5</x:v>
      </x:c>
      <x:c r="L69" s="204" t="n">
        <x:v>487.41</x:v>
      </x:c>
      <x:c r="M69" s="205" t="n">
        <x:f>IFERROR(K69/L69,0)</x:f>
        <x:v>0.010258304097166656</x:v>
      </x:c>
      <x:c r="N69" s="160" t="str">
        <x:v>Aurora City, Brimfield Township, Kent City, Ravenna City, Streetsboro City</x:v>
      </x:c>
      <x:c r="O69" s="160" t="str">
        <x:v>Includes proxy city rows</x:v>
      </x:c>
      <x:c r="P69" s="160" t="str">
        <x:v>Aggregated from 5 city/municipality screening rows; overlapping catchments are not deduplicated.</x:v>
      </x:c>
      <x:c r="Q69" s="160" t="str">
        <x:v>U.S. Census Bureau QuickFacts — 2020 land area</x:v>
      </x:c>
    </x:row>
    <x:row r="70">
      <x:c r="A70" s="28" t="n">
        <x:v>69</x:v>
      </x:c>
      <x:c r="B70" s="28" t="str">
        <x:v>Essex County</x:v>
      </x:c>
      <x:c r="C70" s="28" t="str">
        <x:v>MA</x:v>
      </x:c>
      <x:c r="D70" s="142" t="str">
        <x:v>25009</x:v>
      </x:c>
      <x:c r="E70" s="133" t="n">
        <x:f>SUMIFS('City Density Ranking'!$E$6:$E$974,'City Density Ranking'!$O$6:$O$974,B70,'City Density Ranking'!$C$6:$C$974,C70)</x:f>
        <x:v>0</x:v>
      </x:c>
      <x:c r="F70" s="133" t="n">
        <x:f>SUMIFS('City Density Ranking'!$F$6:$F$974,'City Density Ranking'!$O$6:$O$974,B70,'City Density Ranking'!$C$6:$C$974,C70)</x:f>
        <x:v>0</x:v>
      </x:c>
      <x:c r="G70" s="133" t="n">
        <x:f>SUMIFS('City Density Ranking'!$G$6:$G$974,'City Density Ranking'!$O$6:$O$974,B70,'City Density Ranking'!$C$6:$C$974,C70)</x:f>
        <x:v>0</x:v>
      </x:c>
      <x:c r="H70" s="133" t="n">
        <x:f>SUMIFS('City Density Ranking'!$H$6:$H$974,'City Density Ranking'!$O$6:$O$974,B70,'City Density Ranking'!$C$6:$C$974,C70)</x:f>
        <x:v>0</x:v>
      </x:c>
      <x:c r="I70" s="133" t="n">
        <x:f>SUMIFS('City Density Ranking'!$I$6:$I$974,'City Density Ranking'!$O$6:$O$974,B70,'City Density Ranking'!$C$6:$C$974,C70)</x:f>
        <x:v>0</x:v>
      </x:c>
      <x:c r="J70" s="133" t="n">
        <x:f>SUMIFS('City Density Ranking'!$J$6:$J$974,'City Density Ranking'!$O$6:$O$974,B70,'City Density Ranking'!$C$6:$C$974,C70)</x:f>
        <x:v>5</x:v>
      </x:c>
      <x:c r="K70" s="133" t="n">
        <x:f>SUM(E70:J70)</x:f>
        <x:v>5</x:v>
      </x:c>
      <x:c r="L70" s="204" t="n">
        <x:v>492.52</x:v>
      </x:c>
      <x:c r="M70" s="205" t="n">
        <x:f>IFERROR(K70/L70,0)</x:f>
        <x:v>0.010151872005197758</x:v>
      </x:c>
      <x:c r="N70" s="160" t="str">
        <x:v>Haverhill, Lawrence, Lynn, Methuen, Peabody</x:v>
      </x:c>
      <x:c r="O70" s="160" t="str">
        <x:v>Includes proxy city rows</x:v>
      </x:c>
      <x:c r="P70" s="160" t="str">
        <x:v>Aggregated from 5 city/municipality screening rows; overlapping catchments are not deduplicated.</x:v>
      </x:c>
      <x:c r="Q70" s="160" t="str">
        <x:v>Verified Census QuickFacts land area (2020 geography)</x:v>
      </x:c>
    </x:row>
    <x:row r="71">
      <x:c r="A71" s="28" t="n">
        <x:v>70</x:v>
      </x:c>
      <x:c r="B71" s="28" t="str">
        <x:v>Hamilton County</x:v>
      </x:c>
      <x:c r="C71" s="28" t="str">
        <x:v>IN</x:v>
      </x:c>
      <x:c r="D71" s="142" t="str">
        <x:v>18057</x:v>
      </x:c>
      <x:c r="E71" s="133" t="n">
        <x:f>SUMIFS('City Density Ranking'!$E$6:$E$974,'City Density Ranking'!$O$6:$O$974,B71,'City Density Ranking'!$C$6:$C$974,C71)</x:f>
        <x:v>1</x:v>
      </x:c>
      <x:c r="F71" s="133" t="n">
        <x:f>SUMIFS('City Density Ranking'!$F$6:$F$974,'City Density Ranking'!$O$6:$O$974,B71,'City Density Ranking'!$C$6:$C$974,C71)</x:f>
        <x:v>0</x:v>
      </x:c>
      <x:c r="G71" s="133" t="n">
        <x:f>SUMIFS('City Density Ranking'!$G$6:$G$974,'City Density Ranking'!$O$6:$O$974,B71,'City Density Ranking'!$C$6:$C$974,C71)</x:f>
        <x:v>0</x:v>
      </x:c>
      <x:c r="H71" s="133" t="n">
        <x:f>SUMIFS('City Density Ranking'!$H$6:$H$974,'City Density Ranking'!$O$6:$O$974,B71,'City Density Ranking'!$C$6:$C$974,C71)</x:f>
        <x:v>2</x:v>
      </x:c>
      <x:c r="I71" s="133" t="n">
        <x:f>SUMIFS('City Density Ranking'!$I$6:$I$974,'City Density Ranking'!$O$6:$O$974,B71,'City Density Ranking'!$C$6:$C$974,C71)</x:f>
        <x:v>0</x:v>
      </x:c>
      <x:c r="J71" s="133" t="n">
        <x:f>SUMIFS('City Density Ranking'!$J$6:$J$974,'City Density Ranking'!$O$6:$O$974,B71,'City Density Ranking'!$C$6:$C$974,C71)</x:f>
        <x:v>1</x:v>
      </x:c>
      <x:c r="K71" s="133" t="n">
        <x:f>SUM(E71:J71)</x:f>
        <x:v>4</x:v>
      </x:c>
      <x:c r="L71" s="204" t="n">
        <x:v>394.39</x:v>
      </x:c>
      <x:c r="M71" s="205" t="n">
        <x:f>IFERROR(K71/L71,0)</x:f>
        <x:v>0.010142244985927635</x:v>
      </x:c>
      <x:c r="N71" s="160" t="str">
        <x:v>Carmel, Fishers, Noblesville</x:v>
      </x:c>
      <x:c r="O71" s="160" t="str">
        <x:v>Includes proxy city rows</x:v>
      </x:c>
      <x:c r="P71" s="160" t="str">
        <x:v>Aggregated from 3 city/municipality screening rows; overlapping catchments are not deduplicated.</x:v>
      </x:c>
      <x:c r="Q71" s="160" t="str">
        <x:v>Verified Census 2025 Gazetteer land area</x:v>
      </x:c>
    </x:row>
    <x:row r="72">
      <x:c r="A72" s="28" t="n">
        <x:v>71</x:v>
      </x:c>
      <x:c r="B72" s="28" t="str">
        <x:v>Muskegon County</x:v>
      </x:c>
      <x:c r="C72" s="28" t="str">
        <x:v>MI</x:v>
      </x:c>
      <x:c r="D72" s="142" t="str">
        <x:v>26121</x:v>
      </x:c>
      <x:c r="E72" s="133" t="n">
        <x:f>SUMIFS('City Density Ranking'!$E$6:$E$974,'City Density Ranking'!$O$6:$O$974,B72,'City Density Ranking'!$C$6:$C$974,C72)</x:f>
        <x:v>0</x:v>
      </x:c>
      <x:c r="F72" s="133" t="n">
        <x:f>SUMIFS('City Density Ranking'!$F$6:$F$974,'City Density Ranking'!$O$6:$O$974,B72,'City Density Ranking'!$C$6:$C$974,C72)</x:f>
        <x:v>0</x:v>
      </x:c>
      <x:c r="G72" s="133" t="n">
        <x:f>SUMIFS('City Density Ranking'!$G$6:$G$974,'City Density Ranking'!$O$6:$O$974,B72,'City Density Ranking'!$C$6:$C$974,C72)</x:f>
        <x:v>0</x:v>
      </x:c>
      <x:c r="H72" s="133" t="n">
        <x:f>SUMIFS('City Density Ranking'!$H$6:$H$974,'City Density Ranking'!$O$6:$O$974,B72,'City Density Ranking'!$C$6:$C$974,C72)</x:f>
        <x:v>0</x:v>
      </x:c>
      <x:c r="I72" s="133" t="n">
        <x:f>SUMIFS('City Density Ranking'!$I$6:$I$974,'City Density Ranking'!$O$6:$O$974,B72,'City Density Ranking'!$C$6:$C$974,C72)</x:f>
        <x:v>0</x:v>
      </x:c>
      <x:c r="J72" s="133" t="n">
        <x:f>SUMIFS('City Density Ranking'!$J$6:$J$974,'City Density Ranking'!$O$6:$O$974,B72,'City Density Ranking'!$C$6:$C$974,C72)</x:f>
        <x:v>5</x:v>
      </x:c>
      <x:c r="K72" s="133" t="n">
        <x:f>SUM(E72:J72)</x:f>
        <x:v>5</x:v>
      </x:c>
      <x:c r="L72" s="204" t="n">
        <x:v>503.91</x:v>
      </x:c>
      <x:c r="M72" s="205" t="n">
        <x:f>IFERROR(K72/L72,0)</x:f>
        <x:v>0.009922406778988311</x:v>
      </x:c>
      <x:c r="N72" s="160" t="str">
        <x:v>Egelston Township, Fruitport Charter Township, Muskegon Charter Township, Muskegon City, Norton Shores City</x:v>
      </x:c>
      <x:c r="O72" s="160" t="str">
        <x:v>Includes proxy city rows</x:v>
      </x:c>
      <x:c r="P72" s="160" t="str">
        <x:v>Aggregated from 5 city/municipality screening rows; overlapping catchments are not deduplicated.</x:v>
      </x:c>
      <x:c r="Q72" s="160" t="str">
        <x:v>U.S. Census Bureau QuickFacts — 2020 land area</x:v>
      </x:c>
    </x:row>
    <x:row r="73">
      <x:c r="A73" s="28" t="n">
        <x:v>72</x:v>
      </x:c>
      <x:c r="B73" s="28" t="str">
        <x:v>Suffolk County</x:v>
      </x:c>
      <x:c r="C73" s="28" t="str">
        <x:v>NY</x:v>
      </x:c>
      <x:c r="D73" s="142" t="str">
        <x:v>36103</x:v>
      </x:c>
      <x:c r="E73" s="133" t="n">
        <x:f>SUMIFS('City Density Ranking'!$E$6:$E$974,'City Density Ranking'!$O$6:$O$974,B73,'City Density Ranking'!$C$6:$C$974,C73)</x:f>
        <x:v>0</x:v>
      </x:c>
      <x:c r="F73" s="133" t="n">
        <x:f>SUMIFS('City Density Ranking'!$F$6:$F$974,'City Density Ranking'!$O$6:$O$974,B73,'City Density Ranking'!$C$6:$C$974,C73)</x:f>
        <x:v>0</x:v>
      </x:c>
      <x:c r="G73" s="133" t="n">
        <x:f>SUMIFS('City Density Ranking'!$G$6:$G$974,'City Density Ranking'!$O$6:$O$974,B73,'City Density Ranking'!$C$6:$C$974,C73)</x:f>
        <x:v>0</x:v>
      </x:c>
      <x:c r="H73" s="133" t="n">
        <x:f>SUMIFS('City Density Ranking'!$H$6:$H$974,'City Density Ranking'!$O$6:$O$974,B73,'City Density Ranking'!$C$6:$C$974,C73)</x:f>
        <x:v>0</x:v>
      </x:c>
      <x:c r="I73" s="133" t="n">
        <x:f>SUMIFS('City Density Ranking'!$I$6:$I$974,'City Density Ranking'!$O$6:$O$974,B73,'City Density Ranking'!$C$6:$C$974,C73)</x:f>
        <x:v>0</x:v>
      </x:c>
      <x:c r="J73" s="133" t="n">
        <x:f>SUMIFS('City Density Ranking'!$J$6:$J$974,'City Density Ranking'!$O$6:$O$974,B73,'City Density Ranking'!$C$6:$C$974,C73)</x:f>
        <x:v>9</x:v>
      </x:c>
      <x:c r="K73" s="133" t="n">
        <x:f>SUM(E73:J73)</x:f>
        <x:v>9</x:v>
      </x:c>
      <x:c r="L73" s="204" t="n">
        <x:v>910.94</x:v>
      </x:c>
      <x:c r="M73" s="205" t="n">
        <x:f>IFERROR(K73/L73,0)</x:f>
        <x:v>0.009879904274705248</x:v>
      </x:c>
      <x:c r="N73" s="160" t="str">
        <x:v>Babylon Town, Brookhaven Town, East Hampton Town, Huntington Town, Islip Town, Riverhead Town, Smithtown Town, Southampton Town, Southold Town</x:v>
      </x:c>
      <x:c r="O73" s="160" t="str">
        <x:v>Includes proxy city rows</x:v>
      </x:c>
      <x:c r="P73" s="160" t="str">
        <x:v>Aggregated from 9 city/municipality screening rows; overlapping catchments are not deduplicated.</x:v>
      </x:c>
      <x:c r="Q73" s="160" t="str">
        <x:v>U.S. Census Bureau 2025 Gazetteer — ALAND_SQMI</x:v>
      </x:c>
    </x:row>
    <x:row r="74">
      <x:c r="A74" s="28" t="n">
        <x:v>73</x:v>
      </x:c>
      <x:c r="B74" s="28" t="str">
        <x:v>Saratoga County</x:v>
      </x:c>
      <x:c r="C74" s="28" t="str">
        <x:v>NY</x:v>
      </x:c>
      <x:c r="D74" s="142" t="str">
        <x:v>36091</x:v>
      </x:c>
      <x:c r="E74" s="133" t="n">
        <x:f>SUMIFS('City Density Ranking'!$E$6:$E$974,'City Density Ranking'!$O$6:$O$974,B74,'City Density Ranking'!$C$6:$C$974,C74)</x:f>
        <x:v>0</x:v>
      </x:c>
      <x:c r="F74" s="133" t="n">
        <x:f>SUMIFS('City Density Ranking'!$F$6:$F$974,'City Density Ranking'!$O$6:$O$974,B74,'City Density Ranking'!$C$6:$C$974,C74)</x:f>
        <x:v>0</x:v>
      </x:c>
      <x:c r="G74" s="133" t="n">
        <x:f>SUMIFS('City Density Ranking'!$G$6:$G$974,'City Density Ranking'!$O$6:$O$974,B74,'City Density Ranking'!$C$6:$C$974,C74)</x:f>
        <x:v>0</x:v>
      </x:c>
      <x:c r="H74" s="133" t="n">
        <x:f>SUMIFS('City Density Ranking'!$H$6:$H$974,'City Density Ranking'!$O$6:$O$974,B74,'City Density Ranking'!$C$6:$C$974,C74)</x:f>
        <x:v>0</x:v>
      </x:c>
      <x:c r="I74" s="133" t="n">
        <x:f>SUMIFS('City Density Ranking'!$I$6:$I$974,'City Density Ranking'!$O$6:$O$974,B74,'City Density Ranking'!$C$6:$C$974,C74)</x:f>
        <x:v>0</x:v>
      </x:c>
      <x:c r="J74" s="133" t="n">
        <x:f>SUMIFS('City Density Ranking'!$J$6:$J$974,'City Density Ranking'!$O$6:$O$974,B74,'City Density Ranking'!$C$6:$C$974,C74)</x:f>
        <x:v>8</x:v>
      </x:c>
      <x:c r="K74" s="133" t="n">
        <x:f>SUM(E74:J74)</x:f>
        <x:v>8</x:v>
      </x:c>
      <x:c r="L74" s="204" t="n">
        <x:v>810</x:v>
      </x:c>
      <x:c r="M74" s="205" t="n">
        <x:f>IFERROR(K74/L74,0)</x:f>
        <x:v>0.009876543209876543</x:v>
      </x:c>
      <x:c r="N74" s="160" t="str">
        <x:v>Ballston town, Clifton Park town, Halfmoon town, Malta town, Milton town, Moreau town, Saratoga Springs city, Wilton town</x:v>
      </x:c>
      <x:c r="O74" s="160" t="str">
        <x:v>Includes proxy city rows</x:v>
      </x:c>
      <x:c r="P74" s="160" t="str">
        <x:v>Aggregated from 8 city/municipality screening rows; overlapping catchments are not deduplicated.</x:v>
      </x:c>
      <x:c r="Q74" s="160" t="str">
        <x:v>U.S. Census Bureau QuickFacts — 2020 land area</x:v>
      </x:c>
    </x:row>
    <x:row r="75">
      <x:c r="A75" s="28" t="n">
        <x:v>74</x:v>
      </x:c>
      <x:c r="B75" s="28" t="str">
        <x:v>Travis County</x:v>
      </x:c>
      <x:c r="C75" s="28" t="str">
        <x:v>TX</x:v>
      </x:c>
      <x:c r="D75" s="142" t="str">
        <x:v>48453</x:v>
      </x:c>
      <x:c r="E75" s="133" t="n">
        <x:f>SUMIFS('City Density Ranking'!$E$6:$E$974,'City Density Ranking'!$O$6:$O$974,B75,'City Density Ranking'!$C$6:$C$974,C75)</x:f>
        <x:v>4</x:v>
      </x:c>
      <x:c r="F75" s="133" t="n">
        <x:f>SUMIFS('City Density Ranking'!$F$6:$F$974,'City Density Ranking'!$O$6:$O$974,B75,'City Density Ranking'!$C$6:$C$974,C75)</x:f>
        <x:v>4</x:v>
      </x:c>
      <x:c r="G75" s="133" t="n">
        <x:f>SUMIFS('City Density Ranking'!$G$6:$G$974,'City Density Ranking'!$O$6:$O$974,B75,'City Density Ranking'!$C$6:$C$974,C75)</x:f>
        <x:v>0</x:v>
      </x:c>
      <x:c r="H75" s="133" t="n">
        <x:f>SUMIFS('City Density Ranking'!$H$6:$H$974,'City Density Ranking'!$O$6:$O$974,B75,'City Density Ranking'!$C$6:$C$974,C75)</x:f>
        <x:v>0</x:v>
      </x:c>
      <x:c r="I75" s="133" t="n">
        <x:f>SUMIFS('City Density Ranking'!$I$6:$I$974,'City Density Ranking'!$O$6:$O$974,B75,'City Density Ranking'!$C$6:$C$974,C75)</x:f>
        <x:v>0</x:v>
      </x:c>
      <x:c r="J75" s="133" t="n">
        <x:f>SUMIFS('City Density Ranking'!$J$6:$J$974,'City Density Ranking'!$O$6:$O$974,B75,'City Density Ranking'!$C$6:$C$974,C75)</x:f>
        <x:v>1</x:v>
      </x:c>
      <x:c r="K75" s="133" t="n">
        <x:f>SUM(E75:J75)</x:f>
        <x:v>9</x:v>
      </x:c>
      <x:c r="L75" s="204" t="n">
        <x:v>994.069</x:v>
      </x:c>
      <x:c r="M75" s="205" t="n">
        <x:f>IFERROR(K75/L75,0)</x:f>
        <x:v>0.009053697479752413</x:v>
      </x:c>
      <x:c r="N75" s="160" t="str">
        <x:v>Austin, Pflugerville</x:v>
      </x:c>
      <x:c r="O75" s="160" t="str">
        <x:v>Includes proxy city rows</x:v>
      </x:c>
      <x:c r="P75" s="160" t="str">
        <x:v>Aggregated from 2 city/municipality screening rows; overlapping catchments are not deduplicated.</x:v>
      </x:c>
      <x:c r="Q75" s="160" t="str">
        <x:v>Verified Census land area (retained)</x:v>
      </x:c>
    </x:row>
    <x:row r="76">
      <x:c r="A76" s="28" t="n">
        <x:v>75</x:v>
      </x:c>
      <x:c r="B76" s="28" t="str">
        <x:v>San Mateo County</x:v>
      </x:c>
      <x:c r="C76" s="28" t="str">
        <x:v>CA</x:v>
      </x:c>
      <x:c r="D76" s="142" t="str">
        <x:v>06081</x:v>
      </x:c>
      <x:c r="E76" s="133" t="n">
        <x:f>SUMIFS('City Density Ranking'!$E$6:$E$974,'City Density Ranking'!$O$6:$O$974,B76,'City Density Ranking'!$C$6:$C$974,C76)</x:f>
        <x:v>2</x:v>
      </x:c>
      <x:c r="F76" s="133" t="n">
        <x:f>SUMIFS('City Density Ranking'!$F$6:$F$974,'City Density Ranking'!$O$6:$O$974,B76,'City Density Ranking'!$C$6:$C$974,C76)</x:f>
        <x:v>1</x:v>
      </x:c>
      <x:c r="G76" s="133" t="n">
        <x:f>SUMIFS('City Density Ranking'!$G$6:$G$974,'City Density Ranking'!$O$6:$O$974,B76,'City Density Ranking'!$C$6:$C$974,C76)</x:f>
        <x:v>0</x:v>
      </x:c>
      <x:c r="H76" s="133" t="n">
        <x:f>SUMIFS('City Density Ranking'!$H$6:$H$974,'City Density Ranking'!$O$6:$O$974,B76,'City Density Ranking'!$C$6:$C$974,C76)</x:f>
        <x:v>0</x:v>
      </x:c>
      <x:c r="I76" s="133" t="n">
        <x:f>SUMIFS('City Density Ranking'!$I$6:$I$974,'City Density Ranking'!$O$6:$O$974,B76,'City Density Ranking'!$C$6:$C$974,C76)</x:f>
        <x:v>0</x:v>
      </x:c>
      <x:c r="J76" s="133" t="n">
        <x:f>SUMIFS('City Density Ranking'!$J$6:$J$974,'City Density Ranking'!$O$6:$O$974,B76,'City Density Ranking'!$C$6:$C$974,C76)</x:f>
        <x:v>1</x:v>
      </x:c>
      <x:c r="K76" s="133" t="n">
        <x:f>SUM(E76:J76)</x:f>
        <x:v>4</x:v>
      </x:c>
      <x:c r="L76" s="204" t="n">
        <x:v>448.62</x:v>
      </x:c>
      <x:c r="M76" s="205" t="n">
        <x:f>IFERROR(K76/L76,0)</x:f>
        <x:v>0.008916232000356648</x:v>
      </x:c>
      <x:c r="N76" s="160" t="str">
        <x:v>Daly City, Redwood City, San Mateo, South San Francisco</x:v>
      </x:c>
      <x:c r="O76" s="160" t="str">
        <x:v>Includes proxy city rows</x:v>
      </x:c>
      <x:c r="P76" s="160" t="str">
        <x:v>Aggregated from 4 city/municipality screening rows; overlapping catchments are not deduplicated.</x:v>
      </x:c>
      <x:c r="Q76" s="160" t="str">
        <x:v>Verified Census QuickFacts land area (2020)</x:v>
      </x:c>
    </x:row>
    <x:row r="77">
      <x:c r="A77" s="28" t="n">
        <x:v>76</x:v>
      </x:c>
      <x:c r="B77" s="28" t="str">
        <x:v>Westmoreland County</x:v>
      </x:c>
      <x:c r="C77" s="28" t="str">
        <x:v>PA</x:v>
      </x:c>
      <x:c r="D77" s="142" t="str">
        <x:v>42129</x:v>
      </x:c>
      <x:c r="E77" s="133" t="n">
        <x:f>SUMIFS('City Density Ranking'!$E$6:$E$974,'City Density Ranking'!$O$6:$O$974,B77,'City Density Ranking'!$C$6:$C$974,C77)</x:f>
        <x:v>0</x:v>
      </x:c>
      <x:c r="F77" s="133" t="n">
        <x:f>SUMIFS('City Density Ranking'!$F$6:$F$974,'City Density Ranking'!$O$6:$O$974,B77,'City Density Ranking'!$C$6:$C$974,C77)</x:f>
        <x:v>0</x:v>
      </x:c>
      <x:c r="G77" s="133" t="n">
        <x:f>SUMIFS('City Density Ranking'!$G$6:$G$974,'City Density Ranking'!$O$6:$O$974,B77,'City Density Ranking'!$C$6:$C$974,C77)</x:f>
        <x:v>0</x:v>
      </x:c>
      <x:c r="H77" s="133" t="n">
        <x:f>SUMIFS('City Density Ranking'!$H$6:$H$974,'City Density Ranking'!$O$6:$O$974,B77,'City Density Ranking'!$C$6:$C$974,C77)</x:f>
        <x:v>0</x:v>
      </x:c>
      <x:c r="I77" s="133" t="n">
        <x:f>SUMIFS('City Density Ranking'!$I$6:$I$974,'City Density Ranking'!$O$6:$O$974,B77,'City Density Ranking'!$C$6:$C$974,C77)</x:f>
        <x:v>0</x:v>
      </x:c>
      <x:c r="J77" s="133" t="n">
        <x:f>SUMIFS('City Density Ranking'!$J$6:$J$974,'City Density Ranking'!$O$6:$O$974,B77,'City Density Ranking'!$C$6:$C$974,C77)</x:f>
        <x:v>9</x:v>
      </x:c>
      <x:c r="K77" s="133" t="n">
        <x:f>SUM(E77:J77)</x:f>
        <x:v>9</x:v>
      </x:c>
      <x:c r="L77" s="204" t="n">
        <x:v>1027.71</x:v>
      </x:c>
      <x:c r="M77" s="205" t="n">
        <x:f>IFERROR(K77/L77,0)</x:f>
        <x:v>0.008757334267448989</x:v>
      </x:c>
      <x:c r="N77" s="160" t="str">
        <x:v>Derry Township, Greensburg City, Hempfield Township, Lower Burrell City, Murrysville Municipality, New Kensington City, North Huntingdon Township, Rostraver Township, Unity Township</x:v>
      </x:c>
      <x:c r="O77" s="160" t="str">
        <x:v>Includes proxy city rows</x:v>
      </x:c>
      <x:c r="P77" s="160" t="str">
        <x:v>Aggregated from 9 city/municipality screening rows; overlapping catchments are not deduplicated.</x:v>
      </x:c>
      <x:c r="Q77" s="160" t="str">
        <x:v>U.S. Census Bureau QuickFacts 2020 land area</x:v>
      </x:c>
    </x:row>
    <x:row r="78">
      <x:c r="A78" s="28" t="n">
        <x:v>79</x:v>
      </x:c>
      <x:c r="B78" s="28" t="str">
        <x:v>Clarke County</x:v>
      </x:c>
      <x:c r="C78" s="28" t="str">
        <x:v>GA</x:v>
      </x:c>
      <x:c r="D78" s="142" t="str">
        <x:v>13059</x:v>
      </x:c>
      <x:c r="E78" s="133" t="n">
        <x:f>SUMIFS('City Density Ranking'!$E$6:$E$974,'City Density Ranking'!$O$6:$O$974,B78,'City Density Ranking'!$C$6:$C$974,C78)</x:f>
        <x:v>0</x:v>
      </x:c>
      <x:c r="F78" s="133" t="n">
        <x:f>SUMIFS('City Density Ranking'!$F$6:$F$974,'City Density Ranking'!$O$6:$O$974,B78,'City Density Ranking'!$C$6:$C$974,C78)</x:f>
        <x:v>0</x:v>
      </x:c>
      <x:c r="G78" s="133" t="n">
        <x:f>SUMIFS('City Density Ranking'!$G$6:$G$974,'City Density Ranking'!$O$6:$O$974,B78,'City Density Ranking'!$C$6:$C$974,C78)</x:f>
        <x:v>0</x:v>
      </x:c>
      <x:c r="H78" s="133" t="n">
        <x:f>SUMIFS('City Density Ranking'!$H$6:$H$974,'City Density Ranking'!$O$6:$O$974,B78,'City Density Ranking'!$C$6:$C$974,C78)</x:f>
        <x:v>0</x:v>
      </x:c>
      <x:c r="I78" s="133" t="n">
        <x:f>SUMIFS('City Density Ranking'!$I$6:$I$974,'City Density Ranking'!$O$6:$O$974,B78,'City Density Ranking'!$C$6:$C$974,C78)</x:f>
        <x:v>0</x:v>
      </x:c>
      <x:c r="J78" s="133" t="n">
        <x:f>SUMIFS('City Density Ranking'!$J$6:$J$974,'City Density Ranking'!$O$6:$O$974,B78,'City Density Ranking'!$C$6:$C$974,C78)</x:f>
        <x:v>1</x:v>
      </x:c>
      <x:c r="K78" s="133" t="n">
        <x:f>SUM(E78:J78)</x:f>
        <x:v>1</x:v>
      </x:c>
      <x:c r="L78" s="204" t="n">
        <x:v>119.3456400624548</x:v>
      </x:c>
      <x:c r="M78" s="205" t="n">
        <x:f>IFERROR(K78/L78,0)</x:f>
        <x:v>0.008379024147649548</x:v>
      </x:c>
      <x:c r="N78" s="160" t="str">
        <x:v>Athens</x:v>
      </x:c>
      <x:c r="O78" s="160" t="str">
        <x:v>Includes proxy city rows</x:v>
      </x:c>
      <x:c r="P78" s="160" t="str">
        <x:v>Aggregated from 1 city/municipality screening rows; overlapping catchments are not deduplicated.</x:v>
      </x:c>
      <x:c r="Q78" s="160" t="str">
        <x:v>Estimated county land area: geodesic polygon × 0.986 land/total calibration</x:v>
      </x:c>
    </x:row>
    <x:row r="79">
      <x:c r="A79" s="28" t="n">
        <x:v>80</x:v>
      </x:c>
      <x:c r="B79" s="28" t="str">
        <x:v>Lebanon County</x:v>
      </x:c>
      <x:c r="C79" s="28" t="str">
        <x:v>PA</x:v>
      </x:c>
      <x:c r="D79" s="142" t="str">
        <x:v>42075</x:v>
      </x:c>
      <x:c r="E79" s="133" t="n">
        <x:f>SUMIFS('City Density Ranking'!$E$6:$E$974,'City Density Ranking'!$O$6:$O$974,B79,'City Density Ranking'!$C$6:$C$974,C79)</x:f>
        <x:v>0</x:v>
      </x:c>
      <x:c r="F79" s="133" t="n">
        <x:f>SUMIFS('City Density Ranking'!$F$6:$F$974,'City Density Ranking'!$O$6:$O$974,B79,'City Density Ranking'!$C$6:$C$974,C79)</x:f>
        <x:v>0</x:v>
      </x:c>
      <x:c r="G79" s="133" t="n">
        <x:f>SUMIFS('City Density Ranking'!$G$6:$G$974,'City Density Ranking'!$O$6:$O$974,B79,'City Density Ranking'!$C$6:$C$974,C79)</x:f>
        <x:v>0</x:v>
      </x:c>
      <x:c r="H79" s="133" t="n">
        <x:f>SUMIFS('City Density Ranking'!$H$6:$H$974,'City Density Ranking'!$O$6:$O$974,B79,'City Density Ranking'!$C$6:$C$974,C79)</x:f>
        <x:v>0</x:v>
      </x:c>
      <x:c r="I79" s="133" t="n">
        <x:f>SUMIFS('City Density Ranking'!$I$6:$I$974,'City Density Ranking'!$O$6:$O$974,B79,'City Density Ranking'!$C$6:$C$974,C79)</x:f>
        <x:v>0</x:v>
      </x:c>
      <x:c r="J79" s="133" t="n">
        <x:f>SUMIFS('City Density Ranking'!$J$6:$J$974,'City Density Ranking'!$O$6:$O$974,B79,'City Density Ranking'!$C$6:$C$974,C79)</x:f>
        <x:v>3</x:v>
      </x:c>
      <x:c r="K79" s="133" t="n">
        <x:f>SUM(E79:J79)</x:f>
        <x:v>3</x:v>
      </x:c>
      <x:c r="L79" s="204" t="n">
        <x:v>361.835</x:v>
      </x:c>
      <x:c r="M79" s="205" t="n">
        <x:f>IFERROR(K79/L79,0)</x:f>
        <x:v>0.008291071897411803</x:v>
      </x:c>
      <x:c r="N79" s="160" t="str">
        <x:v>Lebanon City, North Lebanon Township, South Lebanon Township</x:v>
      </x:c>
      <x:c r="O79" s="160" t="str">
        <x:v>Includes proxy city rows</x:v>
      </x:c>
      <x:c r="P79" s="160" t="str">
        <x:v>Aggregated from 3 city/municipality screening rows; overlapping catchments are not deduplicated.</x:v>
      </x:c>
      <x:c r="Q79" s="160" t="str">
        <x:v>U.S. Census Bureau 2025 Gazetteer — ALAND_SQMI</x:v>
      </x:c>
    </x:row>
    <x:row r="80">
      <x:c r="A80" s="28" t="n">
        <x:v>81</x:v>
      </x:c>
      <x:c r="B80" s="28" t="str">
        <x:v>Oakland County</x:v>
      </x:c>
      <x:c r="C80" s="28" t="str">
        <x:v>MI</x:v>
      </x:c>
      <x:c r="D80" s="142" t="str">
        <x:v>26125</x:v>
      </x:c>
      <x:c r="E80" s="133" t="n">
        <x:f>SUMIFS('City Density Ranking'!$E$6:$E$974,'City Density Ranking'!$O$6:$O$974,B80,'City Density Ranking'!$C$6:$C$974,C80)</x:f>
        <x:v>1</x:v>
      </x:c>
      <x:c r="F80" s="133" t="n">
        <x:f>SUMIFS('City Density Ranking'!$F$6:$F$974,'City Density Ranking'!$O$6:$O$974,B80,'City Density Ranking'!$C$6:$C$974,C80)</x:f>
        <x:v>0</x:v>
      </x:c>
      <x:c r="G80" s="133" t="n">
        <x:f>SUMIFS('City Density Ranking'!$G$6:$G$974,'City Density Ranking'!$O$6:$O$974,B80,'City Density Ranking'!$C$6:$C$974,C80)</x:f>
        <x:v>0</x:v>
      </x:c>
      <x:c r="H80" s="133" t="n">
        <x:f>SUMIFS('City Density Ranking'!$H$6:$H$974,'City Density Ranking'!$O$6:$O$974,B80,'City Density Ranking'!$C$6:$C$974,C80)</x:f>
        <x:v>0</x:v>
      </x:c>
      <x:c r="I80" s="133" t="n">
        <x:f>SUMIFS('City Density Ranking'!$I$6:$I$974,'City Density Ranking'!$O$6:$O$974,B80,'City Density Ranking'!$C$6:$C$974,C80)</x:f>
        <x:v>0</x:v>
      </x:c>
      <x:c r="J80" s="133" t="n">
        <x:f>SUMIFS('City Density Ranking'!$J$6:$J$974,'City Density Ranking'!$O$6:$O$974,B80,'City Density Ranking'!$C$6:$C$974,C80)</x:f>
        <x:v>6</x:v>
      </x:c>
      <x:c r="K80" s="133" t="n">
        <x:f>SUM(E80:J80)</x:f>
        <x:v>7</x:v>
      </x:c>
      <x:c r="L80" s="204" t="n">
        <x:v>867.28</x:v>
      </x:c>
      <x:c r="M80" s="205" t="n">
        <x:f>IFERROR(K80/L80,0)</x:f>
        <x:v>0.008071211142883498</x:v>
      </x:c>
      <x:c r="N80" s="160" t="str">
        <x:v>Farmington Hills, Novi, Pontiac, Rochester Hills, Royal Oak, Southfield, Troy</x:v>
      </x:c>
      <x:c r="O80" s="160" t="str">
        <x:v>Includes proxy city rows</x:v>
      </x:c>
      <x:c r="P80" s="160" t="str">
        <x:v>Aggregated from 7 city/municipality screening rows; overlapping catchments are not deduplicated.</x:v>
      </x:c>
      <x:c r="Q80" s="160" t="str">
        <x:v>Verified Census QuickFacts land area (2020 geography)</x:v>
      </x:c>
    </x:row>
    <x:row r="81">
      <x:c r="A81" s="28" t="n">
        <x:v>82</x:v>
      </x:c>
      <x:c r="B81" s="28" t="str">
        <x:v>Essex County</x:v>
      </x:c>
      <x:c r="C81" s="28" t="str">
        <x:v>NJ</x:v>
      </x:c>
      <x:c r="D81" s="142" t="str">
        <x:v>34013</x:v>
      </x:c>
      <x:c r="E81" s="133" t="n">
        <x:f>SUMIFS('City Density Ranking'!$E$6:$E$974,'City Density Ranking'!$O$6:$O$974,B81,'City Density Ranking'!$C$6:$C$974,C81)</x:f>
        <x:v>0</x:v>
      </x:c>
      <x:c r="F81" s="133" t="n">
        <x:f>SUMIFS('City Density Ranking'!$F$6:$F$974,'City Density Ranking'!$O$6:$O$974,B81,'City Density Ranking'!$C$6:$C$974,C81)</x:f>
        <x:v>0</x:v>
      </x:c>
      <x:c r="G81" s="133" t="n">
        <x:f>SUMIFS('City Density Ranking'!$G$6:$G$974,'City Density Ranking'!$O$6:$O$974,B81,'City Density Ranking'!$C$6:$C$974,C81)</x:f>
        <x:v>0</x:v>
      </x:c>
      <x:c r="H81" s="133" t="n">
        <x:f>SUMIFS('City Density Ranking'!$H$6:$H$974,'City Density Ranking'!$O$6:$O$974,B81,'City Density Ranking'!$C$6:$C$974,C81)</x:f>
        <x:v>0</x:v>
      </x:c>
      <x:c r="I81" s="133" t="n">
        <x:f>SUMIFS('City Density Ranking'!$I$6:$I$974,'City Density Ranking'!$O$6:$O$974,B81,'City Density Ranking'!$C$6:$C$974,C81)</x:f>
        <x:v>0</x:v>
      </x:c>
      <x:c r="J81" s="133" t="n">
        <x:f>SUMIFS('City Density Ranking'!$J$6:$J$974,'City Density Ranking'!$O$6:$O$974,B81,'City Density Ranking'!$C$6:$C$974,C81)</x:f>
        <x:v>1</x:v>
      </x:c>
      <x:c r="K81" s="133" t="n">
        <x:f>SUM(E81:J81)</x:f>
        <x:v>1</x:v>
      </x:c>
      <x:c r="L81" s="204" t="n">
        <x:v>126.085</x:v>
      </x:c>
      <x:c r="M81" s="205" t="n">
        <x:f>IFERROR(K81/L81,0)</x:f>
        <x:v>0.00793115755244478</x:v>
      </x:c>
      <x:c r="N81" s="160" t="str">
        <x:v>Newark</x:v>
      </x:c>
      <x:c r="O81" s="160" t="str">
        <x:v>Includes proxy city rows</x:v>
      </x:c>
      <x:c r="P81" s="160" t="str">
        <x:v>Aggregated from 1 city/municipality screening rows; overlapping catchments are not deduplicated.</x:v>
      </x:c>
      <x:c r="Q81" s="160" t="str">
        <x:v>Verified Census land area (retained)</x:v>
      </x:c>
    </x:row>
    <x:row r="82">
      <x:c r="A82" s="28" t="n">
        <x:v>83</x:v>
      </x:c>
      <x:c r="B82" s="28" t="str">
        <x:v>Fairfield County</x:v>
      </x:c>
      <x:c r="C82" s="28" t="str">
        <x:v>OH</x:v>
      </x:c>
      <x:c r="D82" s="142" t="str">
        <x:v>39045</x:v>
      </x:c>
      <x:c r="E82" s="133" t="n">
        <x:f>SUMIFS('City Density Ranking'!$E$6:$E$974,'City Density Ranking'!$O$6:$O$974,B82,'City Density Ranking'!$C$6:$C$974,C82)</x:f>
        <x:v>0</x:v>
      </x:c>
      <x:c r="F82" s="133" t="n">
        <x:f>SUMIFS('City Density Ranking'!$F$6:$F$974,'City Density Ranking'!$O$6:$O$974,B82,'City Density Ranking'!$C$6:$C$974,C82)</x:f>
        <x:v>0</x:v>
      </x:c>
      <x:c r="G82" s="133" t="n">
        <x:f>SUMIFS('City Density Ranking'!$G$6:$G$974,'City Density Ranking'!$O$6:$O$974,B82,'City Density Ranking'!$C$6:$C$974,C82)</x:f>
        <x:v>0</x:v>
      </x:c>
      <x:c r="H82" s="133" t="n">
        <x:f>SUMIFS('City Density Ranking'!$H$6:$H$974,'City Density Ranking'!$O$6:$O$974,B82,'City Density Ranking'!$C$6:$C$974,C82)</x:f>
        <x:v>0</x:v>
      </x:c>
      <x:c r="I82" s="133" t="n">
        <x:f>SUMIFS('City Density Ranking'!$I$6:$I$974,'City Density Ranking'!$O$6:$O$974,B82,'City Density Ranking'!$C$6:$C$974,C82)</x:f>
        <x:v>0</x:v>
      </x:c>
      <x:c r="J82" s="133" t="n">
        <x:f>SUMIFS('City Density Ranking'!$J$6:$J$974,'City Density Ranking'!$O$6:$O$974,B82,'City Density Ranking'!$C$6:$C$974,C82)</x:f>
        <x:v>4</x:v>
      </x:c>
      <x:c r="K82" s="133" t="n">
        <x:f>SUM(E82:J82)</x:f>
        <x:v>4</x:v>
      </x:c>
      <x:c r="L82" s="204" t="n">
        <x:v>504.41</x:v>
      </x:c>
      <x:c r="M82" s="205" t="n">
        <x:f>IFERROR(K82/L82,0)</x:f>
        <x:v>0.007930056898158244</x:v>
      </x:c>
      <x:c r="N82" s="160" t="str">
        <x:v>Bloom Township, Lancaster City, Pickerington City, Violet Township</x:v>
      </x:c>
      <x:c r="O82" s="160" t="str">
        <x:v>Includes proxy city rows</x:v>
      </x:c>
      <x:c r="P82" s="160" t="str">
        <x:v>Aggregated from 4 city/municipality screening rows; overlapping catchments are not deduplicated.</x:v>
      </x:c>
      <x:c r="Q82" s="160" t="str">
        <x:v>U.S. Census Bureau QuickFacts / TIGER land area</x:v>
      </x:c>
    </x:row>
    <x:row r="83">
      <x:c r="A83" s="28" t="n">
        <x:v>84</x:v>
      </x:c>
      <x:c r="B83" s="28" t="str">
        <x:v>Luzerne County</x:v>
      </x:c>
      <x:c r="C83" s="28" t="str">
        <x:v>PA</x:v>
      </x:c>
      <x:c r="D83" s="142" t="str">
        <x:v>42079</x:v>
      </x:c>
      <x:c r="E83" s="133" t="n">
        <x:f>SUMIFS('City Density Ranking'!$E$6:$E$974,'City Density Ranking'!$O$6:$O$974,B83,'City Density Ranking'!$C$6:$C$974,C83)</x:f>
        <x:v>0</x:v>
      </x:c>
      <x:c r="F83" s="133" t="n">
        <x:f>SUMIFS('City Density Ranking'!$F$6:$F$974,'City Density Ranking'!$O$6:$O$974,B83,'City Density Ranking'!$C$6:$C$974,C83)</x:f>
        <x:v>0</x:v>
      </x:c>
      <x:c r="G83" s="133" t="n">
        <x:f>SUMIFS('City Density Ranking'!$G$6:$G$974,'City Density Ranking'!$O$6:$O$974,B83,'City Density Ranking'!$C$6:$C$974,C83)</x:f>
        <x:v>0</x:v>
      </x:c>
      <x:c r="H83" s="133" t="n">
        <x:f>SUMIFS('City Density Ranking'!$H$6:$H$974,'City Density Ranking'!$O$6:$O$974,B83,'City Density Ranking'!$C$6:$C$974,C83)</x:f>
        <x:v>0</x:v>
      </x:c>
      <x:c r="I83" s="133" t="n">
        <x:f>SUMIFS('City Density Ranking'!$I$6:$I$974,'City Density Ranking'!$O$6:$O$974,B83,'City Density Ranking'!$C$6:$C$974,C83)</x:f>
        <x:v>0</x:v>
      </x:c>
      <x:c r="J83" s="133" t="n">
        <x:f>SUMIFS('City Density Ranking'!$J$6:$J$974,'City Density Ranking'!$O$6:$O$974,B83,'City Density Ranking'!$C$6:$C$974,C83)</x:f>
        <x:v>7</x:v>
      </x:c>
      <x:c r="K83" s="133" t="n">
        <x:f>SUM(E83:J83)</x:f>
        <x:v>7</x:v>
      </x:c>
      <x:c r="L83" s="204" t="n">
        <x:v>889.66</x:v>
      </x:c>
      <x:c r="M83" s="205" t="n">
        <x:f>IFERROR(K83/L83,0)</x:f>
        <x:v>0.00786817435874379</x:v>
      </x:c>
      <x:c r="N83" s="160" t="str">
        <x:v>Hanover Township, Hazle Township, Hazleton City, Kingston Borough, Nanticoke City, Plains Township, Wilkes-Barre City</x:v>
      </x:c>
      <x:c r="O83" s="160" t="str">
        <x:v>Includes proxy city rows</x:v>
      </x:c>
      <x:c r="P83" s="160" t="str">
        <x:v>Aggregated from 7 city/municipality screening rows; overlapping catchments are not deduplicated.</x:v>
      </x:c>
      <x:c r="Q83" s="160" t="str">
        <x:v>U.S. Census Bureau QuickFacts 2020 land area</x:v>
      </x:c>
    </x:row>
    <x:row r="84">
      <x:c r="A84" s="28" t="n">
        <x:v>85</x:v>
      </x:c>
      <x:c r="B84" s="28" t="str">
        <x:v>Franklin County</x:v>
      </x:c>
      <x:c r="C84" s="28" t="str">
        <x:v>PA</x:v>
      </x:c>
      <x:c r="D84" s="142" t="str">
        <x:v>42055</x:v>
      </x:c>
      <x:c r="E84" s="133" t="n">
        <x:f>SUMIFS('City Density Ranking'!$E$6:$E$974,'City Density Ranking'!$O$6:$O$974,B84,'City Density Ranking'!$C$6:$C$974,C84)</x:f>
        <x:v>0</x:v>
      </x:c>
      <x:c r="F84" s="133" t="n">
        <x:f>SUMIFS('City Density Ranking'!$F$6:$F$974,'City Density Ranking'!$O$6:$O$974,B84,'City Density Ranking'!$C$6:$C$974,C84)</x:f>
        <x:v>0</x:v>
      </x:c>
      <x:c r="G84" s="133" t="n">
        <x:f>SUMIFS('City Density Ranking'!$G$6:$G$974,'City Density Ranking'!$O$6:$O$974,B84,'City Density Ranking'!$C$6:$C$974,C84)</x:f>
        <x:v>0</x:v>
      </x:c>
      <x:c r="H84" s="133" t="n">
        <x:f>SUMIFS('City Density Ranking'!$H$6:$H$974,'City Density Ranking'!$O$6:$O$974,B84,'City Density Ranking'!$C$6:$C$974,C84)</x:f>
        <x:v>0</x:v>
      </x:c>
      <x:c r="I84" s="133" t="n">
        <x:f>SUMIFS('City Density Ranking'!$I$6:$I$974,'City Density Ranking'!$O$6:$O$974,B84,'City Density Ranking'!$C$6:$C$974,C84)</x:f>
        <x:v>0</x:v>
      </x:c>
      <x:c r="J84" s="133" t="n">
        <x:f>SUMIFS('City Density Ranking'!$J$6:$J$974,'City Density Ranking'!$O$6:$O$974,B84,'City Density Ranking'!$C$6:$C$974,C84)</x:f>
        <x:v>6</x:v>
      </x:c>
      <x:c r="K84" s="133" t="n">
        <x:f>SUM(E84:J84)</x:f>
        <x:v>6</x:v>
      </x:c>
      <x:c r="L84" s="204" t="n">
        <x:v>772.3</x:v>
      </x:c>
      <x:c r="M84" s="205" t="n">
        <x:f>IFERROR(K84/L84,0)</x:f>
        <x:v>0.007769001683283699</x:v>
      </x:c>
      <x:c r="N84" s="160" t="str">
        <x:v>Antrim township, Chambersburg borough, Greene township, Guilford township, Washington township, Waynesboro borough</x:v>
      </x:c>
      <x:c r="O84" s="160" t="str">
        <x:v>Includes proxy city rows</x:v>
      </x:c>
      <x:c r="P84" s="160" t="str">
        <x:v>Aggregated from 6 city/municipality screening rows; overlapping catchments are not deduplicated.</x:v>
      </x:c>
      <x:c r="Q84" s="160" t="str">
        <x:v>U.S. Census Bureau QuickFacts — 2020 land area</x:v>
      </x:c>
    </x:row>
    <x:row r="85">
      <x:c r="A85" s="28" t="n">
        <x:v>86</x:v>
      </x:c>
      <x:c r="B85" s="28" t="str">
        <x:v>Ontario County</x:v>
      </x:c>
      <x:c r="C85" s="28" t="str">
        <x:v>NY</x:v>
      </x:c>
      <x:c r="D85" s="142" t="str">
        <x:v>36069</x:v>
      </x:c>
      <x:c r="E85" s="133" t="n">
        <x:f>SUMIFS('City Density Ranking'!$E$6:$E$974,'City Density Ranking'!$O$6:$O$974,B85,'City Density Ranking'!$C$6:$C$974,C85)</x:f>
        <x:v>0</x:v>
      </x:c>
      <x:c r="F85" s="133" t="n">
        <x:f>SUMIFS('City Density Ranking'!$F$6:$F$974,'City Density Ranking'!$O$6:$O$974,B85,'City Density Ranking'!$C$6:$C$974,C85)</x:f>
        <x:v>0</x:v>
      </x:c>
      <x:c r="G85" s="133" t="n">
        <x:f>SUMIFS('City Density Ranking'!$G$6:$G$974,'City Density Ranking'!$O$6:$O$974,B85,'City Density Ranking'!$C$6:$C$974,C85)</x:f>
        <x:v>0</x:v>
      </x:c>
      <x:c r="H85" s="133" t="n">
        <x:f>SUMIFS('City Density Ranking'!$H$6:$H$974,'City Density Ranking'!$O$6:$O$974,B85,'City Density Ranking'!$C$6:$C$974,C85)</x:f>
        <x:v>0</x:v>
      </x:c>
      <x:c r="I85" s="133" t="n">
        <x:f>SUMIFS('City Density Ranking'!$I$6:$I$974,'City Density Ranking'!$O$6:$O$974,B85,'City Density Ranking'!$C$6:$C$974,C85)</x:f>
        <x:v>2</x:v>
      </x:c>
      <x:c r="J85" s="133" t="n">
        <x:f>SUMIFS('City Density Ranking'!$J$6:$J$974,'City Density Ranking'!$O$6:$O$974,B85,'City Density Ranking'!$C$6:$C$974,C85)</x:f>
        <x:v>3</x:v>
      </x:c>
      <x:c r="K85" s="133" t="n">
        <x:f>SUM(E85:J85)</x:f>
        <x:v>5</x:v>
      </x:c>
      <x:c r="L85" s="204" t="n">
        <x:v>644.08</x:v>
      </x:c>
      <x:c r="M85" s="205" t="n">
        <x:f>IFERROR(K85/L85,0)</x:f>
        <x:v>0.0077630108061110415</x:v>
      </x:c>
      <x:c r="N85" s="160" t="str">
        <x:v>Canandaigua city, Canandaigua town, Farmington town, Geneva city, Victor town</x:v>
      </x:c>
      <x:c r="O85" s="160" t="str">
        <x:v>Includes proxy city rows</x:v>
      </x:c>
      <x:c r="P85" s="160" t="str">
        <x:v>Aggregated from 5 city/municipality screening rows; overlapping catchments are not deduplicated.</x:v>
      </x:c>
      <x:c r="Q85" s="160" t="str">
        <x:v>U.S. Census Bureau QuickFacts — 2020 land area</x:v>
      </x:c>
    </x:row>
    <x:row r="86">
      <x:c r="A86" s="28" t="n">
        <x:v>87</x:v>
      </x:c>
      <x:c r="B86" s="28" t="str">
        <x:v>Sussex County</x:v>
      </x:c>
      <x:c r="C86" s="28" t="str">
        <x:v>NJ</x:v>
      </x:c>
      <x:c r="D86" s="142" t="str">
        <x:v>34037</x:v>
      </x:c>
      <x:c r="E86" s="133" t="n">
        <x:f>SUMIFS('City Density Ranking'!$E$6:$E$974,'City Density Ranking'!$O$6:$O$974,B86,'City Density Ranking'!$C$6:$C$974,C86)</x:f>
        <x:v>0</x:v>
      </x:c>
      <x:c r="F86" s="133" t="n">
        <x:f>SUMIFS('City Density Ranking'!$F$6:$F$974,'City Density Ranking'!$O$6:$O$974,B86,'City Density Ranking'!$C$6:$C$974,C86)</x:f>
        <x:v>0</x:v>
      </x:c>
      <x:c r="G86" s="133" t="n">
        <x:f>SUMIFS('City Density Ranking'!$G$6:$G$974,'City Density Ranking'!$O$6:$O$974,B86,'City Density Ranking'!$C$6:$C$974,C86)</x:f>
        <x:v>0</x:v>
      </x:c>
      <x:c r="H86" s="133" t="n">
        <x:f>SUMIFS('City Density Ranking'!$H$6:$H$974,'City Density Ranking'!$O$6:$O$974,B86,'City Density Ranking'!$C$6:$C$974,C86)</x:f>
        <x:v>0</x:v>
      </x:c>
      <x:c r="I86" s="133" t="n">
        <x:f>SUMIFS('City Density Ranking'!$I$6:$I$974,'City Density Ranking'!$O$6:$O$974,B86,'City Density Ranking'!$C$6:$C$974,C86)</x:f>
        <x:v>0</x:v>
      </x:c>
      <x:c r="J86" s="133" t="n">
        <x:f>SUMIFS('City Density Ranking'!$J$6:$J$974,'City Density Ranking'!$O$6:$O$974,B86,'City Density Ranking'!$C$6:$C$974,C86)</x:f>
        <x:v>4</x:v>
      </x:c>
      <x:c r="K86" s="133" t="n">
        <x:f>SUM(E86:J86)</x:f>
        <x:v>4</x:v>
      </x:c>
      <x:c r="L86" s="204" t="n">
        <x:v>518.493</x:v>
      </x:c>
      <x:c r="M86" s="205" t="n">
        <x:f>IFERROR(K86/L86,0)</x:f>
        <x:v>0.007714665386032212</x:v>
      </x:c>
      <x:c r="N86" s="160" t="str">
        <x:v>Hopatcong Borough, Sparta Township, Vernon Township, Wantage Township</x:v>
      </x:c>
      <x:c r="O86" s="160" t="str">
        <x:v>Includes proxy city rows</x:v>
      </x:c>
      <x:c r="P86" s="160" t="str">
        <x:v>Aggregated from 4 city/municipality screening rows; overlapping catchments are not deduplicated.</x:v>
      </x:c>
      <x:c r="Q86" s="160" t="str">
        <x:v>U.S. Census Bureau TIGER/BAS26 — ALAND_SQMI</x:v>
      </x:c>
    </x:row>
    <x:row r="87">
      <x:c r="A87" s="28" t="n">
        <x:v>88</x:v>
      </x:c>
      <x:c r="B87" s="28" t="str">
        <x:v>Franklin County</x:v>
      </x:c>
      <x:c r="C87" s="28" t="str">
        <x:v>OH</x:v>
      </x:c>
      <x:c r="D87" s="142" t="str">
        <x:v>39049</x:v>
      </x:c>
      <x:c r="E87" s="133" t="n">
        <x:f>SUMIFS('City Density Ranking'!$E$6:$E$974,'City Density Ranking'!$O$6:$O$974,B87,'City Density Ranking'!$C$6:$C$974,C87)</x:f>
        <x:v>2</x:v>
      </x:c>
      <x:c r="F87" s="133" t="n">
        <x:f>SUMIFS('City Density Ranking'!$F$6:$F$974,'City Density Ranking'!$O$6:$O$974,B87,'City Density Ranking'!$C$6:$C$974,C87)</x:f>
        <x:v>0</x:v>
      </x:c>
      <x:c r="G87" s="133" t="n">
        <x:f>SUMIFS('City Density Ranking'!$G$6:$G$974,'City Density Ranking'!$O$6:$O$974,B87,'City Density Ranking'!$C$6:$C$974,C87)</x:f>
        <x:v>0</x:v>
      </x:c>
      <x:c r="H87" s="133" t="n">
        <x:f>SUMIFS('City Density Ranking'!$H$6:$H$974,'City Density Ranking'!$O$6:$O$974,B87,'City Density Ranking'!$C$6:$C$974,C87)</x:f>
        <x:v>2</x:v>
      </x:c>
      <x:c r="I87" s="133" t="n">
        <x:f>SUMIFS('City Density Ranking'!$I$6:$I$974,'City Density Ranking'!$O$6:$O$974,B87,'City Density Ranking'!$C$6:$C$974,C87)</x:f>
        <x:v>0</x:v>
      </x:c>
      <x:c r="J87" s="133" t="n">
        <x:f>SUMIFS('City Density Ranking'!$J$6:$J$974,'City Density Ranking'!$O$6:$O$974,B87,'City Density Ranking'!$C$6:$C$974,C87)</x:f>
        <x:v>0</x:v>
      </x:c>
      <x:c r="K87" s="133" t="n">
        <x:f>SUM(E87:J87)</x:f>
        <x:v>4</x:v>
      </x:c>
      <x:c r="L87" s="204" t="n">
        <x:v>532.418</x:v>
      </x:c>
      <x:c r="M87" s="205" t="n">
        <x:f>IFERROR(K87/L87,0)</x:f>
        <x:v>0.0075128940043349395</x:v>
      </x:c>
      <x:c r="N87" s="160" t="str">
        <x:v>Columbus</x:v>
      </x:c>
      <x:c r="O87" s="160" t="str">
        <x:v>Lower-bound city counts only</x:v>
      </x:c>
      <x:c r="P87" s="160" t="str">
        <x:v>Aggregated from 1 city/municipality screening rows; overlapping catchments are not deduplicated.</x:v>
      </x:c>
      <x:c r="Q87" s="160" t="str">
        <x:v>Verified Census land area (retained)</x:v>
      </x:c>
    </x:row>
    <x:row r="88">
      <x:c r="A88" s="28" t="n">
        <x:v>89</x:v>
      </x:c>
      <x:c r="B88" s="28" t="str">
        <x:v>Miami County</x:v>
      </x:c>
      <x:c r="C88" s="28" t="str">
        <x:v>OH</x:v>
      </x:c>
      <x:c r="D88" s="142" t="str">
        <x:v>39109</x:v>
      </x:c>
      <x:c r="E88" s="133" t="n">
        <x:f>SUMIFS('City Density Ranking'!$E$6:$E$974,'City Density Ranking'!$O$6:$O$974,B88,'City Density Ranking'!$C$6:$C$974,C88)</x:f>
        <x:v>0</x:v>
      </x:c>
      <x:c r="F88" s="133" t="n">
        <x:f>SUMIFS('City Density Ranking'!$F$6:$F$974,'City Density Ranking'!$O$6:$O$974,B88,'City Density Ranking'!$C$6:$C$974,C88)</x:f>
        <x:v>0</x:v>
      </x:c>
      <x:c r="G88" s="133" t="n">
        <x:f>SUMIFS('City Density Ranking'!$G$6:$G$974,'City Density Ranking'!$O$6:$O$974,B88,'City Density Ranking'!$C$6:$C$974,C88)</x:f>
        <x:v>0</x:v>
      </x:c>
      <x:c r="H88" s="133" t="n">
        <x:f>SUMIFS('City Density Ranking'!$H$6:$H$974,'City Density Ranking'!$O$6:$O$974,B88,'City Density Ranking'!$C$6:$C$974,C88)</x:f>
        <x:v>0</x:v>
      </x:c>
      <x:c r="I88" s="133" t="n">
        <x:f>SUMIFS('City Density Ranking'!$I$6:$I$974,'City Density Ranking'!$O$6:$O$974,B88,'City Density Ranking'!$C$6:$C$974,C88)</x:f>
        <x:v>0</x:v>
      </x:c>
      <x:c r="J88" s="133" t="n">
        <x:f>SUMIFS('City Density Ranking'!$J$6:$J$974,'City Density Ranking'!$O$6:$O$974,B88,'City Density Ranking'!$C$6:$C$974,C88)</x:f>
        <x:v>3</x:v>
      </x:c>
      <x:c r="K88" s="133" t="n">
        <x:f>SUM(E88:J88)</x:f>
        <x:v>3</x:v>
      </x:c>
      <x:c r="L88" s="204" t="n">
        <x:v>406.581</x:v>
      </x:c>
      <x:c r="M88" s="205" t="n">
        <x:f>IFERROR(K88/L88,0)</x:f>
        <x:v>0.007378603525496764</x:v>
      </x:c>
      <x:c r="N88" s="160" t="str">
        <x:v>Piqua City, Tipp City City, Troy City</x:v>
      </x:c>
      <x:c r="O88" s="160" t="str">
        <x:v>Includes proxy city rows</x:v>
      </x:c>
      <x:c r="P88" s="160" t="str">
        <x:v>Aggregated from 3 city/municipality screening rows; overlapping catchments are not deduplicated.</x:v>
      </x:c>
      <x:c r="Q88" s="160" t="str">
        <x:v>U.S. Census Bureau 2025 Gazetteer — ALAND_SQMI</x:v>
      </x:c>
    </x:row>
    <x:row r="89">
      <x:c r="A89" s="28" t="n">
        <x:v>90</x:v>
      </x:c>
      <x:c r="B89" s="28" t="str">
        <x:v>Pinellas County</x:v>
      </x:c>
      <x:c r="C89" s="28" t="str">
        <x:v>FL</x:v>
      </x:c>
      <x:c r="D89" s="142" t="str">
        <x:v>12103</x:v>
      </x:c>
      <x:c r="E89" s="133" t="n">
        <x:f>SUMIFS('City Density Ranking'!$E$6:$E$974,'City Density Ranking'!$O$6:$O$974,B89,'City Density Ranking'!$C$6:$C$974,C89)</x:f>
        <x:v>0</x:v>
      </x:c>
      <x:c r="F89" s="133" t="n">
        <x:f>SUMIFS('City Density Ranking'!$F$6:$F$974,'City Density Ranking'!$O$6:$O$974,B89,'City Density Ranking'!$C$6:$C$974,C89)</x:f>
        <x:v>0</x:v>
      </x:c>
      <x:c r="G89" s="133" t="n">
        <x:f>SUMIFS('City Density Ranking'!$G$6:$G$974,'City Density Ranking'!$O$6:$O$974,B89,'City Density Ranking'!$C$6:$C$974,C89)</x:f>
        <x:v>0</x:v>
      </x:c>
      <x:c r="H89" s="133" t="n">
        <x:f>SUMIFS('City Density Ranking'!$H$6:$H$974,'City Density Ranking'!$O$6:$O$974,B89,'City Density Ranking'!$C$6:$C$974,C89)</x:f>
        <x:v>0</x:v>
      </x:c>
      <x:c r="I89" s="133" t="n">
        <x:f>SUMIFS('City Density Ranking'!$I$6:$I$974,'City Density Ranking'!$O$6:$O$974,B89,'City Density Ranking'!$C$6:$C$974,C89)</x:f>
        <x:v>0</x:v>
      </x:c>
      <x:c r="J89" s="133" t="n">
        <x:f>SUMIFS('City Density Ranking'!$J$6:$J$974,'City Density Ranking'!$O$6:$O$974,B89,'City Density Ranking'!$C$6:$C$974,C89)</x:f>
        <x:v>2</x:v>
      </x:c>
      <x:c r="K89" s="133" t="n">
        <x:f>SUM(E89:J89)</x:f>
        <x:v>2</x:v>
      </x:c>
      <x:c r="L89" s="204" t="n">
        <x:v>273.78</x:v>
      </x:c>
      <x:c r="M89" s="205" t="n">
        <x:f>IFERROR(K89/L89,0)</x:f>
        <x:v>0.007305135510263716</x:v>
      </x:c>
      <x:c r="N89" s="160" t="str">
        <x:v>Clearwater, St. Petersburg</x:v>
      </x:c>
      <x:c r="O89" s="160" t="str">
        <x:v>Includes proxy city rows</x:v>
      </x:c>
      <x:c r="P89" s="160" t="str">
        <x:v>Aggregated from 2 city/municipality screening rows; overlapping catchments are not deduplicated.</x:v>
      </x:c>
      <x:c r="Q89" s="160" t="str">
        <x:v>Verified Census land area (retained)</x:v>
      </x:c>
    </x:row>
    <x:row r="90">
      <x:c r="A90" s="28" t="n">
        <x:v>91</x:v>
      </x:c>
      <x:c r="B90" s="28" t="str">
        <x:v>Monroe County</x:v>
      </x:c>
      <x:c r="C90" s="28" t="str">
        <x:v>MI</x:v>
      </x:c>
      <x:c r="D90" s="142" t="str">
        <x:v>26115</x:v>
      </x:c>
      <x:c r="E90" s="133" t="n">
        <x:f>SUMIFS('City Density Ranking'!$E$6:$E$974,'City Density Ranking'!$O$6:$O$974,B90,'City Density Ranking'!$C$6:$C$974,C90)</x:f>
        <x:v>0</x:v>
      </x:c>
      <x:c r="F90" s="133" t="n">
        <x:f>SUMIFS('City Density Ranking'!$F$6:$F$974,'City Density Ranking'!$O$6:$O$974,B90,'City Density Ranking'!$C$6:$C$974,C90)</x:f>
        <x:v>0</x:v>
      </x:c>
      <x:c r="G90" s="133" t="n">
        <x:f>SUMIFS('City Density Ranking'!$G$6:$G$974,'City Density Ranking'!$O$6:$O$974,B90,'City Density Ranking'!$C$6:$C$974,C90)</x:f>
        <x:v>0</x:v>
      </x:c>
      <x:c r="H90" s="133" t="n">
        <x:f>SUMIFS('City Density Ranking'!$H$6:$H$974,'City Density Ranking'!$O$6:$O$974,B90,'City Density Ranking'!$C$6:$C$974,C90)</x:f>
        <x:v>0</x:v>
      </x:c>
      <x:c r="I90" s="133" t="n">
        <x:f>SUMIFS('City Density Ranking'!$I$6:$I$974,'City Density Ranking'!$O$6:$O$974,B90,'City Density Ranking'!$C$6:$C$974,C90)</x:f>
        <x:v>0</x:v>
      </x:c>
      <x:c r="J90" s="133" t="n">
        <x:f>SUMIFS('City Density Ranking'!$J$6:$J$974,'City Density Ranking'!$O$6:$O$974,B90,'City Density Ranking'!$C$6:$C$974,C90)</x:f>
        <x:v>4</x:v>
      </x:c>
      <x:c r="K90" s="133" t="n">
        <x:f>SUM(E90:J90)</x:f>
        <x:v>4</x:v>
      </x:c>
      <x:c r="L90" s="204" t="n">
        <x:v>549.358</x:v>
      </x:c>
      <x:c r="M90" s="205" t="n">
        <x:f>IFERROR(K90/L90,0)</x:f>
        <x:v>0.007281226449783202</x:v>
      </x:c>
      <x:c r="N90" s="160" t="str">
        <x:v>Bedford Township, Frenchtown Township, Monroe Charter Township, Monroe City</x:v>
      </x:c>
      <x:c r="O90" s="160" t="str">
        <x:v>Includes proxy city rows</x:v>
      </x:c>
      <x:c r="P90" s="160" t="str">
        <x:v>Aggregated from 4 city/municipality screening rows; overlapping catchments are not deduplicated.</x:v>
      </x:c>
      <x:c r="Q90" s="160" t="str">
        <x:v>U.S. Census Bureau 2025 Gazetteer — ALAND_SQMI</x:v>
      </x:c>
    </x:row>
    <x:row r="91">
      <x:c r="A91" s="28" t="n">
        <x:v>92</x:v>
      </x:c>
      <x:c r="B91" s="28" t="str">
        <x:v>Ulster County</x:v>
      </x:c>
      <x:c r="C91" s="28" t="str">
        <x:v>NY</x:v>
      </x:c>
      <x:c r="D91" s="142" t="str">
        <x:v>36111</x:v>
      </x:c>
      <x:c r="E91" s="133" t="n">
        <x:f>SUMIFS('City Density Ranking'!$E$6:$E$974,'City Density Ranking'!$O$6:$O$974,B91,'City Density Ranking'!$C$6:$C$974,C91)</x:f>
        <x:v>0</x:v>
      </x:c>
      <x:c r="F91" s="133" t="n">
        <x:f>SUMIFS('City Density Ranking'!$F$6:$F$974,'City Density Ranking'!$O$6:$O$974,B91,'City Density Ranking'!$C$6:$C$974,C91)</x:f>
        <x:v>0</x:v>
      </x:c>
      <x:c r="G91" s="133" t="n">
        <x:f>SUMIFS('City Density Ranking'!$G$6:$G$974,'City Density Ranking'!$O$6:$O$974,B91,'City Density Ranking'!$C$6:$C$974,C91)</x:f>
        <x:v>0</x:v>
      </x:c>
      <x:c r="H91" s="133" t="n">
        <x:f>SUMIFS('City Density Ranking'!$H$6:$H$974,'City Density Ranking'!$O$6:$O$974,B91,'City Density Ranking'!$C$6:$C$974,C91)</x:f>
        <x:v>0</x:v>
      </x:c>
      <x:c r="I91" s="133" t="n">
        <x:f>SUMIFS('City Density Ranking'!$I$6:$I$974,'City Density Ranking'!$O$6:$O$974,B91,'City Density Ranking'!$C$6:$C$974,C91)</x:f>
        <x:v>0</x:v>
      </x:c>
      <x:c r="J91" s="133" t="n">
        <x:f>SUMIFS('City Density Ranking'!$J$6:$J$974,'City Density Ranking'!$O$6:$O$974,B91,'City Density Ranking'!$C$6:$C$974,C91)</x:f>
        <x:v>8</x:v>
      </x:c>
      <x:c r="K91" s="133" t="n">
        <x:f>SUM(E91:J91)</x:f>
        <x:v>8</x:v>
      </x:c>
      <x:c r="L91" s="204" t="n">
        <x:v>1124.24</x:v>
      </x:c>
      <x:c r="M91" s="205" t="n">
        <x:f>IFERROR(K91/L91,0)</x:f>
        <x:v>0.00711591830925781</x:v>
      </x:c>
      <x:c r="N91" s="160" t="str">
        <x:v>Kingston city, Lloyd town, New Paltz town, Plattekill town, Saugerties town, Shawangunk town, Ulster town, Wawarsing town</x:v>
      </x:c>
      <x:c r="O91" s="160" t="str">
        <x:v>Includes proxy city rows</x:v>
      </x:c>
      <x:c r="P91" s="160" t="str">
        <x:v>Aggregated from 8 city/municipality screening rows; overlapping catchments are not deduplicated.</x:v>
      </x:c>
      <x:c r="Q91" s="160" t="str">
        <x:v>U.S. Census Bureau QuickFacts — 2020 land area</x:v>
      </x:c>
    </x:row>
    <x:row r="92">
      <x:c r="A92" s="22" t="n">
        <x:v>93</x:v>
      </x:c>
      <x:c r="B92" s="22" t="str">
        <x:v>York County</x:v>
      </x:c>
      <x:c r="C92" s="22" t="str">
        <x:v>ME</x:v>
      </x:c>
      <x:c r="D92" s="143" t="str">
        <x:v>23031</x:v>
      </x:c>
      <x:c r="E92" s="133" t="n">
        <x:f>SUMIFS('City Density Ranking'!$E$6:$E$974,'City Density Ranking'!$O$6:$O$974,B92,'City Density Ranking'!$C$6:$C$974,C92)</x:f>
        <x:v>0</x:v>
      </x:c>
      <x:c r="F92" s="133" t="n">
        <x:f>SUMIFS('City Density Ranking'!$F$6:$F$974,'City Density Ranking'!$O$6:$O$974,B92,'City Density Ranking'!$C$6:$C$974,C92)</x:f>
        <x:v>0</x:v>
      </x:c>
      <x:c r="G92" s="133" t="n">
        <x:f>SUMIFS('City Density Ranking'!$G$6:$G$974,'City Density Ranking'!$O$6:$O$974,B92,'City Density Ranking'!$C$6:$C$974,C92)</x:f>
        <x:v>0</x:v>
      </x:c>
      <x:c r="H92" s="133" t="n">
        <x:f>SUMIFS('City Density Ranking'!$H$6:$H$974,'City Density Ranking'!$O$6:$O$974,B92,'City Density Ranking'!$C$6:$C$974,C92)</x:f>
        <x:v>0</x:v>
      </x:c>
      <x:c r="I92" s="133" t="n">
        <x:f>SUMIFS('City Density Ranking'!$I$6:$I$974,'City Density Ranking'!$O$6:$O$974,B92,'City Density Ranking'!$C$6:$C$974,C92)</x:f>
        <x:v>0</x:v>
      </x:c>
      <x:c r="J92" s="133" t="n">
        <x:f>SUMIFS('City Density Ranking'!$J$6:$J$974,'City Density Ranking'!$O$6:$O$974,B92,'City Density Ranking'!$C$6:$C$974,C92)</x:f>
        <x:v>7</x:v>
      </x:c>
      <x:c r="K92" s="133" t="n">
        <x:f>SUM(E92:J92)</x:f>
        <x:v>7</x:v>
      </x:c>
      <x:c r="L92" s="204" t="n">
        <x:v>991.19</x:v>
      </x:c>
      <x:c r="M92" s="205" t="n">
        <x:f>IFERROR(K92/L92,0)</x:f>
        <x:v>0.007062218141829518</x:v>
      </x:c>
      <x:c r="N92" s="160" t="str">
        <x:v>Biddeford city, Kennebunk town, Kittery town, Saco city, Sanford city, Wells town, York town</x:v>
      </x:c>
      <x:c r="O92" s="160" t="str">
        <x:v>Includes proxy city rows</x:v>
      </x:c>
      <x:c r="P92" s="160" t="str">
        <x:v>Aggregated from 7 city/municipality screening rows; overlapping catchments are not deduplicated.</x:v>
      </x:c>
      <x:c r="Q92" s="160" t="str">
        <x:v>U.S. Census Bureau QuickFacts — 2020 land area</x:v>
      </x:c>
    </x:row>
    <x:row r="93">
      <x:c r="A93" s="28" t="n">
        <x:v>95</x:v>
      </x:c>
      <x:c r="B93" s="28" t="str">
        <x:v>Hunterdon County</x:v>
      </x:c>
      <x:c r="C93" s="28" t="str">
        <x:v>NJ</x:v>
      </x:c>
      <x:c r="D93" s="142" t="str">
        <x:v>34019</x:v>
      </x:c>
      <x:c r="E93" s="133" t="n">
        <x:f>SUMIFS('City Density Ranking'!$E$6:$E$974,'City Density Ranking'!$O$6:$O$974,B93,'City Density Ranking'!$C$6:$C$974,C93)</x:f>
        <x:v>0</x:v>
      </x:c>
      <x:c r="F93" s="133" t="n">
        <x:f>SUMIFS('City Density Ranking'!$F$6:$F$974,'City Density Ranking'!$O$6:$O$974,B93,'City Density Ranking'!$C$6:$C$974,C93)</x:f>
        <x:v>0</x:v>
      </x:c>
      <x:c r="G93" s="133" t="n">
        <x:f>SUMIFS('City Density Ranking'!$G$6:$G$974,'City Density Ranking'!$O$6:$O$974,B93,'City Density Ranking'!$C$6:$C$974,C93)</x:f>
        <x:v>0</x:v>
      </x:c>
      <x:c r="H93" s="133" t="n">
        <x:f>SUMIFS('City Density Ranking'!$H$6:$H$974,'City Density Ranking'!$O$6:$O$974,B93,'City Density Ranking'!$C$6:$C$974,C93)</x:f>
        <x:v>0</x:v>
      </x:c>
      <x:c r="I93" s="133" t="n">
        <x:f>SUMIFS('City Density Ranking'!$I$6:$I$974,'City Density Ranking'!$O$6:$O$974,B93,'City Density Ranking'!$C$6:$C$974,C93)</x:f>
        <x:v>0</x:v>
      </x:c>
      <x:c r="J93" s="133" t="n">
        <x:f>SUMIFS('City Density Ranking'!$J$6:$J$974,'City Density Ranking'!$O$6:$O$974,B93,'City Density Ranking'!$C$6:$C$974,C93)</x:f>
        <x:v>3</x:v>
      </x:c>
      <x:c r="K93" s="133" t="n">
        <x:f>SUM(E93:J93)</x:f>
        <x:v>3</x:v>
      </x:c>
      <x:c r="L93" s="204" t="n">
        <x:v>427.835</x:v>
      </x:c>
      <x:c r="M93" s="205" t="n">
        <x:f>IFERROR(K93/L93,0)</x:f>
        <x:v>0.00701204903759627</x:v>
      </x:c>
      <x:c r="N93" s="160" t="str">
        <x:v>Clinton Township, Raritan Township, Readington Township</x:v>
      </x:c>
      <x:c r="O93" s="160" t="str">
        <x:v>Includes proxy city rows</x:v>
      </x:c>
      <x:c r="P93" s="160" t="str">
        <x:v>Aggregated from 3 city/municipality screening rows; overlapping catchments are not deduplicated.</x:v>
      </x:c>
      <x:c r="Q93" s="160" t="str">
        <x:v>U.S. Census Bureau 2025 Gazetteer — ALAND_SQMI</x:v>
      </x:c>
    </x:row>
    <x:row r="94">
      <x:c r="A94" s="28" t="n">
        <x:v>96</x:v>
      </x:c>
      <x:c r="B94" s="28" t="str">
        <x:v>Harford County</x:v>
      </x:c>
      <x:c r="C94" s="28" t="str">
        <x:v>MD</x:v>
      </x:c>
      <x:c r="D94" s="142" t="str">
        <x:v>24025</x:v>
      </x:c>
      <x:c r="E94" s="133" t="n">
        <x:f>SUMIFS('City Density Ranking'!$E$6:$E$974,'City Density Ranking'!$O$6:$O$974,B94,'City Density Ranking'!$C$6:$C$974,C94)</x:f>
        <x:v>0</x:v>
      </x:c>
      <x:c r="F94" s="133" t="n">
        <x:f>SUMIFS('City Density Ranking'!$F$6:$F$974,'City Density Ranking'!$O$6:$O$974,B94,'City Density Ranking'!$C$6:$C$974,C94)</x:f>
        <x:v>0</x:v>
      </x:c>
      <x:c r="G94" s="133" t="n">
        <x:f>SUMIFS('City Density Ranking'!$G$6:$G$974,'City Density Ranking'!$O$6:$O$974,B94,'City Density Ranking'!$C$6:$C$974,C94)</x:f>
        <x:v>0</x:v>
      </x:c>
      <x:c r="H94" s="133" t="n">
        <x:f>SUMIFS('City Density Ranking'!$H$6:$H$974,'City Density Ranking'!$O$6:$O$974,B94,'City Density Ranking'!$C$6:$C$974,C94)</x:f>
        <x:v>0</x:v>
      </x:c>
      <x:c r="I94" s="133" t="n">
        <x:f>SUMIFS('City Density Ranking'!$I$6:$I$974,'City Density Ranking'!$O$6:$O$974,B94,'City Density Ranking'!$C$6:$C$974,C94)</x:f>
        <x:v>0</x:v>
      </x:c>
      <x:c r="J94" s="133" t="n">
        <x:f>SUMIFS('City Density Ranking'!$J$6:$J$974,'City Density Ranking'!$O$6:$O$974,B94,'City Density Ranking'!$C$6:$C$974,C94)</x:f>
        <x:v>3</x:v>
      </x:c>
      <x:c r="K94" s="133" t="n">
        <x:f>SUM(E94:J94)</x:f>
        <x:v>3</x:v>
      </x:c>
      <x:c r="L94" s="204" t="n">
        <x:v>437.13</x:v>
      </x:c>
      <x:c r="M94" s="205" t="n">
        <x:f>IFERROR(K94/L94,0)</x:f>
        <x:v>0.006862946949420081</x:v>
      </x:c>
      <x:c r="N94" s="160" t="str">
        <x:v>Aberdeen City, Bel Air Town, Havre de Grace City</x:v>
      </x:c>
      <x:c r="O94" s="160" t="str">
        <x:v>Includes proxy city rows</x:v>
      </x:c>
      <x:c r="P94" s="160" t="str">
        <x:v>Aggregated from 3 city/municipality screening rows; overlapping catchments are not deduplicated.</x:v>
      </x:c>
      <x:c r="Q94" s="160" t="str">
        <x:v>U.S. Census Bureau QuickFacts — 2020 land area</x:v>
      </x:c>
    </x:row>
    <x:row r="95">
      <x:c r="A95" s="28" t="n">
        <x:v>97</x:v>
      </x:c>
      <x:c r="B95" s="28" t="str">
        <x:v>Bay County</x:v>
      </x:c>
      <x:c r="C95" s="28" t="str">
        <x:v>MI</x:v>
      </x:c>
      <x:c r="D95" s="142" t="str">
        <x:v>26017</x:v>
      </x:c>
      <x:c r="E95" s="133" t="n">
        <x:f>SUMIFS('City Density Ranking'!$E$6:$E$974,'City Density Ranking'!$O$6:$O$974,B95,'City Density Ranking'!$C$6:$C$974,C95)</x:f>
        <x:v>0</x:v>
      </x:c>
      <x:c r="F95" s="133" t="n">
        <x:f>SUMIFS('City Density Ranking'!$F$6:$F$974,'City Density Ranking'!$O$6:$O$974,B95,'City Density Ranking'!$C$6:$C$974,C95)</x:f>
        <x:v>0</x:v>
      </x:c>
      <x:c r="G95" s="133" t="n">
        <x:f>SUMIFS('City Density Ranking'!$G$6:$G$974,'City Density Ranking'!$O$6:$O$974,B95,'City Density Ranking'!$C$6:$C$974,C95)</x:f>
        <x:v>0</x:v>
      </x:c>
      <x:c r="H95" s="133" t="n">
        <x:f>SUMIFS('City Density Ranking'!$H$6:$H$974,'City Density Ranking'!$O$6:$O$974,B95,'City Density Ranking'!$C$6:$C$974,C95)</x:f>
        <x:v>0</x:v>
      </x:c>
      <x:c r="I95" s="133" t="n">
        <x:f>SUMIFS('City Density Ranking'!$I$6:$I$974,'City Density Ranking'!$O$6:$O$974,B95,'City Density Ranking'!$C$6:$C$974,C95)</x:f>
        <x:v>0</x:v>
      </x:c>
      <x:c r="J95" s="133" t="n">
        <x:f>SUMIFS('City Density Ranking'!$J$6:$J$974,'City Density Ranking'!$O$6:$O$974,B95,'City Density Ranking'!$C$6:$C$974,C95)</x:f>
        <x:v>3</x:v>
      </x:c>
      <x:c r="K95" s="133" t="n">
        <x:f>SUM(E95:J95)</x:f>
        <x:v>3</x:v>
      </x:c>
      <x:c r="L95" s="204" t="n">
        <x:v>442.41</x:v>
      </x:c>
      <x:c r="M95" s="205" t="n">
        <x:f>IFERROR(K95/L95,0)</x:f>
        <x:v>0.006781040211568454</x:v>
      </x:c>
      <x:c r="N95" s="160" t="str">
        <x:v>Bangor Charter Township, Bay City City, Monitor Charter Township</x:v>
      </x:c>
      <x:c r="O95" s="160" t="str">
        <x:v>Includes proxy city rows</x:v>
      </x:c>
      <x:c r="P95" s="160" t="str">
        <x:v>Aggregated from 3 city/municipality screening rows; overlapping catchments are not deduplicated.</x:v>
      </x:c>
      <x:c r="Q95" s="160" t="str">
        <x:v>U.S. Census Bureau 2025 Gazetteer — ALAND_SQMI</x:v>
      </x:c>
    </x:row>
    <x:row r="96">
      <x:c r="A96" s="28" t="n">
        <x:v>98</x:v>
      </x:c>
      <x:c r="B96" s="28" t="str">
        <x:v>Ramsey County</x:v>
      </x:c>
      <x:c r="C96" s="28" t="str">
        <x:v>MN</x:v>
      </x:c>
      <x:c r="D96" s="142" t="str">
        <x:v>27123</x:v>
      </x:c>
      <x:c r="E96" s="133" t="n">
        <x:f>SUMIFS('City Density Ranking'!$E$6:$E$974,'City Density Ranking'!$O$6:$O$974,B96,'City Density Ranking'!$C$6:$C$974,C96)</x:f>
        <x:v>0</x:v>
      </x:c>
      <x:c r="F96" s="133" t="n">
        <x:f>SUMIFS('City Density Ranking'!$F$6:$F$974,'City Density Ranking'!$O$6:$O$974,B96,'City Density Ranking'!$C$6:$C$974,C96)</x:f>
        <x:v>0</x:v>
      </x:c>
      <x:c r="G96" s="133" t="n">
        <x:f>SUMIFS('City Density Ranking'!$G$6:$G$974,'City Density Ranking'!$O$6:$O$974,B96,'City Density Ranking'!$C$6:$C$974,C96)</x:f>
        <x:v>0</x:v>
      </x:c>
      <x:c r="H96" s="133" t="n">
        <x:f>SUMIFS('City Density Ranking'!$H$6:$H$974,'City Density Ranking'!$O$6:$O$974,B96,'City Density Ranking'!$C$6:$C$974,C96)</x:f>
        <x:v>0</x:v>
      </x:c>
      <x:c r="I96" s="133" t="n">
        <x:f>SUMIFS('City Density Ranking'!$I$6:$I$974,'City Density Ranking'!$O$6:$O$974,B96,'City Density Ranking'!$C$6:$C$974,C96)</x:f>
        <x:v>0</x:v>
      </x:c>
      <x:c r="J96" s="133" t="n">
        <x:f>SUMIFS('City Density Ranking'!$J$6:$J$974,'City Density Ranking'!$O$6:$O$974,B96,'City Density Ranking'!$C$6:$C$974,C96)</x:f>
        <x:v>1</x:v>
      </x:c>
      <x:c r="K96" s="133" t="n">
        <x:f>SUM(E96:J96)</x:f>
        <x:v>1</x:v>
      </x:c>
      <x:c r="L96" s="204" t="n">
        <x:v>152.249</x:v>
      </x:c>
      <x:c r="M96" s="205" t="n">
        <x:f>IFERROR(K96/L96,0)</x:f>
        <x:v>0.006568187639984499</x:v>
      </x:c>
      <x:c r="N96" s="160" t="str">
        <x:v>St. Paul</x:v>
      </x:c>
      <x:c r="O96" s="160" t="str">
        <x:v>Includes proxy city rows</x:v>
      </x:c>
      <x:c r="P96" s="160" t="str">
        <x:v>Aggregated from 1 city/municipality screening rows; overlapping catchments are not deduplicated.</x:v>
      </x:c>
      <x:c r="Q96" s="160" t="str">
        <x:v>Verified Census land area (retained)</x:v>
      </x:c>
    </x:row>
    <x:row r="97">
      <x:c r="A97" s="28" t="n">
        <x:v>99</x:v>
      </x:c>
      <x:c r="B97" s="28" t="str">
        <x:v>Denver County</x:v>
      </x:c>
      <x:c r="C97" s="28" t="str">
        <x:v>CO</x:v>
      </x:c>
      <x:c r="D97" s="142" t="str">
        <x:v>08031</x:v>
      </x:c>
      <x:c r="E97" s="133" t="n">
        <x:f>SUMIFS('City Density Ranking'!$E$6:$E$974,'City Density Ranking'!$O$6:$O$974,B97,'City Density Ranking'!$C$6:$C$974,C97)</x:f>
        <x:v>0</x:v>
      </x:c>
      <x:c r="F97" s="133" t="n">
        <x:f>SUMIFS('City Density Ranking'!$F$6:$F$974,'City Density Ranking'!$O$6:$O$974,B97,'City Density Ranking'!$C$6:$C$974,C97)</x:f>
        <x:v>0</x:v>
      </x:c>
      <x:c r="G97" s="133" t="n">
        <x:f>SUMIFS('City Density Ranking'!$G$6:$G$974,'City Density Ranking'!$O$6:$O$974,B97,'City Density Ranking'!$C$6:$C$974,C97)</x:f>
        <x:v>0</x:v>
      </x:c>
      <x:c r="H97" s="133" t="n">
        <x:f>SUMIFS('City Density Ranking'!$H$6:$H$974,'City Density Ranking'!$O$6:$O$974,B97,'City Density Ranking'!$C$6:$C$974,C97)</x:f>
        <x:v>0</x:v>
      </x:c>
      <x:c r="I97" s="133" t="n">
        <x:f>SUMIFS('City Density Ranking'!$I$6:$I$974,'City Density Ranking'!$O$6:$O$974,B97,'City Density Ranking'!$C$6:$C$974,C97)</x:f>
        <x:v>0</x:v>
      </x:c>
      <x:c r="J97" s="133" t="n">
        <x:f>SUMIFS('City Density Ranking'!$J$6:$J$974,'City Density Ranking'!$O$6:$O$974,B97,'City Density Ranking'!$C$6:$C$974,C97)</x:f>
        <x:v>1</x:v>
      </x:c>
      <x:c r="K97" s="133" t="n">
        <x:f>SUM(E97:J97)</x:f>
        <x:v>1</x:v>
      </x:c>
      <x:c r="L97" s="204" t="n">
        <x:v>153.075</x:v>
      </x:c>
      <x:c r="M97" s="205" t="n">
        <x:f>IFERROR(K97/L97,0)</x:f>
        <x:v>0.006532745386248572</x:v>
      </x:c>
      <x:c r="N97" s="160" t="str">
        <x:v>Denver</x:v>
      </x:c>
      <x:c r="O97" s="160" t="str">
        <x:v>Includes proxy city rows</x:v>
      </x:c>
      <x:c r="P97" s="160" t="str">
        <x:v>Aggregated from 1 city/municipality screening rows; overlapping catchments are not deduplicated.</x:v>
      </x:c>
      <x:c r="Q97" s="160" t="str">
        <x:v>Verified Census land area (retained)</x:v>
      </x:c>
    </x:row>
    <x:row r="98">
      <x:c r="A98" s="28" t="n">
        <x:v>100</x:v>
      </x:c>
      <x:c r="B98" s="28" t="str">
        <x:v>Wyandotte County</x:v>
      </x:c>
      <x:c r="C98" s="28" t="str">
        <x:v>KS</x:v>
      </x:c>
      <x:c r="D98" s="142" t="str">
        <x:v>20209</x:v>
      </x:c>
      <x:c r="E98" s="133" t="n">
        <x:f>SUMIFS('City Density Ranking'!$E$6:$E$974,'City Density Ranking'!$O$6:$O$974,B98,'City Density Ranking'!$C$6:$C$974,C98)</x:f>
        <x:v>0</x:v>
      </x:c>
      <x:c r="F98" s="133" t="n">
        <x:f>SUMIFS('City Density Ranking'!$F$6:$F$974,'City Density Ranking'!$O$6:$O$974,B98,'City Density Ranking'!$C$6:$C$974,C98)</x:f>
        <x:v>0</x:v>
      </x:c>
      <x:c r="G98" s="133" t="n">
        <x:f>SUMIFS('City Density Ranking'!$G$6:$G$974,'City Density Ranking'!$O$6:$O$974,B98,'City Density Ranking'!$C$6:$C$974,C98)</x:f>
        <x:v>0</x:v>
      </x:c>
      <x:c r="H98" s="133" t="n">
        <x:f>SUMIFS('City Density Ranking'!$H$6:$H$974,'City Density Ranking'!$O$6:$O$974,B98,'City Density Ranking'!$C$6:$C$974,C98)</x:f>
        <x:v>0</x:v>
      </x:c>
      <x:c r="I98" s="133" t="n">
        <x:f>SUMIFS('City Density Ranking'!$I$6:$I$974,'City Density Ranking'!$O$6:$O$974,B98,'City Density Ranking'!$C$6:$C$974,C98)</x:f>
        <x:v>0</x:v>
      </x:c>
      <x:c r="J98" s="133" t="n">
        <x:f>SUMIFS('City Density Ranking'!$J$6:$J$974,'City Density Ranking'!$O$6:$O$974,B98,'City Density Ranking'!$C$6:$C$974,C98)</x:f>
        <x:v>1</x:v>
      </x:c>
      <x:c r="K98" s="133" t="n">
        <x:f>SUM(E98:J98)</x:f>
        <x:v>1</x:v>
      </x:c>
      <x:c r="L98" s="204" t="n">
        <x:v>154.0004620710694</x:v>
      </x:c>
      <x:c r="M98" s="205" t="n">
        <x:f>IFERROR(K98/L98,0)</x:f>
        <x:v>0.0064934870100487865</x:v>
      </x:c>
      <x:c r="N98" s="160" t="str">
        <x:v>Kansas City</x:v>
      </x:c>
      <x:c r="O98" s="160" t="str">
        <x:v>Includes proxy city rows</x:v>
      </x:c>
      <x:c r="P98" s="160" t="str">
        <x:v>Aggregated from 1 city/municipality screening rows; overlapping catchments are not deduplicated.</x:v>
      </x:c>
      <x:c r="Q98" s="160" t="str">
        <x:v>Estimated county land area: geodesic polygon × 0.988 land/total calibration</x:v>
      </x:c>
    </x:row>
    <x:row r="99">
      <x:c r="A99" s="28" t="n">
        <x:v>101</x:v>
      </x:c>
      <x:c r="B99" s="28" t="str">
        <x:v>Wood County</x:v>
      </x:c>
      <x:c r="C99" s="28" t="str">
        <x:v>OH</x:v>
      </x:c>
      <x:c r="D99" s="142" t="str">
        <x:v>39173</x:v>
      </x:c>
      <x:c r="E99" s="133" t="n">
        <x:f>SUMIFS('City Density Ranking'!$E$6:$E$974,'City Density Ranking'!$O$6:$O$974,B99,'City Density Ranking'!$C$6:$C$974,C99)</x:f>
        <x:v>0</x:v>
      </x:c>
      <x:c r="F99" s="133" t="n">
        <x:f>SUMIFS('City Density Ranking'!$F$6:$F$974,'City Density Ranking'!$O$6:$O$974,B99,'City Density Ranking'!$C$6:$C$974,C99)</x:f>
        <x:v>0</x:v>
      </x:c>
      <x:c r="G99" s="133" t="n">
        <x:f>SUMIFS('City Density Ranking'!$G$6:$G$974,'City Density Ranking'!$O$6:$O$974,B99,'City Density Ranking'!$C$6:$C$974,C99)</x:f>
        <x:v>0</x:v>
      </x:c>
      <x:c r="H99" s="133" t="n">
        <x:f>SUMIFS('City Density Ranking'!$H$6:$H$974,'City Density Ranking'!$O$6:$O$974,B99,'City Density Ranking'!$C$6:$C$974,C99)</x:f>
        <x:v>0</x:v>
      </x:c>
      <x:c r="I99" s="133" t="n">
        <x:f>SUMIFS('City Density Ranking'!$I$6:$I$974,'City Density Ranking'!$O$6:$O$974,B99,'City Density Ranking'!$C$6:$C$974,C99)</x:f>
        <x:v>0</x:v>
      </x:c>
      <x:c r="J99" s="133" t="n">
        <x:f>SUMIFS('City Density Ranking'!$J$6:$J$974,'City Density Ranking'!$O$6:$O$974,B99,'City Density Ranking'!$C$6:$C$974,C99)</x:f>
        <x:v>4</x:v>
      </x:c>
      <x:c r="K99" s="133" t="n">
        <x:f>SUM(E99:J99)</x:f>
        <x:v>4</x:v>
      </x:c>
      <x:c r="L99" s="204" t="n">
        <x:v>617.167</x:v>
      </x:c>
      <x:c r="M99" s="205" t="n">
        <x:f>IFERROR(K99/L99,0)</x:f>
        <x:v>0.00648122793344427</x:v>
      </x:c>
      <x:c r="N99" s="160" t="str">
        <x:v>Bowling Green City, Lake Township, Perrysburg City, Perrysburg Township</x:v>
      </x:c>
      <x:c r="O99" s="160" t="str">
        <x:v>Includes proxy city rows</x:v>
      </x:c>
      <x:c r="P99" s="160" t="str">
        <x:v>Aggregated from 4 city/municipality screening rows; overlapping catchments are not deduplicated.</x:v>
      </x:c>
      <x:c r="Q99" s="160" t="str">
        <x:v>U.S. Census Bureau 2025 Gazetteer — ALAND_SQMI</x:v>
      </x:c>
    </x:row>
    <x:row r="100">
      <x:c r="A100" s="28" t="n">
        <x:v>102</x:v>
      </x:c>
      <x:c r="B100" s="28" t="str">
        <x:v>Trumbull County</x:v>
      </x:c>
      <x:c r="C100" s="28" t="str">
        <x:v>OH</x:v>
      </x:c>
      <x:c r="D100" s="142" t="str">
        <x:v>39155</x:v>
      </x:c>
      <x:c r="E100" s="133" t="n">
        <x:f>SUMIFS('City Density Ranking'!$E$6:$E$974,'City Density Ranking'!$O$6:$O$974,B100,'City Density Ranking'!$C$6:$C$974,C100)</x:f>
        <x:v>0</x:v>
      </x:c>
      <x:c r="F100" s="133" t="n">
        <x:f>SUMIFS('City Density Ranking'!$F$6:$F$974,'City Density Ranking'!$O$6:$O$974,B100,'City Density Ranking'!$C$6:$C$974,C100)</x:f>
        <x:v>0</x:v>
      </x:c>
      <x:c r="G100" s="133" t="n">
        <x:f>SUMIFS('City Density Ranking'!$G$6:$G$974,'City Density Ranking'!$O$6:$O$974,B100,'City Density Ranking'!$C$6:$C$974,C100)</x:f>
        <x:v>0</x:v>
      </x:c>
      <x:c r="H100" s="133" t="n">
        <x:f>SUMIFS('City Density Ranking'!$H$6:$H$974,'City Density Ranking'!$O$6:$O$974,B100,'City Density Ranking'!$C$6:$C$974,C100)</x:f>
        <x:v>0</x:v>
      </x:c>
      <x:c r="I100" s="133" t="n">
        <x:f>SUMIFS('City Density Ranking'!$I$6:$I$974,'City Density Ranking'!$O$6:$O$974,B100,'City Density Ranking'!$C$6:$C$974,C100)</x:f>
        <x:v>0</x:v>
      </x:c>
      <x:c r="J100" s="133" t="n">
        <x:f>SUMIFS('City Density Ranking'!$J$6:$J$974,'City Density Ranking'!$O$6:$O$974,B100,'City Density Ranking'!$C$6:$C$974,C100)</x:f>
        <x:v>4</x:v>
      </x:c>
      <x:c r="K100" s="133" t="n">
        <x:f>SUM(E100:J100)</x:f>
        <x:v>4</x:v>
      </x:c>
      <x:c r="L100" s="204" t="n">
        <x:v>617.592</x:v>
      </x:c>
      <x:c r="M100" s="205" t="n">
        <x:f>IFERROR(K100/L100,0)</x:f>
        <x:v>0.00647676783378023</x:v>
      </x:c>
      <x:c r="N100" s="160" t="str">
        <x:v>Howland Township, Niles City, Warren City, Weathersfield Township</x:v>
      </x:c>
      <x:c r="O100" s="160" t="str">
        <x:v>Includes proxy city rows</x:v>
      </x:c>
      <x:c r="P100" s="160" t="str">
        <x:v>Aggregated from 4 city/municipality screening rows; overlapping catchments are not deduplicated.</x:v>
      </x:c>
      <x:c r="Q100" s="160" t="str">
        <x:v>U.S. Census Bureau TIGER/ACS25 — ALAND_SQMI</x:v>
      </x:c>
    </x:row>
    <x:row r="101">
      <x:c r="A101" s="28" t="n">
        <x:v>103</x:v>
      </x:c>
      <x:c r="B101" s="28" t="str">
        <x:v>Kent County</x:v>
      </x:c>
      <x:c r="C101" s="28" t="str">
        <x:v>RI</x:v>
      </x:c>
      <x:c r="D101" s="142" t="str">
        <x:v>44003</x:v>
      </x:c>
      <x:c r="E101" s="133" t="n">
        <x:f>SUMIFS('City Density Ranking'!$E$6:$E$974,'City Density Ranking'!$O$6:$O$974,B101,'City Density Ranking'!$C$6:$C$974,C101)</x:f>
        <x:v>0</x:v>
      </x:c>
      <x:c r="F101" s="133" t="n">
        <x:f>SUMIFS('City Density Ranking'!$F$6:$F$974,'City Density Ranking'!$O$6:$O$974,B101,'City Density Ranking'!$C$6:$C$974,C101)</x:f>
        <x:v>0</x:v>
      </x:c>
      <x:c r="G101" s="133" t="n">
        <x:f>SUMIFS('City Density Ranking'!$G$6:$G$974,'City Density Ranking'!$O$6:$O$974,B101,'City Density Ranking'!$C$6:$C$974,C101)</x:f>
        <x:v>0</x:v>
      </x:c>
      <x:c r="H101" s="133" t="n">
        <x:f>SUMIFS('City Density Ranking'!$H$6:$H$974,'City Density Ranking'!$O$6:$O$974,B101,'City Density Ranking'!$C$6:$C$974,C101)</x:f>
        <x:v>0</x:v>
      </x:c>
      <x:c r="I101" s="133" t="n">
        <x:f>SUMIFS('City Density Ranking'!$I$6:$I$974,'City Density Ranking'!$O$6:$O$974,B101,'City Density Ranking'!$C$6:$C$974,C101)</x:f>
        <x:v>0</x:v>
      </x:c>
      <x:c r="J101" s="133" t="n">
        <x:f>SUMIFS('City Density Ranking'!$J$6:$J$974,'City Density Ranking'!$O$6:$O$974,B101,'City Density Ranking'!$C$6:$C$974,C101)</x:f>
        <x:v>1</x:v>
      </x:c>
      <x:c r="K101" s="133" t="n">
        <x:f>SUM(E101:J101)</x:f>
        <x:v>1</x:v>
      </x:c>
      <x:c r="L101" s="204" t="n">
        <x:v>168.57</x:v>
      </x:c>
      <x:c r="M101" s="205" t="n">
        <x:f>IFERROR(K101/L101,0)</x:f>
        <x:v>0.005932253663166637</x:v>
      </x:c>
      <x:c r="N101" s="160" t="str">
        <x:v>Warwick</x:v>
      </x:c>
      <x:c r="O101" s="160" t="str">
        <x:v>Includes proxy city rows</x:v>
      </x:c>
      <x:c r="P101" s="160" t="str">
        <x:v>Aggregated from 1 city/municipality screening rows; overlapping catchments are not deduplicated.</x:v>
      </x:c>
      <x:c r="Q101" s="160" t="str">
        <x:v>Verified Census QuickFacts land area (2020 geography)</x:v>
      </x:c>
    </x:row>
    <x:row r="102">
      <x:c r="A102" s="28" t="n">
        <x:v>104</x:v>
      </x:c>
      <x:c r="B102" s="28" t="str">
        <x:v>Passaic County</x:v>
      </x:c>
      <x:c r="C102" s="28" t="str">
        <x:v>NJ</x:v>
      </x:c>
      <x:c r="D102" s="142" t="str">
        <x:v>34031</x:v>
      </x:c>
      <x:c r="E102" s="133" t="n">
        <x:f>SUMIFS('City Density Ranking'!$E$6:$E$974,'City Density Ranking'!$O$6:$O$974,B102,'City Density Ranking'!$C$6:$C$974,C102)</x:f>
        <x:v>0</x:v>
      </x:c>
      <x:c r="F102" s="133" t="n">
        <x:f>SUMIFS('City Density Ranking'!$F$6:$F$974,'City Density Ranking'!$O$6:$O$974,B102,'City Density Ranking'!$C$6:$C$974,C102)</x:f>
        <x:v>0</x:v>
      </x:c>
      <x:c r="G102" s="133" t="n">
        <x:f>SUMIFS('City Density Ranking'!$G$6:$G$974,'City Density Ranking'!$O$6:$O$974,B102,'City Density Ranking'!$C$6:$C$974,C102)</x:f>
        <x:v>0</x:v>
      </x:c>
      <x:c r="H102" s="133" t="n">
        <x:f>SUMIFS('City Density Ranking'!$H$6:$H$974,'City Density Ranking'!$O$6:$O$974,B102,'City Density Ranking'!$C$6:$C$974,C102)</x:f>
        <x:v>0</x:v>
      </x:c>
      <x:c r="I102" s="133" t="n">
        <x:f>SUMIFS('City Density Ranking'!$I$6:$I$974,'City Density Ranking'!$O$6:$O$974,B102,'City Density Ranking'!$C$6:$C$974,C102)</x:f>
        <x:v>0</x:v>
      </x:c>
      <x:c r="J102" s="133" t="n">
        <x:f>SUMIFS('City Density Ranking'!$J$6:$J$974,'City Density Ranking'!$O$6:$O$974,B102,'City Density Ranking'!$C$6:$C$974,C102)</x:f>
        <x:v>1</x:v>
      </x:c>
      <x:c r="K102" s="133" t="n">
        <x:f>SUM(E102:J102)</x:f>
        <x:v>1</x:v>
      </x:c>
      <x:c r="L102" s="204" t="n">
        <x:v>174.480718854763</x:v>
      </x:c>
      <x:c r="M102" s="205" t="n">
        <x:f>IFERROR(K102/L102,0)</x:f>
        <x:v>0.00573129229730189</x:v>
      </x:c>
      <x:c r="N102" s="160" t="str">
        <x:v>Paterson</x:v>
      </x:c>
      <x:c r="O102" s="160" t="str">
        <x:v>Includes proxy city rows</x:v>
      </x:c>
      <x:c r="P102" s="160" t="str">
        <x:v>Aggregated from 1 city/municipality screening rows; overlapping catchments are not deduplicated.</x:v>
      </x:c>
      <x:c r="Q102" s="160" t="str">
        <x:v>Estimated county land area: geodesic polygon × 0.885 land/total calibration</x:v>
      </x:c>
    </x:row>
    <x:row r="103">
      <x:c r="A103" s="28" t="n">
        <x:v>105</x:v>
      </x:c>
      <x:c r="B103" s="28" t="str">
        <x:v>Jackson County</x:v>
      </x:c>
      <x:c r="C103" s="28" t="str">
        <x:v>MI</x:v>
      </x:c>
      <x:c r="D103" s="142" t="str">
        <x:v>26075</x:v>
      </x:c>
      <x:c r="E103" s="133" t="n">
        <x:f>SUMIFS('City Density Ranking'!$E$6:$E$974,'City Density Ranking'!$O$6:$O$974,B103,'City Density Ranking'!$C$6:$C$974,C103)</x:f>
        <x:v>0</x:v>
      </x:c>
      <x:c r="F103" s="133" t="n">
        <x:f>SUMIFS('City Density Ranking'!$F$6:$F$974,'City Density Ranking'!$O$6:$O$974,B103,'City Density Ranking'!$C$6:$C$974,C103)</x:f>
        <x:v>0</x:v>
      </x:c>
      <x:c r="G103" s="133" t="n">
        <x:f>SUMIFS('City Density Ranking'!$G$6:$G$974,'City Density Ranking'!$O$6:$O$974,B103,'City Density Ranking'!$C$6:$C$974,C103)</x:f>
        <x:v>0</x:v>
      </x:c>
      <x:c r="H103" s="133" t="n">
        <x:f>SUMIFS('City Density Ranking'!$H$6:$H$974,'City Density Ranking'!$O$6:$O$974,B103,'City Density Ranking'!$C$6:$C$974,C103)</x:f>
        <x:v>0</x:v>
      </x:c>
      <x:c r="I103" s="133" t="n">
        <x:f>SUMIFS('City Density Ranking'!$I$6:$I$974,'City Density Ranking'!$O$6:$O$974,B103,'City Density Ranking'!$C$6:$C$974,C103)</x:f>
        <x:v>0</x:v>
      </x:c>
      <x:c r="J103" s="133" t="n">
        <x:f>SUMIFS('City Density Ranking'!$J$6:$J$974,'City Density Ranking'!$O$6:$O$974,B103,'City Density Ranking'!$C$6:$C$974,C103)</x:f>
        <x:v>4</x:v>
      </x:c>
      <x:c r="K103" s="133" t="n">
        <x:f>SUM(E103:J103)</x:f>
        <x:v>4</x:v>
      </x:c>
      <x:c r="L103" s="204" t="n">
        <x:v>701.905</x:v>
      </x:c>
      <x:c r="M103" s="205" t="n">
        <x:f>IFERROR(K103/L103,0)</x:f>
        <x:v>0.005698776900007836</x:v>
      </x:c>
      <x:c r="N103" s="160" t="str">
        <x:v>Blackman Charter Township, Jackson City, Leoni Township, Summit Township</x:v>
      </x:c>
      <x:c r="O103" s="160" t="str">
        <x:v>Includes proxy city rows</x:v>
      </x:c>
      <x:c r="P103" s="160" t="str">
        <x:v>Aggregated from 4 city/municipality screening rows; overlapping catchments are not deduplicated.</x:v>
      </x:c>
      <x:c r="Q103" s="160" t="str">
        <x:v>U.S. Census Bureau 2025 Gazetteer — ALAND_SQMI</x:v>
      </x:c>
    </x:row>
    <x:row r="104">
      <x:c r="A104" s="28" t="n">
        <x:v>107</x:v>
      </x:c>
      <x:c r="B104" s="28" t="str">
        <x:v>Orange County</x:v>
      </x:c>
      <x:c r="C104" s="28" t="str">
        <x:v>FL</x:v>
      </x:c>
      <x:c r="D104" s="142" t="str">
        <x:v>12095</x:v>
      </x:c>
      <x:c r="E104" s="133" t="n">
        <x:f>SUMIFS('City Density Ranking'!$E$6:$E$974,'City Density Ranking'!$O$6:$O$974,B104,'City Density Ranking'!$C$6:$C$974,C104)</x:f>
        <x:v>1</x:v>
      </x:c>
      <x:c r="F104" s="133" t="n">
        <x:f>SUMIFS('City Density Ranking'!$F$6:$F$974,'City Density Ranking'!$O$6:$O$974,B104,'City Density Ranking'!$C$6:$C$974,C104)</x:f>
        <x:v>4</x:v>
      </x:c>
      <x:c r="G104" s="133" t="n">
        <x:f>SUMIFS('City Density Ranking'!$G$6:$G$974,'City Density Ranking'!$O$6:$O$974,B104,'City Density Ranking'!$C$6:$C$974,C104)</x:f>
        <x:v>0</x:v>
      </x:c>
      <x:c r="H104" s="133" t="n">
        <x:f>SUMIFS('City Density Ranking'!$H$6:$H$974,'City Density Ranking'!$O$6:$O$974,B104,'City Density Ranking'!$C$6:$C$974,C104)</x:f>
        <x:v>0</x:v>
      </x:c>
      <x:c r="I104" s="133" t="n">
        <x:f>SUMIFS('City Density Ranking'!$I$6:$I$974,'City Density Ranking'!$O$6:$O$974,B104,'City Density Ranking'!$C$6:$C$974,C104)</x:f>
        <x:v>0</x:v>
      </x:c>
      <x:c r="J104" s="133" t="n">
        <x:f>SUMIFS('City Density Ranking'!$J$6:$J$974,'City Density Ranking'!$O$6:$O$974,B104,'City Density Ranking'!$C$6:$C$974,C104)</x:f>
        <x:v>0</x:v>
      </x:c>
      <x:c r="K104" s="133" t="n">
        <x:f>SUM(E104:J104)</x:f>
        <x:v>5</x:v>
      </x:c>
      <x:c r="L104" s="204" t="n">
        <x:v>902.907</x:v>
      </x:c>
      <x:c r="M104" s="205" t="n">
        <x:f>IFERROR(K104/L104,0)</x:f>
        <x:v>0.005537668885056822</x:v>
      </x:c>
      <x:c r="N104" s="160" t="str">
        <x:v>Orlando</x:v>
      </x:c>
      <x:c r="O104" s="160" t="str">
        <x:v>Lower-bound city counts only</x:v>
      </x:c>
      <x:c r="P104" s="160" t="str">
        <x:v>Aggregated from 1 city/municipality screening rows; overlapping catchments are not deduplicated.</x:v>
      </x:c>
      <x:c r="Q104" s="160" t="str">
        <x:v>Verified Census land area (retained)</x:v>
      </x:c>
    </x:row>
    <x:row r="105">
      <x:c r="A105" s="28" t="n">
        <x:v>109</x:v>
      </x:c>
      <x:c r="B105" s="28" t="str">
        <x:v>Bristol County</x:v>
      </x:c>
      <x:c r="C105" s="28" t="str">
        <x:v>MA</x:v>
      </x:c>
      <x:c r="D105" s="142" t="str">
        <x:v>25005</x:v>
      </x:c>
      <x:c r="E105" s="133" t="n">
        <x:f>SUMIFS('City Density Ranking'!$E$6:$E$974,'City Density Ranking'!$O$6:$O$974,B105,'City Density Ranking'!$C$6:$C$974,C105)</x:f>
        <x:v>0</x:v>
      </x:c>
      <x:c r="F105" s="133" t="n">
        <x:f>SUMIFS('City Density Ranking'!$F$6:$F$974,'City Density Ranking'!$O$6:$O$974,B105,'City Density Ranking'!$C$6:$C$974,C105)</x:f>
        <x:v>0</x:v>
      </x:c>
      <x:c r="G105" s="133" t="n">
        <x:f>SUMIFS('City Density Ranking'!$G$6:$G$974,'City Density Ranking'!$O$6:$O$974,B105,'City Density Ranking'!$C$6:$C$974,C105)</x:f>
        <x:v>0</x:v>
      </x:c>
      <x:c r="H105" s="133" t="n">
        <x:f>SUMIFS('City Density Ranking'!$H$6:$H$974,'City Density Ranking'!$O$6:$O$974,B105,'City Density Ranking'!$C$6:$C$974,C105)</x:f>
        <x:v>0</x:v>
      </x:c>
      <x:c r="I105" s="133" t="n">
        <x:f>SUMIFS('City Density Ranking'!$I$6:$I$974,'City Density Ranking'!$O$6:$O$974,B105,'City Density Ranking'!$C$6:$C$974,C105)</x:f>
        <x:v>0</x:v>
      </x:c>
      <x:c r="J105" s="133" t="n">
        <x:f>SUMIFS('City Density Ranking'!$J$6:$J$974,'City Density Ranking'!$O$6:$O$974,B105,'City Density Ranking'!$C$6:$C$974,C105)</x:f>
        <x:v>3</x:v>
      </x:c>
      <x:c r="K105" s="133" t="n">
        <x:f>SUM(E105:J105)</x:f>
        <x:v>3</x:v>
      </x:c>
      <x:c r="L105" s="204" t="n">
        <x:v>553.11</x:v>
      </x:c>
      <x:c r="M105" s="205" t="n">
        <x:f>IFERROR(K105/L105,0)</x:f>
        <x:v>0.005423875901719368</x:v>
      </x:c>
      <x:c r="N105" s="160" t="str">
        <x:v>Fall River, New Bedford, Taunton</x:v>
      </x:c>
      <x:c r="O105" s="160" t="str">
        <x:v>Includes proxy city rows</x:v>
      </x:c>
      <x:c r="P105" s="160" t="str">
        <x:v>Aggregated from 3 city/municipality screening rows; overlapping catchments are not deduplicated.</x:v>
      </x:c>
      <x:c r="Q105" s="160" t="str">
        <x:v>Verified Census QuickFacts land area (2020 geography)</x:v>
      </x:c>
    </x:row>
    <x:row r="106">
      <x:c r="A106" s="28" t="n">
        <x:v>110</x:v>
      </x:c>
      <x:c r="B106" s="28" t="str">
        <x:v>Duval County</x:v>
      </x:c>
      <x:c r="C106" s="28" t="str">
        <x:v>FL</x:v>
      </x:c>
      <x:c r="D106" s="142" t="str">
        <x:v>12031</x:v>
      </x:c>
      <x:c r="E106" s="133" t="n">
        <x:f>SUMIFS('City Density Ranking'!$E$6:$E$974,'City Density Ranking'!$O$6:$O$974,B106,'City Density Ranking'!$C$6:$C$974,C106)</x:f>
        <x:v>1</x:v>
      </x:c>
      <x:c r="F106" s="133" t="n">
        <x:f>SUMIFS('City Density Ranking'!$F$6:$F$974,'City Density Ranking'!$O$6:$O$974,B106,'City Density Ranking'!$C$6:$C$974,C106)</x:f>
        <x:v>0</x:v>
      </x:c>
      <x:c r="G106" s="133" t="n">
        <x:f>SUMIFS('City Density Ranking'!$G$6:$G$974,'City Density Ranking'!$O$6:$O$974,B106,'City Density Ranking'!$C$6:$C$974,C106)</x:f>
        <x:v>3</x:v>
      </x:c>
      <x:c r="H106" s="133" t="n">
        <x:f>SUMIFS('City Density Ranking'!$H$6:$H$974,'City Density Ranking'!$O$6:$O$974,B106,'City Density Ranking'!$C$6:$C$974,C106)</x:f>
        <x:v>0</x:v>
      </x:c>
      <x:c r="I106" s="133" t="n">
        <x:f>SUMIFS('City Density Ranking'!$I$6:$I$974,'City Density Ranking'!$O$6:$O$974,B106,'City Density Ranking'!$C$6:$C$974,C106)</x:f>
        <x:v>0</x:v>
      </x:c>
      <x:c r="J106" s="133" t="n">
        <x:f>SUMIFS('City Density Ranking'!$J$6:$J$974,'City Density Ranking'!$O$6:$O$974,B106,'City Density Ranking'!$C$6:$C$974,C106)</x:f>
        <x:v>0</x:v>
      </x:c>
      <x:c r="K106" s="133" t="n">
        <x:f>SUM(E106:J106)</x:f>
        <x:v>4</x:v>
      </x:c>
      <x:c r="L106" s="204" t="n">
        <x:v>762.654</x:v>
      </x:c>
      <x:c r="M106" s="205" t="n">
        <x:f>IFERROR(K106/L106,0)</x:f>
        <x:v>0.00524484235315097</x:v>
      </x:c>
      <x:c r="N106" s="160" t="str">
        <x:v>Jacksonville</x:v>
      </x:c>
      <x:c r="O106" s="160" t="str">
        <x:v>Lower-bound city counts only</x:v>
      </x:c>
      <x:c r="P106" s="160" t="str">
        <x:v>Aggregated from 1 city/municipality screening rows; overlapping catchments are not deduplicated.</x:v>
      </x:c>
      <x:c r="Q106" s="160" t="str">
        <x:v>Verified Census land area (retained)</x:v>
      </x:c>
    </x:row>
    <x:row r="107">
      <x:c r="A107" s="28" t="n">
        <x:v>111</x:v>
      </x:c>
      <x:c r="B107" s="28" t="str">
        <x:v>San Diego County</x:v>
      </x:c>
      <x:c r="C107" s="28" t="str">
        <x:v>CA</x:v>
      </x:c>
      <x:c r="D107" s="142" t="str">
        <x:v>06073</x:v>
      </x:c>
      <x:c r="E107" s="133" t="n">
        <x:f>SUMIFS('City Density Ranking'!$E$6:$E$974,'City Density Ranking'!$O$6:$O$974,B107,'City Density Ranking'!$C$6:$C$974,C107)</x:f>
        <x:v>1</x:v>
      </x:c>
      <x:c r="F107" s="133" t="n">
        <x:f>SUMIFS('City Density Ranking'!$F$6:$F$974,'City Density Ranking'!$O$6:$O$974,B107,'City Density Ranking'!$C$6:$C$974,C107)</x:f>
        <x:v>10</x:v>
      </x:c>
      <x:c r="G107" s="133" t="n">
        <x:f>SUMIFS('City Density Ranking'!$G$6:$G$974,'City Density Ranking'!$O$6:$O$974,B107,'City Density Ranking'!$C$6:$C$974,C107)</x:f>
        <x:v>0</x:v>
      </x:c>
      <x:c r="H107" s="133" t="n">
        <x:f>SUMIFS('City Density Ranking'!$H$6:$H$974,'City Density Ranking'!$O$6:$O$974,B107,'City Density Ranking'!$C$6:$C$974,C107)</x:f>
        <x:v>0</x:v>
      </x:c>
      <x:c r="I107" s="133" t="n">
        <x:f>SUMIFS('City Density Ranking'!$I$6:$I$974,'City Density Ranking'!$O$6:$O$974,B107,'City Density Ranking'!$C$6:$C$974,C107)</x:f>
        <x:v>0</x:v>
      </x:c>
      <x:c r="J107" s="133" t="n">
        <x:f>SUMIFS('City Density Ranking'!$J$6:$J$974,'City Density Ranking'!$O$6:$O$974,B107,'City Density Ranking'!$C$6:$C$974,C107)</x:f>
        <x:v>11</x:v>
      </x:c>
      <x:c r="K107" s="133" t="n">
        <x:f>SUM(E107:J107)</x:f>
        <x:v>22</x:v>
      </x:c>
      <x:c r="L107" s="204" t="n">
        <x:v>4210.257</x:v>
      </x:c>
      <x:c r="M107" s="205" t="n">
        <x:f>IFERROR(K107/L107,0)</x:f>
        <x:v>0.005225334225440395</x:v>
      </x:c>
      <x:c r="N107" s="160" t="str">
        <x:v>Carlsbad, Chula Vista, El Cajon, Encinitas, Escondido, La Mesa, National City, Oceanside, San Diego, San Marcos, Santee, Vista</x:v>
      </x:c>
      <x:c r="O107" s="160" t="str">
        <x:v>Includes proxy city rows</x:v>
      </x:c>
      <x:c r="P107" s="160" t="str">
        <x:v>Aggregated from 12 city/municipality screening rows; overlapping catchments are not deduplicated.</x:v>
      </x:c>
      <x:c r="Q107" s="160" t="str">
        <x:v>Verified Census land area (retained)</x:v>
      </x:c>
    </x:row>
    <x:row r="108">
      <x:c r="A108" s="28" t="n">
        <x:v>112</x:v>
      </x:c>
      <x:c r="B108" s="28" t="str">
        <x:v>Kent County</x:v>
      </x:c>
      <x:c r="C108" s="28" t="str">
        <x:v>DE</x:v>
      </x:c>
      <x:c r="D108" s="142" t="str">
        <x:v>10001</x:v>
      </x:c>
      <x:c r="E108" s="133" t="n">
        <x:f>SUMIFS('City Density Ranking'!$E$6:$E$974,'City Density Ranking'!$O$6:$O$974,B108,'City Density Ranking'!$C$6:$C$974,C108)</x:f>
        <x:v>0</x:v>
      </x:c>
      <x:c r="F108" s="133" t="n">
        <x:f>SUMIFS('City Density Ranking'!$F$6:$F$974,'City Density Ranking'!$O$6:$O$974,B108,'City Density Ranking'!$C$6:$C$974,C108)</x:f>
        <x:v>0</x:v>
      </x:c>
      <x:c r="G108" s="133" t="n">
        <x:f>SUMIFS('City Density Ranking'!$G$6:$G$974,'City Density Ranking'!$O$6:$O$974,B108,'City Density Ranking'!$C$6:$C$974,C108)</x:f>
        <x:v>0</x:v>
      </x:c>
      <x:c r="H108" s="133" t="n">
        <x:f>SUMIFS('City Density Ranking'!$H$6:$H$974,'City Density Ranking'!$O$6:$O$974,B108,'City Density Ranking'!$C$6:$C$974,C108)</x:f>
        <x:v>0</x:v>
      </x:c>
      <x:c r="I108" s="133" t="n">
        <x:f>SUMIFS('City Density Ranking'!$I$6:$I$974,'City Density Ranking'!$O$6:$O$974,B108,'City Density Ranking'!$C$6:$C$974,C108)</x:f>
        <x:v>0</x:v>
      </x:c>
      <x:c r="J108" s="133" t="n">
        <x:f>SUMIFS('City Density Ranking'!$J$6:$J$974,'City Density Ranking'!$O$6:$O$974,B108,'City Density Ranking'!$C$6:$C$974,C108)</x:f>
        <x:v>3</x:v>
      </x:c>
      <x:c r="K108" s="133" t="n">
        <x:f>SUM(E108:J108)</x:f>
        <x:v>3</x:v>
      </x:c>
      <x:c r="L108" s="204" t="n">
        <x:v>586.06</x:v>
      </x:c>
      <x:c r="M108" s="205" t="n">
        <x:f>IFERROR(K108/L108,0)</x:f>
        <x:v>0.00511892980240931</x:v>
      </x:c>
      <x:c r="N108" s="160" t="str">
        <x:v>Dover city, Milford city, Smyrna town</x:v>
      </x:c>
      <x:c r="O108" s="160" t="str">
        <x:v>Includes proxy city rows</x:v>
      </x:c>
      <x:c r="P108" s="160" t="str">
        <x:v>Aggregated from 3 city/municipality screening rows; overlapping catchments are not deduplicated.</x:v>
      </x:c>
      <x:c r="Q108" s="160" t="str">
        <x:v>U.S. Census Bureau QuickFacts — 2020 land area</x:v>
      </x:c>
    </x:row>
    <x:row r="109">
      <x:c r="A109" s="28" t="n">
        <x:v>113</x:v>
      </x:c>
      <x:c r="B109" s="28" t="str">
        <x:v>Lafayette Parish</x:v>
      </x:c>
      <x:c r="C109" s="28" t="str">
        <x:v>LA</x:v>
      </x:c>
      <x:c r="D109" s="142" t="str">
        <x:v>22055</x:v>
      </x:c>
      <x:c r="E109" s="133" t="n">
        <x:f>SUMIFS('City Density Ranking'!$E$6:$E$974,'City Density Ranking'!$O$6:$O$974,B109,'City Density Ranking'!$C$6:$C$974,C109)</x:f>
        <x:v>0</x:v>
      </x:c>
      <x:c r="F109" s="133" t="n">
        <x:f>SUMIFS('City Density Ranking'!$F$6:$F$974,'City Density Ranking'!$O$6:$O$974,B109,'City Density Ranking'!$C$6:$C$974,C109)</x:f>
        <x:v>0</x:v>
      </x:c>
      <x:c r="G109" s="133" t="n">
        <x:f>SUMIFS('City Density Ranking'!$G$6:$G$974,'City Density Ranking'!$O$6:$O$974,B109,'City Density Ranking'!$C$6:$C$974,C109)</x:f>
        <x:v>0</x:v>
      </x:c>
      <x:c r="H109" s="133" t="n">
        <x:f>SUMIFS('City Density Ranking'!$H$6:$H$974,'City Density Ranking'!$O$6:$O$974,B109,'City Density Ranking'!$C$6:$C$974,C109)</x:f>
        <x:v>0</x:v>
      </x:c>
      <x:c r="I109" s="133" t="n">
        <x:f>SUMIFS('City Density Ranking'!$I$6:$I$974,'City Density Ranking'!$O$6:$O$974,B109,'City Density Ranking'!$C$6:$C$974,C109)</x:f>
        <x:v>0</x:v>
      </x:c>
      <x:c r="J109" s="133" t="n">
        <x:f>SUMIFS('City Density Ranking'!$J$6:$J$974,'City Density Ranking'!$O$6:$O$974,B109,'City Density Ranking'!$C$6:$C$974,C109)</x:f>
        <x:v>1</x:v>
      </x:c>
      <x:c r="K109" s="133" t="n">
        <x:f>SUM(E109:J109)</x:f>
        <x:v>1</x:v>
      </x:c>
      <x:c r="L109" s="204" t="n">
        <x:v>195.5615241303038</x:v>
      </x:c>
      <x:c r="M109" s="205" t="n">
        <x:f>IFERROR(K109/L109,0)</x:f>
        <x:v>0.00511348029448622</x:v>
      </x:c>
      <x:c r="N109" s="160" t="str">
        <x:v>Lafayette</x:v>
      </x:c>
      <x:c r="O109" s="160" t="str">
        <x:v>Includes proxy city rows</x:v>
      </x:c>
      <x:c r="P109" s="160" t="str">
        <x:v>Aggregated from 1 city/municipality screening rows; overlapping catchments are not deduplicated.</x:v>
      </x:c>
      <x:c r="Q109" s="160" t="str">
        <x:v>Estimated county land area: geodesic polygon × 0.727 land/total calibration</x:v>
      </x:c>
    </x:row>
    <x:row r="110">
      <x:c r="A110" s="28" t="n">
        <x:v>114</x:v>
      </x:c>
      <x:c r="B110" s="28" t="str">
        <x:v>Butler County</x:v>
      </x:c>
      <x:c r="C110" s="28" t="str">
        <x:v>PA</x:v>
      </x:c>
      <x:c r="D110" s="142" t="str">
        <x:v>42019</x:v>
      </x:c>
      <x:c r="E110" s="133" t="n">
        <x:f>SUMIFS('City Density Ranking'!$E$6:$E$974,'City Density Ranking'!$O$6:$O$974,B110,'City Density Ranking'!$C$6:$C$974,C110)</x:f>
        <x:v>0</x:v>
      </x:c>
      <x:c r="F110" s="133" t="n">
        <x:f>SUMIFS('City Density Ranking'!$F$6:$F$974,'City Density Ranking'!$O$6:$O$974,B110,'City Density Ranking'!$C$6:$C$974,C110)</x:f>
        <x:v>0</x:v>
      </x:c>
      <x:c r="G110" s="133" t="n">
        <x:f>SUMIFS('City Density Ranking'!$G$6:$G$974,'City Density Ranking'!$O$6:$O$974,B110,'City Density Ranking'!$C$6:$C$974,C110)</x:f>
        <x:v>0</x:v>
      </x:c>
      <x:c r="H110" s="133" t="n">
        <x:f>SUMIFS('City Density Ranking'!$H$6:$H$974,'City Density Ranking'!$O$6:$O$974,B110,'City Density Ranking'!$C$6:$C$974,C110)</x:f>
        <x:v>1</x:v>
      </x:c>
      <x:c r="I110" s="133" t="n">
        <x:f>SUMIFS('City Density Ranking'!$I$6:$I$974,'City Density Ranking'!$O$6:$O$974,B110,'City Density Ranking'!$C$6:$C$974,C110)</x:f>
        <x:v>0</x:v>
      </x:c>
      <x:c r="J110" s="133" t="n">
        <x:f>SUMIFS('City Density Ranking'!$J$6:$J$974,'City Density Ranking'!$O$6:$O$974,B110,'City Density Ranking'!$C$6:$C$974,C110)</x:f>
        <x:v>3</x:v>
      </x:c>
      <x:c r="K110" s="133" t="n">
        <x:f>SUM(E110:J110)</x:f>
        <x:v>4</x:v>
      </x:c>
      <x:c r="L110" s="204" t="n">
        <x:v>789.49</x:v>
      </x:c>
      <x:c r="M110" s="205" t="n">
        <x:f>IFERROR(K110/L110,0)</x:f>
        <x:v>0.005066561957719541</x:v>
      </x:c>
      <x:c r="N110" s="160" t="str">
        <x:v>Adams township, Butler city, Butler township, Cranberry township</x:v>
      </x:c>
      <x:c r="O110" s="160" t="str">
        <x:v>Includes proxy city rows</x:v>
      </x:c>
      <x:c r="P110" s="160" t="str">
        <x:v>Aggregated from 4 city/municipality screening rows; overlapping catchments are not deduplicated.</x:v>
      </x:c>
      <x:c r="Q110" s="160" t="str">
        <x:v>U.S. Census Bureau QuickFacts — 2020 land area</x:v>
      </x:c>
    </x:row>
    <x:row r="111">
      <x:c r="A111" s="28" t="n">
        <x:v>115</x:v>
      </x:c>
      <x:c r="B111" s="28" t="str">
        <x:v>Norfolk County</x:v>
      </x:c>
      <x:c r="C111" s="28" t="str">
        <x:v>MA</x:v>
      </x:c>
      <x:c r="D111" s="142" t="str">
        <x:v>25021</x:v>
      </x:c>
      <x:c r="E111" s="133" t="n">
        <x:f>SUMIFS('City Density Ranking'!$E$6:$E$974,'City Density Ranking'!$O$6:$O$974,B111,'City Density Ranking'!$C$6:$C$974,C111)</x:f>
        <x:v>0</x:v>
      </x:c>
      <x:c r="F111" s="133" t="n">
        <x:f>SUMIFS('City Density Ranking'!$F$6:$F$974,'City Density Ranking'!$O$6:$O$974,B111,'City Density Ranking'!$C$6:$C$974,C111)</x:f>
        <x:v>0</x:v>
      </x:c>
      <x:c r="G111" s="133" t="n">
        <x:f>SUMIFS('City Density Ranking'!$G$6:$G$974,'City Density Ranking'!$O$6:$O$974,B111,'City Density Ranking'!$C$6:$C$974,C111)</x:f>
        <x:v>0</x:v>
      </x:c>
      <x:c r="H111" s="133" t="n">
        <x:f>SUMIFS('City Density Ranking'!$H$6:$H$974,'City Density Ranking'!$O$6:$O$974,B111,'City Density Ranking'!$C$6:$C$974,C111)</x:f>
        <x:v>0</x:v>
      </x:c>
      <x:c r="I111" s="133" t="n">
        <x:f>SUMIFS('City Density Ranking'!$I$6:$I$974,'City Density Ranking'!$O$6:$O$974,B111,'City Density Ranking'!$C$6:$C$974,C111)</x:f>
        <x:v>0</x:v>
      </x:c>
      <x:c r="J111" s="133" t="n">
        <x:f>SUMIFS('City Density Ranking'!$J$6:$J$974,'City Density Ranking'!$O$6:$O$974,B111,'City Density Ranking'!$C$6:$C$974,C111)</x:f>
        <x:v>2</x:v>
      </x:c>
      <x:c r="K111" s="133" t="n">
        <x:f>SUM(E111:J111)</x:f>
        <x:v>2</x:v>
      </x:c>
      <x:c r="L111" s="204" t="n">
        <x:v>396.11</x:v>
      </x:c>
      <x:c r="M111" s="205" t="n">
        <x:f>IFERROR(K111/L111,0)</x:f>
        <x:v>0.00504910252202671</x:v>
      </x:c>
      <x:c r="N111" s="160" t="str">
        <x:v>Quincy, Weymouth</x:v>
      </x:c>
      <x:c r="O111" s="160" t="str">
        <x:v>Includes proxy city rows</x:v>
      </x:c>
      <x:c r="P111" s="160" t="str">
        <x:v>Aggregated from 2 city/municipality screening rows; overlapping catchments are not deduplicated.</x:v>
      </x:c>
      <x:c r="Q111" s="160" t="str">
        <x:v>Verified Census QuickFacts land area (2020 geography)</x:v>
      </x:c>
    </x:row>
    <x:row r="112">
      <x:c r="A112" s="28" t="n">
        <x:v>116</x:v>
      </x:c>
      <x:c r="B112" s="28" t="str">
        <x:v>Saginaw County</x:v>
      </x:c>
      <x:c r="C112" s="28" t="str">
        <x:v>MI</x:v>
      </x:c>
      <x:c r="D112" s="142" t="str">
        <x:v>26145</x:v>
      </x:c>
      <x:c r="E112" s="133" t="n">
        <x:f>SUMIFS('City Density Ranking'!$E$6:$E$974,'City Density Ranking'!$O$6:$O$974,B112,'City Density Ranking'!$C$6:$C$974,C112)</x:f>
        <x:v>0</x:v>
      </x:c>
      <x:c r="F112" s="133" t="n">
        <x:f>SUMIFS('City Density Ranking'!$F$6:$F$974,'City Density Ranking'!$O$6:$O$974,B112,'City Density Ranking'!$C$6:$C$974,C112)</x:f>
        <x:v>0</x:v>
      </x:c>
      <x:c r="G112" s="133" t="n">
        <x:f>SUMIFS('City Density Ranking'!$G$6:$G$974,'City Density Ranking'!$O$6:$O$974,B112,'City Density Ranking'!$C$6:$C$974,C112)</x:f>
        <x:v>0</x:v>
      </x:c>
      <x:c r="H112" s="133" t="n">
        <x:f>SUMIFS('City Density Ranking'!$H$6:$H$974,'City Density Ranking'!$O$6:$O$974,B112,'City Density Ranking'!$C$6:$C$974,C112)</x:f>
        <x:v>0</x:v>
      </x:c>
      <x:c r="I112" s="133" t="n">
        <x:f>SUMIFS('City Density Ranking'!$I$6:$I$974,'City Density Ranking'!$O$6:$O$974,B112,'City Density Ranking'!$C$6:$C$974,C112)</x:f>
        <x:v>0</x:v>
      </x:c>
      <x:c r="J112" s="133" t="n">
        <x:f>SUMIFS('City Density Ranking'!$J$6:$J$974,'City Density Ranking'!$O$6:$O$974,B112,'City Density Ranking'!$C$6:$C$974,C112)</x:f>
        <x:v>4</x:v>
      </x:c>
      <x:c r="K112" s="133" t="n">
        <x:f>SUM(E112:J112)</x:f>
        <x:v>4</x:v>
      </x:c>
      <x:c r="L112" s="204" t="n">
        <x:v>800.807</x:v>
      </x:c>
      <x:c r="M112" s="205" t="n">
        <x:f>IFERROR(K112/L112,0)</x:f>
        <x:v>0.004994961332755583</x:v>
      </x:c>
      <x:c r="N112" s="160" t="str">
        <x:v>Saginaw Charter Township, Saginaw City, Thomas Township, Tittabawassee Township</x:v>
      </x:c>
      <x:c r="O112" s="160" t="str">
        <x:v>Includes proxy city rows</x:v>
      </x:c>
      <x:c r="P112" s="160" t="str">
        <x:v>Aggregated from 4 city/municipality screening rows; overlapping catchments are not deduplicated.</x:v>
      </x:c>
      <x:c r="Q112" s="160" t="str">
        <x:v>U.S. Census Bureau 2025 Gazetteer — ALAND_SQMI</x:v>
      </x:c>
    </x:row>
    <x:row r="113">
      <x:c r="A113" s="28" t="n">
        <x:v>117</x:v>
      </x:c>
      <x:c r="B113" s="28" t="str">
        <x:v>Hillsborough County</x:v>
      </x:c>
      <x:c r="C113" s="28" t="str">
        <x:v>FL</x:v>
      </x:c>
      <x:c r="D113" s="142" t="str">
        <x:v>12057</x:v>
      </x:c>
      <x:c r="E113" s="133" t="n">
        <x:f>SUMIFS('City Density Ranking'!$E$6:$E$974,'City Density Ranking'!$O$6:$O$974,B113,'City Density Ranking'!$C$6:$C$974,C113)</x:f>
        <x:v>0</x:v>
      </x:c>
      <x:c r="F113" s="133" t="n">
        <x:f>SUMIFS('City Density Ranking'!$F$6:$F$974,'City Density Ranking'!$O$6:$O$974,B113,'City Density Ranking'!$C$6:$C$974,C113)</x:f>
        <x:v>5</x:v>
      </x:c>
      <x:c r="G113" s="133" t="n">
        <x:f>SUMIFS('City Density Ranking'!$G$6:$G$974,'City Density Ranking'!$O$6:$O$974,B113,'City Density Ranking'!$C$6:$C$974,C113)</x:f>
        <x:v>0</x:v>
      </x:c>
      <x:c r="H113" s="133" t="n">
        <x:f>SUMIFS('City Density Ranking'!$H$6:$H$974,'City Density Ranking'!$O$6:$O$974,B113,'City Density Ranking'!$C$6:$C$974,C113)</x:f>
        <x:v>0</x:v>
      </x:c>
      <x:c r="I113" s="133" t="n">
        <x:f>SUMIFS('City Density Ranking'!$I$6:$I$974,'City Density Ranking'!$O$6:$O$974,B113,'City Density Ranking'!$C$6:$C$974,C113)</x:f>
        <x:v>0</x:v>
      </x:c>
      <x:c r="J113" s="133" t="n">
        <x:f>SUMIFS('City Density Ranking'!$J$6:$J$974,'City Density Ranking'!$O$6:$O$974,B113,'City Density Ranking'!$C$6:$C$974,C113)</x:f>
        <x:v>0</x:v>
      </x:c>
      <x:c r="K113" s="133" t="n">
        <x:f>SUM(E113:J113)</x:f>
        <x:v>5</x:v>
      </x:c>
      <x:c r="L113" s="204" t="n">
        <x:v>1022.353</x:v>
      </x:c>
      <x:c r="M113" s="205" t="n">
        <x:f>IFERROR(K113/L113,0)</x:f>
        <x:v>0.004890678659914922</x:v>
      </x:c>
      <x:c r="N113" s="160" t="str">
        <x:v>Tampa</x:v>
      </x:c>
      <x:c r="O113" s="160" t="str">
        <x:v>Lower-bound city counts only</x:v>
      </x:c>
      <x:c r="P113" s="160" t="str">
        <x:v>Aggregated from 1 city/municipality screening rows; overlapping catchments are not deduplicated.</x:v>
      </x:c>
      <x:c r="Q113" s="160" t="str">
        <x:v>Verified Census land area (retained)</x:v>
      </x:c>
    </x:row>
    <x:row r="114">
      <x:c r="A114" s="28" t="n">
        <x:v>118</x:v>
      </x:c>
      <x:c r="B114" s="28" t="str">
        <x:v>Schenectady County</x:v>
      </x:c>
      <x:c r="C114" s="28" t="str">
        <x:v>NY</x:v>
      </x:c>
      <x:c r="D114" s="142" t="str">
        <x:v>36093</x:v>
      </x:c>
      <x:c r="E114" s="133" t="n">
        <x:f>SUMIFS('City Density Ranking'!$E$6:$E$974,'City Density Ranking'!$O$6:$O$974,B114,'City Density Ranking'!$C$6:$C$974,C114)</x:f>
        <x:v>0</x:v>
      </x:c>
      <x:c r="F114" s="133" t="n">
        <x:f>SUMIFS('City Density Ranking'!$F$6:$F$974,'City Density Ranking'!$O$6:$O$974,B114,'City Density Ranking'!$C$6:$C$974,C114)</x:f>
        <x:v>0</x:v>
      </x:c>
      <x:c r="G114" s="133" t="n">
        <x:f>SUMIFS('City Density Ranking'!$G$6:$G$974,'City Density Ranking'!$O$6:$O$974,B114,'City Density Ranking'!$C$6:$C$974,C114)</x:f>
        <x:v>0</x:v>
      </x:c>
      <x:c r="H114" s="133" t="n">
        <x:f>SUMIFS('City Density Ranking'!$H$6:$H$974,'City Density Ranking'!$O$6:$O$974,B114,'City Density Ranking'!$C$6:$C$974,C114)</x:f>
        <x:v>0</x:v>
      </x:c>
      <x:c r="I114" s="133" t="n">
        <x:f>SUMIFS('City Density Ranking'!$I$6:$I$974,'City Density Ranking'!$O$6:$O$974,B114,'City Density Ranking'!$C$6:$C$974,C114)</x:f>
        <x:v>0</x:v>
      </x:c>
      <x:c r="J114" s="133" t="n">
        <x:f>SUMIFS('City Density Ranking'!$J$6:$J$974,'City Density Ranking'!$O$6:$O$974,B114,'City Density Ranking'!$C$6:$C$974,C114)</x:f>
        <x:v>1</x:v>
      </x:c>
      <x:c r="K114" s="133" t="n">
        <x:f>SUM(E114:J114)</x:f>
        <x:v>1</x:v>
      </x:c>
      <x:c r="L114" s="204" t="n">
        <x:v>204.58</x:v>
      </x:c>
      <x:c r="M114" s="205" t="n">
        <x:f>IFERROR(K114/L114,0)</x:f>
        <x:v>0.004888063349301006</x:v>
      </x:c>
      <x:c r="N114" s="160" t="str">
        <x:v>Schenectady</x:v>
      </x:c>
      <x:c r="O114" s="160" t="str">
        <x:v>Includes proxy city rows</x:v>
      </x:c>
      <x:c r="P114" s="160" t="str">
        <x:v>Aggregated from 1 city/municipality screening rows; overlapping catchments are not deduplicated.</x:v>
      </x:c>
      <x:c r="Q114" s="160" t="str">
        <x:v>Verified Census QuickFacts land area (2020 geography)</x:v>
      </x:c>
    </x:row>
    <x:row r="115">
      <x:c r="A115" s="28" t="n">
        <x:v>119</x:v>
      </x:c>
      <x:c r="B115" s="28" t="str">
        <x:v>Collin County</x:v>
      </x:c>
      <x:c r="C115" s="28" t="str">
        <x:v>TX</x:v>
      </x:c>
      <x:c r="D115" s="142" t="str">
        <x:v>48085</x:v>
      </x:c>
      <x:c r="E115" s="133" t="n">
        <x:f>SUMIFS('City Density Ranking'!$E$6:$E$974,'City Density Ranking'!$O$6:$O$974,B115,'City Density Ranking'!$C$6:$C$974,C115)</x:f>
        <x:v>1</x:v>
      </x:c>
      <x:c r="F115" s="133" t="n">
        <x:f>SUMIFS('City Density Ranking'!$F$6:$F$974,'City Density Ranking'!$O$6:$O$974,B115,'City Density Ranking'!$C$6:$C$974,C115)</x:f>
        <x:v>0</x:v>
      </x:c>
      <x:c r="G115" s="133" t="n">
        <x:f>SUMIFS('City Density Ranking'!$G$6:$G$974,'City Density Ranking'!$O$6:$O$974,B115,'City Density Ranking'!$C$6:$C$974,C115)</x:f>
        <x:v>0</x:v>
      </x:c>
      <x:c r="H115" s="133" t="n">
        <x:f>SUMIFS('City Density Ranking'!$H$6:$H$974,'City Density Ranking'!$O$6:$O$974,B115,'City Density Ranking'!$C$6:$C$974,C115)</x:f>
        <x:v>0</x:v>
      </x:c>
      <x:c r="I115" s="133" t="n">
        <x:f>SUMIFS('City Density Ranking'!$I$6:$I$974,'City Density Ranking'!$O$6:$O$974,B115,'City Density Ranking'!$C$6:$C$974,C115)</x:f>
        <x:v>0</x:v>
      </x:c>
      <x:c r="J115" s="133" t="n">
        <x:f>SUMIFS('City Density Ranking'!$J$6:$J$974,'City Density Ranking'!$O$6:$O$974,B115,'City Density Ranking'!$C$6:$C$974,C115)</x:f>
        <x:v>3</x:v>
      </x:c>
      <x:c r="K115" s="133" t="n">
        <x:f>SUM(E115:J115)</x:f>
        <x:v>4</x:v>
      </x:c>
      <x:c r="L115" s="204" t="n">
        <x:v>841.257</x:v>
      </x:c>
      <x:c r="M115" s="205" t="n">
        <x:f>IFERROR(K115/L115,0)</x:f>
        <x:v>0.004754789558957607</x:v>
      </x:c>
      <x:c r="N115" s="160" t="str">
        <x:v>Allen, Frisco, McKinney, Plano</x:v>
      </x:c>
      <x:c r="O115" s="160" t="str">
        <x:v>Includes proxy city rows</x:v>
      </x:c>
      <x:c r="P115" s="160" t="str">
        <x:v>Aggregated from 4 city/municipality screening rows; overlapping catchments are not deduplicated.</x:v>
      </x:c>
      <x:c r="Q115" s="160" t="str">
        <x:v>Verified Census land area (retained)</x:v>
      </x:c>
    </x:row>
    <x:row r="116">
      <x:c r="A116" s="28" t="n">
        <x:v>120</x:v>
      </x:c>
      <x:c r="B116" s="28" t="str">
        <x:v>Harris County</x:v>
      </x:c>
      <x:c r="C116" s="28" t="str">
        <x:v>TX</x:v>
      </x:c>
      <x:c r="D116" s="142" t="str">
        <x:v>48201</x:v>
      </x:c>
      <x:c r="E116" s="133" t="n">
        <x:f>SUMIFS('City Density Ranking'!$E$6:$E$974,'City Density Ranking'!$O$6:$O$974,B116,'City Density Ranking'!$C$6:$C$974,C116)</x:f>
        <x:v>5</x:v>
      </x:c>
      <x:c r="F116" s="133" t="n">
        <x:f>SUMIFS('City Density Ranking'!$F$6:$F$974,'City Density Ranking'!$O$6:$O$974,B116,'City Density Ranking'!$C$6:$C$974,C116)</x:f>
        <x:v>0</x:v>
      </x:c>
      <x:c r="G116" s="133" t="n">
        <x:f>SUMIFS('City Density Ranking'!$G$6:$G$974,'City Density Ranking'!$O$6:$O$974,B116,'City Density Ranking'!$C$6:$C$974,C116)</x:f>
        <x:v>0</x:v>
      </x:c>
      <x:c r="H116" s="133" t="n">
        <x:f>SUMIFS('City Density Ranking'!$H$6:$H$974,'City Density Ranking'!$O$6:$O$974,B116,'City Density Ranking'!$C$6:$C$974,C116)</x:f>
        <x:v>0</x:v>
      </x:c>
      <x:c r="I116" s="133" t="n">
        <x:f>SUMIFS('City Density Ranking'!$I$6:$I$974,'City Density Ranking'!$O$6:$O$974,B116,'City Density Ranking'!$C$6:$C$974,C116)</x:f>
        <x:v>0</x:v>
      </x:c>
      <x:c r="J116" s="133" t="n">
        <x:f>SUMIFS('City Density Ranking'!$J$6:$J$974,'City Density Ranking'!$O$6:$O$974,B116,'City Density Ranking'!$C$6:$C$974,C116)</x:f>
        <x:v>3</x:v>
      </x:c>
      <x:c r="K116" s="133" t="n">
        <x:f>SUM(E116:J116)</x:f>
        <x:v>8</x:v>
      </x:c>
      <x:c r="L116" s="204" t="n">
        <x:v>1706.984</x:v>
      </x:c>
      <x:c r="M116" s="205" t="n">
        <x:f>IFERROR(K116/L116,0)</x:f>
        <x:v>0.004686628579998407</x:v>
      </x:c>
      <x:c r="N116" s="160" t="str">
        <x:v>Baytown, Houston, Missouri City, Pasadena</x:v>
      </x:c>
      <x:c r="O116" s="160" t="str">
        <x:v>Includes proxy city rows</x:v>
      </x:c>
      <x:c r="P116" s="160" t="str">
        <x:v>Aggregated from 4 city/municipality screening rows; overlapping catchments are not deduplicated.</x:v>
      </x:c>
      <x:c r="Q116" s="160" t="str">
        <x:v>Verified Census land area (retained)</x:v>
      </x:c>
    </x:row>
    <x:row r="117">
      <x:c r="A117" s="28" t="n">
        <x:v>121</x:v>
      </x:c>
      <x:c r="B117" s="28" t="str">
        <x:v>New Hanover County</x:v>
      </x:c>
      <x:c r="C117" s="28" t="str">
        <x:v>NC</x:v>
      </x:c>
      <x:c r="D117" s="142" t="str">
        <x:v>37129</x:v>
      </x:c>
      <x:c r="E117" s="133" t="n">
        <x:f>SUMIFS('City Density Ranking'!$E$6:$E$974,'City Density Ranking'!$O$6:$O$974,B117,'City Density Ranking'!$C$6:$C$974,C117)</x:f>
        <x:v>0</x:v>
      </x:c>
      <x:c r="F117" s="133" t="n">
        <x:f>SUMIFS('City Density Ranking'!$F$6:$F$974,'City Density Ranking'!$O$6:$O$974,B117,'City Density Ranking'!$C$6:$C$974,C117)</x:f>
        <x:v>0</x:v>
      </x:c>
      <x:c r="G117" s="133" t="n">
        <x:f>SUMIFS('City Density Ranking'!$G$6:$G$974,'City Density Ranking'!$O$6:$O$974,B117,'City Density Ranking'!$C$6:$C$974,C117)</x:f>
        <x:v>0</x:v>
      </x:c>
      <x:c r="H117" s="133" t="n">
        <x:f>SUMIFS('City Density Ranking'!$H$6:$H$974,'City Density Ranking'!$O$6:$O$974,B117,'City Density Ranking'!$C$6:$C$974,C117)</x:f>
        <x:v>0</x:v>
      </x:c>
      <x:c r="I117" s="133" t="n">
        <x:f>SUMIFS('City Density Ranking'!$I$6:$I$974,'City Density Ranking'!$O$6:$O$974,B117,'City Density Ranking'!$C$6:$C$974,C117)</x:f>
        <x:v>0</x:v>
      </x:c>
      <x:c r="J117" s="133" t="n">
        <x:f>SUMIFS('City Density Ranking'!$J$6:$J$974,'City Density Ranking'!$O$6:$O$974,B117,'City Density Ranking'!$C$6:$C$974,C117)</x:f>
        <x:v>1</x:v>
      </x:c>
      <x:c r="K117" s="133" t="n">
        <x:f>SUM(E117:J117)</x:f>
        <x:v>1</x:v>
      </x:c>
      <x:c r="L117" s="204" t="n">
        <x:v>213.9669743754183</x:v>
      </x:c>
      <x:c r="M117" s="205" t="n">
        <x:f>IFERROR(K117/L117,0)</x:f>
        <x:v>0.00467361845405842</x:v>
      </x:c>
      <x:c r="N117" s="160" t="str">
        <x:v>Wilmington</x:v>
      </x:c>
      <x:c r="O117" s="160" t="str">
        <x:v>Includes proxy city rows</x:v>
      </x:c>
      <x:c r="P117" s="160" t="str">
        <x:v>Aggregated from 1 city/municipality screening rows; overlapping catchments are not deduplicated.</x:v>
      </x:c>
      <x:c r="Q117" s="160" t="str">
        <x:v>Estimated county land area: geodesic polygon × 0.974 land/total calibration</x:v>
      </x:c>
    </x:row>
    <x:row r="118">
      <x:c r="A118" s="28" t="n">
        <x:v>122</x:v>
      </x:c>
      <x:c r="B118" s="28" t="str">
        <x:v>Washington County</x:v>
      </x:c>
      <x:c r="C118" s="28" t="str">
        <x:v>PA</x:v>
      </x:c>
      <x:c r="D118" s="142" t="str">
        <x:v>42125</x:v>
      </x:c>
      <x:c r="E118" s="133" t="n">
        <x:f>SUMIFS('City Density Ranking'!$E$6:$E$974,'City Density Ranking'!$O$6:$O$974,B118,'City Density Ranking'!$C$6:$C$974,C118)</x:f>
        <x:v>0</x:v>
      </x:c>
      <x:c r="F118" s="133" t="n">
        <x:f>SUMIFS('City Density Ranking'!$F$6:$F$974,'City Density Ranking'!$O$6:$O$974,B118,'City Density Ranking'!$C$6:$C$974,C118)</x:f>
        <x:v>0</x:v>
      </x:c>
      <x:c r="G118" s="133" t="n">
        <x:f>SUMIFS('City Density Ranking'!$G$6:$G$974,'City Density Ranking'!$O$6:$O$974,B118,'City Density Ranking'!$C$6:$C$974,C118)</x:f>
        <x:v>0</x:v>
      </x:c>
      <x:c r="H118" s="133" t="n">
        <x:f>SUMIFS('City Density Ranking'!$H$6:$H$974,'City Density Ranking'!$O$6:$O$974,B118,'City Density Ranking'!$C$6:$C$974,C118)</x:f>
        <x:v>0</x:v>
      </x:c>
      <x:c r="I118" s="133" t="n">
        <x:f>SUMIFS('City Density Ranking'!$I$6:$I$974,'City Density Ranking'!$O$6:$O$974,B118,'City Density Ranking'!$C$6:$C$974,C118)</x:f>
        <x:v>0</x:v>
      </x:c>
      <x:c r="J118" s="133" t="n">
        <x:f>SUMIFS('City Density Ranking'!$J$6:$J$974,'City Density Ranking'!$O$6:$O$974,B118,'City Density Ranking'!$C$6:$C$974,C118)</x:f>
        <x:v>4</x:v>
      </x:c>
      <x:c r="K118" s="133" t="n">
        <x:f>SUM(E118:J118)</x:f>
        <x:v>4</x:v>
      </x:c>
      <x:c r="L118" s="204" t="n">
        <x:v>857.01</x:v>
      </x:c>
      <x:c r="M118" s="205" t="n">
        <x:f>IFERROR(K118/L118,0)</x:f>
        <x:v>0.004667390112134047</x:v>
      </x:c>
      <x:c r="N118" s="160" t="str">
        <x:v>Cecil Township, North Strabane Township, Peters Township, Washington City</x:v>
      </x:c>
      <x:c r="O118" s="160" t="str">
        <x:v>Includes proxy city rows</x:v>
      </x:c>
      <x:c r="P118" s="160" t="str">
        <x:v>Aggregated from 4 city/municipality screening rows; overlapping catchments are not deduplicated.</x:v>
      </x:c>
      <x:c r="Q118" s="160" t="str">
        <x:v>U.S. Census Bureau QuickFacts — 2020 land area</x:v>
      </x:c>
    </x:row>
    <x:row r="119">
      <x:c r="A119" s="28" t="n">
        <x:v>123</x:v>
      </x:c>
      <x:c r="B119" s="28" t="str">
        <x:v>Guilford County</x:v>
      </x:c>
      <x:c r="C119" s="28" t="str">
        <x:v>NC</x:v>
      </x:c>
      <x:c r="D119" s="142" t="str">
        <x:v>37081</x:v>
      </x:c>
      <x:c r="E119" s="133" t="n">
        <x:f>SUMIFS('City Density Ranking'!$E$6:$E$974,'City Density Ranking'!$O$6:$O$974,B119,'City Density Ranking'!$C$6:$C$974,C119)</x:f>
        <x:v>0</x:v>
      </x:c>
      <x:c r="F119" s="133" t="n">
        <x:f>SUMIFS('City Density Ranking'!$F$6:$F$974,'City Density Ranking'!$O$6:$O$974,B119,'City Density Ranking'!$C$6:$C$974,C119)</x:f>
        <x:v>0</x:v>
      </x:c>
      <x:c r="G119" s="133" t="n">
        <x:f>SUMIFS('City Density Ranking'!$G$6:$G$974,'City Density Ranking'!$O$6:$O$974,B119,'City Density Ranking'!$C$6:$C$974,C119)</x:f>
        <x:v>2</x:v>
      </x:c>
      <x:c r="H119" s="133" t="n">
        <x:f>SUMIFS('City Density Ranking'!$H$6:$H$974,'City Density Ranking'!$O$6:$O$974,B119,'City Density Ranking'!$C$6:$C$974,C119)</x:f>
        <x:v>0</x:v>
      </x:c>
      <x:c r="I119" s="133" t="n">
        <x:f>SUMIFS('City Density Ranking'!$I$6:$I$974,'City Density Ranking'!$O$6:$O$974,B119,'City Density Ranking'!$C$6:$C$974,C119)</x:f>
        <x:v>0</x:v>
      </x:c>
      <x:c r="J119" s="133" t="n">
        <x:f>SUMIFS('City Density Ranking'!$J$6:$J$974,'City Density Ranking'!$O$6:$O$974,B119,'City Density Ranking'!$C$6:$C$974,C119)</x:f>
        <x:v>1</x:v>
      </x:c>
      <x:c r="K119" s="133" t="n">
        <x:f>SUM(E119:J119)</x:f>
        <x:v>3</x:v>
      </x:c>
      <x:c r="L119" s="204" t="n">
        <x:v>645.922</x:v>
      </x:c>
      <x:c r="M119" s="205" t="n">
        <x:f>IFERROR(K119/L119,0)</x:f>
        <x:v>0.004644523642173513</x:v>
      </x:c>
      <x:c r="N119" s="160" t="str">
        <x:v>Greensboro, High Point</x:v>
      </x:c>
      <x:c r="O119" s="160" t="str">
        <x:v>Includes proxy city rows</x:v>
      </x:c>
      <x:c r="P119" s="160" t="str">
        <x:v>Aggregated from 2 city/municipality screening rows; overlapping catchments are not deduplicated.</x:v>
      </x:c>
      <x:c r="Q119" s="160" t="str">
        <x:v>Verified Census land area (retained)</x:v>
      </x:c>
    </x:row>
    <x:row r="120">
      <x:c r="A120" s="28" t="n">
        <x:v>124</x:v>
      </x:c>
      <x:c r="B120" s="28" t="str">
        <x:v>Multnomah County</x:v>
      </x:c>
      <x:c r="C120" s="28" t="str">
        <x:v>OR</x:v>
      </x:c>
      <x:c r="D120" s="142" t="str">
        <x:v>41051</x:v>
      </x:c>
      <x:c r="E120" s="133" t="n">
        <x:f>SUMIFS('City Density Ranking'!$E$6:$E$974,'City Density Ranking'!$O$6:$O$974,B120,'City Density Ranking'!$C$6:$C$974,C120)</x:f>
        <x:v>0</x:v>
      </x:c>
      <x:c r="F120" s="133" t="n">
        <x:f>SUMIFS('City Density Ranking'!$F$6:$F$974,'City Density Ranking'!$O$6:$O$974,B120,'City Density Ranking'!$C$6:$C$974,C120)</x:f>
        <x:v>0</x:v>
      </x:c>
      <x:c r="G120" s="133" t="n">
        <x:f>SUMIFS('City Density Ranking'!$G$6:$G$974,'City Density Ranking'!$O$6:$O$974,B120,'City Density Ranking'!$C$6:$C$974,C120)</x:f>
        <x:v>0</x:v>
      </x:c>
      <x:c r="H120" s="133" t="n">
        <x:f>SUMIFS('City Density Ranking'!$H$6:$H$974,'City Density Ranking'!$O$6:$O$974,B120,'City Density Ranking'!$C$6:$C$974,C120)</x:f>
        <x:v>0</x:v>
      </x:c>
      <x:c r="I120" s="133" t="n">
        <x:f>SUMIFS('City Density Ranking'!$I$6:$I$974,'City Density Ranking'!$O$6:$O$974,B120,'City Density Ranking'!$C$6:$C$974,C120)</x:f>
        <x:v>0</x:v>
      </x:c>
      <x:c r="J120" s="133" t="n">
        <x:f>SUMIFS('City Density Ranking'!$J$6:$J$974,'City Density Ranking'!$O$6:$O$974,B120,'City Density Ranking'!$C$6:$C$974,C120)</x:f>
        <x:v>2</x:v>
      </x:c>
      <x:c r="K120" s="133" t="n">
        <x:f>SUM(E120:J120)</x:f>
        <x:v>2</x:v>
      </x:c>
      <x:c r="L120" s="204" t="n">
        <x:v>431.126</x:v>
      </x:c>
      <x:c r="M120" s="205" t="n">
        <x:f>IFERROR(K120/L120,0)</x:f>
        <x:v>0.004639015044325789</x:v>
      </x:c>
      <x:c r="N120" s="160" t="str">
        <x:v>Gresham, Portland</x:v>
      </x:c>
      <x:c r="O120" s="160" t="str">
        <x:v>Includes proxy city rows</x:v>
      </x:c>
      <x:c r="P120" s="160" t="str">
        <x:v>Aggregated from 2 city/municipality screening rows; overlapping catchments are not deduplicated.</x:v>
      </x:c>
      <x:c r="Q120" s="160" t="str">
        <x:v>Verified Census land area (retained)</x:v>
      </x:c>
    </x:row>
    <x:row r="121">
      <x:c r="A121" s="28" t="n">
        <x:v>125</x:v>
      </x:c>
      <x:c r="B121" s="28" t="str">
        <x:v>Beaver County</x:v>
      </x:c>
      <x:c r="C121" s="28" t="str">
        <x:v>PA</x:v>
      </x:c>
      <x:c r="D121" s="142" t="str">
        <x:v>42007</x:v>
      </x:c>
      <x:c r="E121" s="133" t="n">
        <x:f>SUMIFS('City Density Ranking'!$E$6:$E$974,'City Density Ranking'!$O$6:$O$974,B121,'City Density Ranking'!$C$6:$C$974,C121)</x:f>
        <x:v>0</x:v>
      </x:c>
      <x:c r="F121" s="133" t="n">
        <x:f>SUMIFS('City Density Ranking'!$F$6:$F$974,'City Density Ranking'!$O$6:$O$974,B121,'City Density Ranking'!$C$6:$C$974,C121)</x:f>
        <x:v>0</x:v>
      </x:c>
      <x:c r="G121" s="133" t="n">
        <x:f>SUMIFS('City Density Ranking'!$G$6:$G$974,'City Density Ranking'!$O$6:$O$974,B121,'City Density Ranking'!$C$6:$C$974,C121)</x:f>
        <x:v>0</x:v>
      </x:c>
      <x:c r="H121" s="133" t="n">
        <x:f>SUMIFS('City Density Ranking'!$H$6:$H$974,'City Density Ranking'!$O$6:$O$974,B121,'City Density Ranking'!$C$6:$C$974,C121)</x:f>
        <x:v>0</x:v>
      </x:c>
      <x:c r="I121" s="133" t="n">
        <x:f>SUMIFS('City Density Ranking'!$I$6:$I$974,'City Density Ranking'!$O$6:$O$974,B121,'City Density Ranking'!$C$6:$C$974,C121)</x:f>
        <x:v>0</x:v>
      </x:c>
      <x:c r="J121" s="133" t="n">
        <x:f>SUMIFS('City Density Ranking'!$J$6:$J$974,'City Density Ranking'!$O$6:$O$974,B121,'City Density Ranking'!$C$6:$C$974,C121)</x:f>
        <x:v>2</x:v>
      </x:c>
      <x:c r="K121" s="133" t="n">
        <x:f>SUM(E121:J121)</x:f>
        <x:v>2</x:v>
      </x:c>
      <x:c r="L121" s="204" t="n">
        <x:v>434.695</x:v>
      </x:c>
      <x:c r="M121" s="205" t="n">
        <x:f>IFERROR(K121/L121,0)</x:f>
        <x:v>0.004600927086807992</x:v>
      </x:c>
      <x:c r="N121" s="160" t="str">
        <x:v>Center Township, Hopewell Township</x:v>
      </x:c>
      <x:c r="O121" s="160" t="str">
        <x:v>Includes proxy city rows</x:v>
      </x:c>
      <x:c r="P121" s="160" t="str">
        <x:v>Aggregated from 2 city/municipality screening rows; overlapping catchments are not deduplicated.</x:v>
      </x:c>
      <x:c r="Q121" s="160" t="str">
        <x:v>U.S. Census Bureau 2025 Gazetteer — ALAND_SQMI</x:v>
      </x:c>
    </x:row>
    <x:row r="122">
      <x:c r="A122" s="28" t="n">
        <x:v>126</x:v>
      </x:c>
      <x:c r="B122" s="28" t="str">
        <x:v>Muscogee County</x:v>
      </x:c>
      <x:c r="C122" s="28" t="str">
        <x:v>GA</x:v>
      </x:c>
      <x:c r="D122" s="142" t="str">
        <x:v>13215</x:v>
      </x:c>
      <x:c r="E122" s="133" t="n">
        <x:f>SUMIFS('City Density Ranking'!$E$6:$E$974,'City Density Ranking'!$O$6:$O$974,B122,'City Density Ranking'!$C$6:$C$974,C122)</x:f>
        <x:v>0</x:v>
      </x:c>
      <x:c r="F122" s="133" t="n">
        <x:f>SUMIFS('City Density Ranking'!$F$6:$F$974,'City Density Ranking'!$O$6:$O$974,B122,'City Density Ranking'!$C$6:$C$974,C122)</x:f>
        <x:v>0</x:v>
      </x:c>
      <x:c r="G122" s="133" t="n">
        <x:f>SUMIFS('City Density Ranking'!$G$6:$G$974,'City Density Ranking'!$O$6:$O$974,B122,'City Density Ranking'!$C$6:$C$974,C122)</x:f>
        <x:v>0</x:v>
      </x:c>
      <x:c r="H122" s="133" t="n">
        <x:f>SUMIFS('City Density Ranking'!$H$6:$H$974,'City Density Ranking'!$O$6:$O$974,B122,'City Density Ranking'!$C$6:$C$974,C122)</x:f>
        <x:v>0</x:v>
      </x:c>
      <x:c r="I122" s="133" t="n">
        <x:f>SUMIFS('City Density Ranking'!$I$6:$I$974,'City Density Ranking'!$O$6:$O$974,B122,'City Density Ranking'!$C$6:$C$974,C122)</x:f>
        <x:v>0</x:v>
      </x:c>
      <x:c r="J122" s="133" t="n">
        <x:f>SUMIFS('City Density Ranking'!$J$6:$J$974,'City Density Ranking'!$O$6:$O$974,B122,'City Density Ranking'!$C$6:$C$974,C122)</x:f>
        <x:v>1</x:v>
      </x:c>
      <x:c r="K122" s="133" t="n">
        <x:f>SUM(E122:J122)</x:f>
        <x:v>1</x:v>
      </x:c>
      <x:c r="L122" s="204" t="n">
        <x:v>217.7289781849157</x:v>
      </x:c>
      <x:c r="M122" s="205" t="n">
        <x:f>IFERROR(K122/L122,0)</x:f>
        <x:v>0.004592865902997565</x:v>
      </x:c>
      <x:c r="N122" s="160" t="str">
        <x:v>Columbus</x:v>
      </x:c>
      <x:c r="O122" s="160" t="str">
        <x:v>Includes proxy city rows</x:v>
      </x:c>
      <x:c r="P122" s="160" t="str">
        <x:v>Aggregated from 1 city/municipality screening rows; overlapping catchments are not deduplicated.</x:v>
      </x:c>
      <x:c r="Q122" s="160" t="str">
        <x:v>Estimated county land area: geodesic polygon × 0.986 land/total calibration</x:v>
      </x:c>
    </x:row>
    <x:row r="123">
      <x:c r="A123" s="28" t="n">
        <x:v>127</x:v>
      </x:c>
      <x:c r="B123" s="28" t="str">
        <x:v>Camden County</x:v>
      </x:c>
      <x:c r="C123" s="28" t="str">
        <x:v>NJ</x:v>
      </x:c>
      <x:c r="D123" s="142" t="str">
        <x:v>34007</x:v>
      </x:c>
      <x:c r="E123" s="133" t="n">
        <x:f>SUMIFS('City Density Ranking'!$E$6:$E$974,'City Density Ranking'!$O$6:$O$974,B123,'City Density Ranking'!$C$6:$C$974,C123)</x:f>
        <x:v>0</x:v>
      </x:c>
      <x:c r="F123" s="133" t="n">
        <x:f>SUMIFS('City Density Ranking'!$F$6:$F$974,'City Density Ranking'!$O$6:$O$974,B123,'City Density Ranking'!$C$6:$C$974,C123)</x:f>
        <x:v>0</x:v>
      </x:c>
      <x:c r="G123" s="133" t="n">
        <x:f>SUMIFS('City Density Ranking'!$G$6:$G$974,'City Density Ranking'!$O$6:$O$974,B123,'City Density Ranking'!$C$6:$C$974,C123)</x:f>
        <x:v>0</x:v>
      </x:c>
      <x:c r="H123" s="133" t="n">
        <x:f>SUMIFS('City Density Ranking'!$H$6:$H$974,'City Density Ranking'!$O$6:$O$974,B123,'City Density Ranking'!$C$6:$C$974,C123)</x:f>
        <x:v>0</x:v>
      </x:c>
      <x:c r="I123" s="133" t="n">
        <x:f>SUMIFS('City Density Ranking'!$I$6:$I$974,'City Density Ranking'!$O$6:$O$974,B123,'City Density Ranking'!$C$6:$C$974,C123)</x:f>
        <x:v>0</x:v>
      </x:c>
      <x:c r="J123" s="133" t="n">
        <x:f>SUMIFS('City Density Ranking'!$J$6:$J$974,'City Density Ranking'!$O$6:$O$974,B123,'City Density Ranking'!$C$6:$C$974,C123)</x:f>
        <x:v>1</x:v>
      </x:c>
      <x:c r="K123" s="133" t="n">
        <x:f>SUM(E123:J123)</x:f>
        <x:v>1</x:v>
      </x:c>
      <x:c r="L123" s="204" t="n">
        <x:v>221.36</x:v>
      </x:c>
      <x:c r="M123" s="205" t="n">
        <x:f>IFERROR(K123/L123,0)</x:f>
        <x:v>0.004517528008673654</x:v>
      </x:c>
      <x:c r="N123" s="160" t="str">
        <x:v>Camden</x:v>
      </x:c>
      <x:c r="O123" s="160" t="str">
        <x:v>Includes proxy city rows</x:v>
      </x:c>
      <x:c r="P123" s="160" t="str">
        <x:v>Aggregated from 1 city/municipality screening rows; overlapping catchments are not deduplicated.</x:v>
      </x:c>
      <x:c r="Q123" s="160" t="str">
        <x:v>Verified Census QuickFacts land area (2020 geography)</x:v>
      </x:c>
    </x:row>
    <x:row r="124">
      <x:c r="A124" s="28" t="n">
        <x:v>128</x:v>
      </x:c>
      <x:c r="B124" s="28" t="str">
        <x:v>Mercer County</x:v>
      </x:c>
      <x:c r="C124" s="28" t="str">
        <x:v>NJ</x:v>
      </x:c>
      <x:c r="D124" s="142" t="str">
        <x:v>34021</x:v>
      </x:c>
      <x:c r="E124" s="133" t="n">
        <x:f>SUMIFS('City Density Ranking'!$E$6:$E$974,'City Density Ranking'!$O$6:$O$974,B124,'City Density Ranking'!$C$6:$C$974,C124)</x:f>
        <x:v>0</x:v>
      </x:c>
      <x:c r="F124" s="133" t="n">
        <x:f>SUMIFS('City Density Ranking'!$F$6:$F$974,'City Density Ranking'!$O$6:$O$974,B124,'City Density Ranking'!$C$6:$C$974,C124)</x:f>
        <x:v>0</x:v>
      </x:c>
      <x:c r="G124" s="133" t="n">
        <x:f>SUMIFS('City Density Ranking'!$G$6:$G$974,'City Density Ranking'!$O$6:$O$974,B124,'City Density Ranking'!$C$6:$C$974,C124)</x:f>
        <x:v>0</x:v>
      </x:c>
      <x:c r="H124" s="133" t="n">
        <x:f>SUMIFS('City Density Ranking'!$H$6:$H$974,'City Density Ranking'!$O$6:$O$974,B124,'City Density Ranking'!$C$6:$C$974,C124)</x:f>
        <x:v>0</x:v>
      </x:c>
      <x:c r="I124" s="133" t="n">
        <x:f>SUMIFS('City Density Ranking'!$I$6:$I$974,'City Density Ranking'!$O$6:$O$974,B124,'City Density Ranking'!$C$6:$C$974,C124)</x:f>
        <x:v>0</x:v>
      </x:c>
      <x:c r="J124" s="133" t="n">
        <x:f>SUMIFS('City Density Ranking'!$J$6:$J$974,'City Density Ranking'!$O$6:$O$974,B124,'City Density Ranking'!$C$6:$C$974,C124)</x:f>
        <x:v>1</x:v>
      </x:c>
      <x:c r="K124" s="133" t="n">
        <x:f>SUM(E124:J124)</x:f>
        <x:v>1</x:v>
      </x:c>
      <x:c r="L124" s="204" t="n">
        <x:v>224.44</x:v>
      </x:c>
      <x:c r="M124" s="205" t="n">
        <x:f>IFERROR(K124/L124,0)</x:f>
        <x:v>0.004455533772945999</x:v>
      </x:c>
      <x:c r="N124" s="160" t="str">
        <x:v>Trenton</x:v>
      </x:c>
      <x:c r="O124" s="160" t="str">
        <x:v>Includes proxy city rows</x:v>
      </x:c>
      <x:c r="P124" s="160" t="str">
        <x:v>Aggregated from 1 city/municipality screening rows; overlapping catchments are not deduplicated.</x:v>
      </x:c>
      <x:c r="Q124" s="160" t="str">
        <x:v>Verified Census QuickFacts land area (2020 geography)</x:v>
      </x:c>
    </x:row>
    <x:row r="125">
      <x:c r="A125" s="28" t="n">
        <x:v>129</x:v>
      </x:c>
      <x:c r="B125" s="28" t="str">
        <x:v>Butler County</x:v>
      </x:c>
      <x:c r="C125" s="28" t="str">
        <x:v>OH</x:v>
      </x:c>
      <x:c r="D125" s="142" t="str">
        <x:v>39017</x:v>
      </x:c>
      <x:c r="E125" s="133" t="n">
        <x:f>SUMIFS('City Density Ranking'!$E$6:$E$974,'City Density Ranking'!$O$6:$O$974,B125,'City Density Ranking'!$C$6:$C$974,C125)</x:f>
        <x:v>0</x:v>
      </x:c>
      <x:c r="F125" s="133" t="n">
        <x:f>SUMIFS('City Density Ranking'!$F$6:$F$974,'City Density Ranking'!$O$6:$O$974,B125,'City Density Ranking'!$C$6:$C$974,C125)</x:f>
        <x:v>0</x:v>
      </x:c>
      <x:c r="G125" s="133" t="n">
        <x:f>SUMIFS('City Density Ranking'!$G$6:$G$974,'City Density Ranking'!$O$6:$O$974,B125,'City Density Ranking'!$C$6:$C$974,C125)</x:f>
        <x:v>0</x:v>
      </x:c>
      <x:c r="H125" s="133" t="n">
        <x:f>SUMIFS('City Density Ranking'!$H$6:$H$974,'City Density Ranking'!$O$6:$O$974,B125,'City Density Ranking'!$C$6:$C$974,C125)</x:f>
        <x:v>0</x:v>
      </x:c>
      <x:c r="I125" s="133" t="n">
        <x:f>SUMIFS('City Density Ranking'!$I$6:$I$974,'City Density Ranking'!$O$6:$O$974,B125,'City Density Ranking'!$C$6:$C$974,C125)</x:f>
        <x:v>0</x:v>
      </x:c>
      <x:c r="J125" s="133" t="n">
        <x:f>SUMIFS('City Density Ranking'!$J$6:$J$974,'City Density Ranking'!$O$6:$O$974,B125,'City Density Ranking'!$C$6:$C$974,C125)</x:f>
        <x:v>2</x:v>
      </x:c>
      <x:c r="K125" s="133" t="n">
        <x:f>SUM(E125:J125)</x:f>
        <x:v>2</x:v>
      </x:c>
      <x:c r="L125" s="204" t="n">
        <x:v>466.52</x:v>
      </x:c>
      <x:c r="M125" s="205" t="n">
        <x:f>IFERROR(K125/L125,0)</x:f>
        <x:v>0.004287061647946498</x:v>
      </x:c>
      <x:c r="N125" s="160" t="str">
        <x:v>Hamilton, Middletown</x:v>
      </x:c>
      <x:c r="O125" s="160" t="str">
        <x:v>Includes proxy city rows</x:v>
      </x:c>
      <x:c r="P125" s="160" t="str">
        <x:v>Aggregated from 2 city/municipality screening rows; overlapping catchments are not deduplicated.</x:v>
      </x:c>
      <x:c r="Q125" s="160" t="str">
        <x:v>Verified Census QuickFacts land area (2020 geography)</x:v>
      </x:c>
    </x:row>
    <x:row r="126">
      <x:c r="A126" s="28" t="n">
        <x:v>130</x:v>
      </x:c>
      <x:c r="B126" s="28" t="str">
        <x:v>Vanderburgh County</x:v>
      </x:c>
      <x:c r="C126" s="28" t="str">
        <x:v>IN</x:v>
      </x:c>
      <x:c r="D126" s="142" t="str">
        <x:v>18163</x:v>
      </x:c>
      <x:c r="E126" s="133" t="n">
        <x:f>SUMIFS('City Density Ranking'!$E$6:$E$974,'City Density Ranking'!$O$6:$O$974,B126,'City Density Ranking'!$C$6:$C$974,C126)</x:f>
        <x:v>0</x:v>
      </x:c>
      <x:c r="F126" s="133" t="n">
        <x:f>SUMIFS('City Density Ranking'!$F$6:$F$974,'City Density Ranking'!$O$6:$O$974,B126,'City Density Ranking'!$C$6:$C$974,C126)</x:f>
        <x:v>0</x:v>
      </x:c>
      <x:c r="G126" s="133" t="n">
        <x:f>SUMIFS('City Density Ranking'!$G$6:$G$974,'City Density Ranking'!$O$6:$O$974,B126,'City Density Ranking'!$C$6:$C$974,C126)</x:f>
        <x:v>0</x:v>
      </x:c>
      <x:c r="H126" s="133" t="n">
        <x:f>SUMIFS('City Density Ranking'!$H$6:$H$974,'City Density Ranking'!$O$6:$O$974,B126,'City Density Ranking'!$C$6:$C$974,C126)</x:f>
        <x:v>0</x:v>
      </x:c>
      <x:c r="I126" s="133" t="n">
        <x:f>SUMIFS('City Density Ranking'!$I$6:$I$974,'City Density Ranking'!$O$6:$O$974,B126,'City Density Ranking'!$C$6:$C$974,C126)</x:f>
        <x:v>0</x:v>
      </x:c>
      <x:c r="J126" s="133" t="n">
        <x:f>SUMIFS('City Density Ranking'!$J$6:$J$974,'City Density Ranking'!$O$6:$O$974,B126,'City Density Ranking'!$C$6:$C$974,C126)</x:f>
        <x:v>1</x:v>
      </x:c>
      <x:c r="K126" s="133" t="n">
        <x:f>SUM(E126:J126)</x:f>
        <x:v>1</x:v>
      </x:c>
      <x:c r="L126" s="204" t="n">
        <x:v>233.3575479455588</x:v>
      </x:c>
      <x:c r="M126" s="205" t="n">
        <x:f>IFERROR(K126/L126,0)</x:f>
        <x:v>0.004285269573681394</x:v>
      </x:c>
      <x:c r="N126" s="160" t="str">
        <x:v>Evansville</x:v>
      </x:c>
      <x:c r="O126" s="160" t="str">
        <x:v>Includes proxy city rows</x:v>
      </x:c>
      <x:c r="P126" s="160" t="str">
        <x:v>Aggregated from 1 city/municipality screening rows; overlapping catchments are not deduplicated.</x:v>
      </x:c>
      <x:c r="Q126" s="160" t="str">
        <x:v>Estimated county land area: geodesic polygon × 0.990 land/total calibration</x:v>
      </x:c>
    </x:row>
    <x:row r="127">
      <x:c r="A127" s="28" t="n">
        <x:v>131</x:v>
      </x:c>
      <x:c r="B127" s="28" t="str">
        <x:v>Macomb County</x:v>
      </x:c>
      <x:c r="C127" s="28" t="str">
        <x:v>MI</x:v>
      </x:c>
      <x:c r="D127" s="142" t="str">
        <x:v>26099</x:v>
      </x:c>
      <x:c r="E127" s="133" t="n">
        <x:f>SUMIFS('City Density Ranking'!$E$6:$E$974,'City Density Ranking'!$O$6:$O$974,B127,'City Density Ranking'!$C$6:$C$974,C127)</x:f>
        <x:v>0</x:v>
      </x:c>
      <x:c r="F127" s="133" t="n">
        <x:f>SUMIFS('City Density Ranking'!$F$6:$F$974,'City Density Ranking'!$O$6:$O$974,B127,'City Density Ranking'!$C$6:$C$974,C127)</x:f>
        <x:v>0</x:v>
      </x:c>
      <x:c r="G127" s="133" t="n">
        <x:f>SUMIFS('City Density Ranking'!$G$6:$G$974,'City Density Ranking'!$O$6:$O$974,B127,'City Density Ranking'!$C$6:$C$974,C127)</x:f>
        <x:v>0</x:v>
      </x:c>
      <x:c r="H127" s="133" t="n">
        <x:f>SUMIFS('City Density Ranking'!$H$6:$H$974,'City Density Ranking'!$O$6:$O$974,B127,'City Density Ranking'!$C$6:$C$974,C127)</x:f>
        <x:v>0</x:v>
      </x:c>
      <x:c r="I127" s="133" t="n">
        <x:f>SUMIFS('City Density Ranking'!$I$6:$I$974,'City Density Ranking'!$O$6:$O$974,B127,'City Density Ranking'!$C$6:$C$974,C127)</x:f>
        <x:v>0</x:v>
      </x:c>
      <x:c r="J127" s="133" t="n">
        <x:f>SUMIFS('City Density Ranking'!$J$6:$J$974,'City Density Ranking'!$O$6:$O$974,B127,'City Density Ranking'!$C$6:$C$974,C127)</x:f>
        <x:v>2</x:v>
      </x:c>
      <x:c r="K127" s="133" t="n">
        <x:f>SUM(E127:J127)</x:f>
        <x:v>2</x:v>
      </x:c>
      <x:c r="L127" s="204" t="n">
        <x:v>466.7592311209036</x:v>
      </x:c>
      <x:c r="M127" s="205" t="n">
        <x:f>IFERROR(K127/L127,0)</x:f>
        <x:v>0.004284864372574014</x:v>
      </x:c>
      <x:c r="N127" s="160" t="str">
        <x:v>Sterling Heights, Warren</x:v>
      </x:c>
      <x:c r="O127" s="160" t="str">
        <x:v>Includes proxy city rows</x:v>
      </x:c>
      <x:c r="P127" s="160" t="str">
        <x:v>Aggregated from 2 city/municipality screening rows; overlapping catchments are not deduplicated.</x:v>
      </x:c>
      <x:c r="Q127" s="160" t="str">
        <x:v>Estimated county land area: geodesic polygon × 0.964 land/total calibration</x:v>
      </x:c>
    </x:row>
    <x:row r="128">
      <x:c r="A128" s="28" t="n">
        <x:v>132</x:v>
      </x:c>
      <x:c r="B128" s="28" t="str">
        <x:v>Androscoggin County</x:v>
      </x:c>
      <x:c r="C128" s="28" t="str">
        <x:v>ME</x:v>
      </x:c>
      <x:c r="D128" s="142" t="str">
        <x:v>23001</x:v>
      </x:c>
      <x:c r="E128" s="133" t="n">
        <x:f>SUMIFS('City Density Ranking'!$E$6:$E$974,'City Density Ranking'!$O$6:$O$974,B128,'City Density Ranking'!$C$6:$C$974,C128)</x:f>
        <x:v>0</x:v>
      </x:c>
      <x:c r="F128" s="133" t="n">
        <x:f>SUMIFS('City Density Ranking'!$F$6:$F$974,'City Density Ranking'!$O$6:$O$974,B128,'City Density Ranking'!$C$6:$C$974,C128)</x:f>
        <x:v>0</x:v>
      </x:c>
      <x:c r="G128" s="133" t="n">
        <x:f>SUMIFS('City Density Ranking'!$G$6:$G$974,'City Density Ranking'!$O$6:$O$974,B128,'City Density Ranking'!$C$6:$C$974,C128)</x:f>
        <x:v>0</x:v>
      </x:c>
      <x:c r="H128" s="133" t="n">
        <x:f>SUMIFS('City Density Ranking'!$H$6:$H$974,'City Density Ranking'!$O$6:$O$974,B128,'City Density Ranking'!$C$6:$C$974,C128)</x:f>
        <x:v>0</x:v>
      </x:c>
      <x:c r="I128" s="133" t="n">
        <x:f>SUMIFS('City Density Ranking'!$I$6:$I$974,'City Density Ranking'!$O$6:$O$974,B128,'City Density Ranking'!$C$6:$C$974,C128)</x:f>
        <x:v>0</x:v>
      </x:c>
      <x:c r="J128" s="133" t="n">
        <x:f>SUMIFS('City Density Ranking'!$J$6:$J$974,'City Density Ranking'!$O$6:$O$974,B128,'City Density Ranking'!$C$6:$C$974,C128)</x:f>
        <x:v>2</x:v>
      </x:c>
      <x:c r="K128" s="133" t="n">
        <x:f>SUM(E128:J128)</x:f>
        <x:v>2</x:v>
      </x:c>
      <x:c r="L128" s="204" t="n">
        <x:v>467.956</x:v>
      </x:c>
      <x:c r="M128" s="205" t="n">
        <x:f>IFERROR(K128/L128,0)</x:f>
        <x:v>0.004273906093735309</x:v>
      </x:c>
      <x:c r="N128" s="160" t="str">
        <x:v>Auburn City, Lewiston City</x:v>
      </x:c>
      <x:c r="O128" s="160" t="str">
        <x:v>Includes proxy city rows</x:v>
      </x:c>
      <x:c r="P128" s="160" t="str">
        <x:v>Aggregated from 2 city/municipality screening rows; overlapping catchments are not deduplicated.</x:v>
      </x:c>
      <x:c r="Q128" s="160" t="str">
        <x:v>U.S. Census Bureau 2025 Gazetteer — ALAND_SQMI</x:v>
      </x:c>
    </x:row>
    <x:row r="129">
      <x:c r="A129" s="28" t="n">
        <x:v>133</x:v>
      </x:c>
      <x:c r="B129" s="28" t="str">
        <x:v>Johnson County</x:v>
      </x:c>
      <x:c r="C129" s="28" t="str">
        <x:v>KS</x:v>
      </x:c>
      <x:c r="D129" s="142" t="str">
        <x:v>20091</x:v>
      </x:c>
      <x:c r="E129" s="133" t="n">
        <x:f>SUMIFS('City Density Ranking'!$E$6:$E$974,'City Density Ranking'!$O$6:$O$974,B129,'City Density Ranking'!$C$6:$C$974,C129)</x:f>
        <x:v>0</x:v>
      </x:c>
      <x:c r="F129" s="133" t="n">
        <x:f>SUMIFS('City Density Ranking'!$F$6:$F$974,'City Density Ranking'!$O$6:$O$974,B129,'City Density Ranking'!$C$6:$C$974,C129)</x:f>
        <x:v>0</x:v>
      </x:c>
      <x:c r="G129" s="133" t="n">
        <x:f>SUMIFS('City Density Ranking'!$G$6:$G$974,'City Density Ranking'!$O$6:$O$974,B129,'City Density Ranking'!$C$6:$C$974,C129)</x:f>
        <x:v>0</x:v>
      </x:c>
      <x:c r="H129" s="133" t="n">
        <x:f>SUMIFS('City Density Ranking'!$H$6:$H$974,'City Density Ranking'!$O$6:$O$974,B129,'City Density Ranking'!$C$6:$C$974,C129)</x:f>
        <x:v>0</x:v>
      </x:c>
      <x:c r="I129" s="133" t="n">
        <x:f>SUMIFS('City Density Ranking'!$I$6:$I$974,'City Density Ranking'!$O$6:$O$974,B129,'City Density Ranking'!$C$6:$C$974,C129)</x:f>
        <x:v>0</x:v>
      </x:c>
      <x:c r="J129" s="133" t="n">
        <x:f>SUMIFS('City Density Ranking'!$J$6:$J$974,'City Density Ranking'!$O$6:$O$974,B129,'City Density Ranking'!$C$6:$C$974,C129)</x:f>
        <x:v>2</x:v>
      </x:c>
      <x:c r="K129" s="133" t="n">
        <x:f>SUM(E129:J129)</x:f>
        <x:v>2</x:v>
      </x:c>
      <x:c r="L129" s="204" t="n">
        <x:v>474.0270315443461</x:v>
      </x:c>
      <x:c r="M129" s="205" t="n">
        <x:f>IFERROR(K129/L129,0)</x:f>
        <x:v>0.00421916866952533</x:v>
      </x:c>
      <x:c r="N129" s="160" t="str">
        <x:v>Olathe, Overland Park</x:v>
      </x:c>
      <x:c r="O129" s="160" t="str">
        <x:v>Includes proxy city rows</x:v>
      </x:c>
      <x:c r="P129" s="160" t="str">
        <x:v>Aggregated from 2 city/municipality screening rows; overlapping catchments are not deduplicated.</x:v>
      </x:c>
      <x:c r="Q129" s="160" t="str">
        <x:v>Estimated county land area: geodesic polygon × 0.988 land/total calibration</x:v>
      </x:c>
    </x:row>
    <x:row r="130">
      <x:c r="A130" s="28" t="n">
        <x:v>134</x:v>
      </x:c>
      <x:c r="B130" s="28" t="str">
        <x:v>St. Clair County</x:v>
      </x:c>
      <x:c r="C130" s="28" t="str">
        <x:v>MI</x:v>
      </x:c>
      <x:c r="D130" s="142" t="str">
        <x:v>26147</x:v>
      </x:c>
      <x:c r="E130" s="133" t="n">
        <x:f>SUMIFS('City Density Ranking'!$E$6:$E$974,'City Density Ranking'!$O$6:$O$974,B130,'City Density Ranking'!$C$6:$C$974,C130)</x:f>
        <x:v>0</x:v>
      </x:c>
      <x:c r="F130" s="133" t="n">
        <x:f>SUMIFS('City Density Ranking'!$F$6:$F$974,'City Density Ranking'!$O$6:$O$974,B130,'City Density Ranking'!$C$6:$C$974,C130)</x:f>
        <x:v>0</x:v>
      </x:c>
      <x:c r="G130" s="133" t="n">
        <x:f>SUMIFS('City Density Ranking'!$G$6:$G$974,'City Density Ranking'!$O$6:$O$974,B130,'City Density Ranking'!$C$6:$C$974,C130)</x:f>
        <x:v>0</x:v>
      </x:c>
      <x:c r="H130" s="133" t="n">
        <x:f>SUMIFS('City Density Ranking'!$H$6:$H$974,'City Density Ranking'!$O$6:$O$974,B130,'City Density Ranking'!$C$6:$C$974,C130)</x:f>
        <x:v>0</x:v>
      </x:c>
      <x:c r="I130" s="133" t="n">
        <x:f>SUMIFS('City Density Ranking'!$I$6:$I$974,'City Density Ranking'!$O$6:$O$974,B130,'City Density Ranking'!$C$6:$C$974,C130)</x:f>
        <x:v>0</x:v>
      </x:c>
      <x:c r="J130" s="133" t="n">
        <x:f>SUMIFS('City Density Ranking'!$J$6:$J$974,'City Density Ranking'!$O$6:$O$974,B130,'City Density Ranking'!$C$6:$C$974,C130)</x:f>
        <x:v>3</x:v>
      </x:c>
      <x:c r="K130" s="133" t="n">
        <x:f>SUM(E130:J130)</x:f>
        <x:v>3</x:v>
      </x:c>
      <x:c r="L130" s="204" t="n">
        <x:v>721.522</x:v>
      </x:c>
      <x:c r="M130" s="205" t="n">
        <x:f>IFERROR(K130/L130,0)</x:f>
        <x:v>0.00415787737588043</x:v>
      </x:c>
      <x:c r="N130" s="160" t="str">
        <x:v>Fort Gratiot Charter Township, Port Huron Charter Township, Port Huron City</x:v>
      </x:c>
      <x:c r="O130" s="160" t="str">
        <x:v>Includes proxy city rows</x:v>
      </x:c>
      <x:c r="P130" s="160" t="str">
        <x:v>Aggregated from 3 city/municipality screening rows; overlapping catchments are not deduplicated.</x:v>
      </x:c>
      <x:c r="Q130" s="160" t="str">
        <x:v>U.S. Census Bureau 2025 Gazetteer — ALAND_SQMI</x:v>
      </x:c>
    </x:row>
    <x:row r="131">
      <x:c r="A131" s="28" t="n">
        <x:v>135</x:v>
      </x:c>
      <x:c r="B131" s="28" t="str">
        <x:v>Milwaukee County</x:v>
      </x:c>
      <x:c r="C131" s="28" t="str">
        <x:v>WI</x:v>
      </x:c>
      <x:c r="D131" s="142" t="str">
        <x:v>55079</x:v>
      </x:c>
      <x:c r="E131" s="133" t="n">
        <x:f>SUMIFS('City Density Ranking'!$E$6:$E$974,'City Density Ranking'!$O$6:$O$974,B131,'City Density Ranking'!$C$6:$C$974,C131)</x:f>
        <x:v>1</x:v>
      </x:c>
      <x:c r="F131" s="133" t="n">
        <x:f>SUMIFS('City Density Ranking'!$F$6:$F$974,'City Density Ranking'!$O$6:$O$974,B131,'City Density Ranking'!$C$6:$C$974,C131)</x:f>
        <x:v>0</x:v>
      </x:c>
      <x:c r="G131" s="133" t="n">
        <x:f>SUMIFS('City Density Ranking'!$G$6:$G$974,'City Density Ranking'!$O$6:$O$974,B131,'City Density Ranking'!$C$6:$C$974,C131)</x:f>
        <x:v>0</x:v>
      </x:c>
      <x:c r="H131" s="133" t="n">
        <x:f>SUMIFS('City Density Ranking'!$H$6:$H$974,'City Density Ranking'!$O$6:$O$974,B131,'City Density Ranking'!$C$6:$C$974,C131)</x:f>
        <x:v>0</x:v>
      </x:c>
      <x:c r="I131" s="133" t="n">
        <x:f>SUMIFS('City Density Ranking'!$I$6:$I$974,'City Density Ranking'!$O$6:$O$974,B131,'City Density Ranking'!$C$6:$C$974,C131)</x:f>
        <x:v>0</x:v>
      </x:c>
      <x:c r="J131" s="133" t="n">
        <x:f>SUMIFS('City Density Ranking'!$J$6:$J$974,'City Density Ranking'!$O$6:$O$974,B131,'City Density Ranking'!$C$6:$C$974,C131)</x:f>
        <x:v>0</x:v>
      </x:c>
      <x:c r="K131" s="133" t="n">
        <x:f>SUM(E131:J131)</x:f>
        <x:v>1</x:v>
      </x:c>
      <x:c r="L131" s="204" t="n">
        <x:v>241.482</x:v>
      </x:c>
      <x:c r="M131" s="205" t="n">
        <x:f>IFERROR(K131/L131,0)</x:f>
        <x:v>0.0041410954025558845</x:v>
      </x:c>
      <x:c r="N131" s="160" t="str">
        <x:v>Milwaukee</x:v>
      </x:c>
      <x:c r="O131" s="160" t="str">
        <x:v>Lower-bound city counts only</x:v>
      </x:c>
      <x:c r="P131" s="160" t="str">
        <x:v>Aggregated from 1 city/municipality screening rows; overlapping catchments are not deduplicated.</x:v>
      </x:c>
      <x:c r="Q131" s="160" t="str">
        <x:v>Verified Census land area (retained)</x:v>
      </x:c>
    </x:row>
    <x:row r="132">
      <x:c r="A132" s="28" t="n">
        <x:v>136</x:v>
      </x:c>
      <x:c r="B132" s="28" t="str">
        <x:v>Lorain County</x:v>
      </x:c>
      <x:c r="C132" s="28" t="str">
        <x:v>OH</x:v>
      </x:c>
      <x:c r="D132" s="142" t="str">
        <x:v>39093</x:v>
      </x:c>
      <x:c r="E132" s="133" t="n">
        <x:f>SUMIFS('City Density Ranking'!$E$6:$E$974,'City Density Ranking'!$O$6:$O$974,B132,'City Density Ranking'!$C$6:$C$974,C132)</x:f>
        <x:v>0</x:v>
      </x:c>
      <x:c r="F132" s="133" t="n">
        <x:f>SUMIFS('City Density Ranking'!$F$6:$F$974,'City Density Ranking'!$O$6:$O$974,B132,'City Density Ranking'!$C$6:$C$974,C132)</x:f>
        <x:v>0</x:v>
      </x:c>
      <x:c r="G132" s="133" t="n">
        <x:f>SUMIFS('City Density Ranking'!$G$6:$G$974,'City Density Ranking'!$O$6:$O$974,B132,'City Density Ranking'!$C$6:$C$974,C132)</x:f>
        <x:v>0</x:v>
      </x:c>
      <x:c r="H132" s="133" t="n">
        <x:f>SUMIFS('City Density Ranking'!$H$6:$H$974,'City Density Ranking'!$O$6:$O$974,B132,'City Density Ranking'!$C$6:$C$974,C132)</x:f>
        <x:v>0</x:v>
      </x:c>
      <x:c r="I132" s="133" t="n">
        <x:f>SUMIFS('City Density Ranking'!$I$6:$I$974,'City Density Ranking'!$O$6:$O$974,B132,'City Density Ranking'!$C$6:$C$974,C132)</x:f>
        <x:v>0</x:v>
      </x:c>
      <x:c r="J132" s="133" t="n">
        <x:f>SUMIFS('City Density Ranking'!$J$6:$J$974,'City Density Ranking'!$O$6:$O$974,B132,'City Density Ranking'!$C$6:$C$974,C132)</x:f>
        <x:v>2</x:v>
      </x:c>
      <x:c r="K132" s="133" t="n">
        <x:f>SUM(E132:J132)</x:f>
        <x:v>2</x:v>
      </x:c>
      <x:c r="L132" s="204" t="n">
        <x:v>490.54</x:v>
      </x:c>
      <x:c r="M132" s="205" t="n">
        <x:f>IFERROR(K132/L132,0)</x:f>
        <x:v>0.004077139478941574</x:v>
      </x:c>
      <x:c r="N132" s="160" t="str">
        <x:v>Elyria, Lorain</x:v>
      </x:c>
      <x:c r="O132" s="160" t="str">
        <x:v>Includes proxy city rows</x:v>
      </x:c>
      <x:c r="P132" s="160" t="str">
        <x:v>Aggregated from 2 city/municipality screening rows; overlapping catchments are not deduplicated.</x:v>
      </x:c>
      <x:c r="Q132" s="160" t="str">
        <x:v>Verified Census QuickFacts land area (2020 geography)</x:v>
      </x:c>
    </x:row>
    <x:row r="133">
      <x:c r="A133" s="28" t="n">
        <x:v>137</x:v>
      </x:c>
      <x:c r="B133" s="28" t="str">
        <x:v>Montgomery County</x:v>
      </x:c>
      <x:c r="C133" s="28" t="str">
        <x:v>MD</x:v>
      </x:c>
      <x:c r="D133" s="142" t="str">
        <x:v>24031</x:v>
      </x:c>
      <x:c r="E133" s="133" t="n">
        <x:f>SUMIFS('City Density Ranking'!$E$6:$E$974,'City Density Ranking'!$O$6:$O$974,B133,'City Density Ranking'!$C$6:$C$974,C133)</x:f>
        <x:v>2</x:v>
      </x:c>
      <x:c r="F133" s="133" t="n">
        <x:f>SUMIFS('City Density Ranking'!$F$6:$F$974,'City Density Ranking'!$O$6:$O$974,B133,'City Density Ranking'!$C$6:$C$974,C133)</x:f>
        <x:v>0</x:v>
      </x:c>
      <x:c r="G133" s="133" t="n">
        <x:f>SUMIFS('City Density Ranking'!$G$6:$G$974,'City Density Ranking'!$O$6:$O$974,B133,'City Density Ranking'!$C$6:$C$974,C133)</x:f>
        <x:v>0</x:v>
      </x:c>
      <x:c r="H133" s="133" t="n">
        <x:f>SUMIFS('City Density Ranking'!$H$6:$H$974,'City Density Ranking'!$O$6:$O$974,B133,'City Density Ranking'!$C$6:$C$974,C133)</x:f>
        <x:v>0</x:v>
      </x:c>
      <x:c r="I133" s="133" t="n">
        <x:f>SUMIFS('City Density Ranking'!$I$6:$I$974,'City Density Ranking'!$O$6:$O$974,B133,'City Density Ranking'!$C$6:$C$974,C133)</x:f>
        <x:v>0</x:v>
      </x:c>
      <x:c r="J133" s="133" t="n">
        <x:f>SUMIFS('City Density Ranking'!$J$6:$J$974,'City Density Ranking'!$O$6:$O$974,B133,'City Density Ranking'!$C$6:$C$974,C133)</x:f>
        <x:v>0</x:v>
      </x:c>
      <x:c r="K133" s="133" t="n">
        <x:f>SUM(E133:J133)</x:f>
        <x:v>2</x:v>
      </x:c>
      <x:c r="L133" s="204" t="n">
        <x:v>493.11</x:v>
      </x:c>
      <x:c r="M133" s="205" t="n">
        <x:f>IFERROR(K133/L133,0)</x:f>
        <x:v>0.004055890166494291</x:v>
      </x:c>
      <x:c r="N133" s="160" t="str">
        <x:v>Gaithersburg, Rockville</x:v>
      </x:c>
      <x:c r="O133" s="160" t="str">
        <x:v>Lower-bound city counts only</x:v>
      </x:c>
      <x:c r="P133" s="160" t="str">
        <x:v>Aggregated from 2 city/municipality screening rows; overlapping catchments are not deduplicated.</x:v>
      </x:c>
      <x:c r="Q133" s="160" t="str">
        <x:v>Verified Census QuickFacts land area (2020)</x:v>
      </x:c>
    </x:row>
    <x:row r="134">
      <x:c r="A134" s="28" t="n">
        <x:v>138</x:v>
      </x:c>
      <x:c r="B134" s="28" t="str">
        <x:v>Contra Costa County</x:v>
      </x:c>
      <x:c r="C134" s="28" t="str">
        <x:v>CA</x:v>
      </x:c>
      <x:c r="D134" s="142" t="str">
        <x:v>06013</x:v>
      </x:c>
      <x:c r="E134" s="133" t="n">
        <x:f>SUMIFS('City Density Ranking'!$E$6:$E$974,'City Density Ranking'!$O$6:$O$974,B134,'City Density Ranking'!$C$6:$C$974,C134)</x:f>
        <x:v>0</x:v>
      </x:c>
      <x:c r="F134" s="133" t="n">
        <x:f>SUMIFS('City Density Ranking'!$F$6:$F$974,'City Density Ranking'!$O$6:$O$974,B134,'City Density Ranking'!$C$6:$C$974,C134)</x:f>
        <x:v>0</x:v>
      </x:c>
      <x:c r="G134" s="133" t="n">
        <x:f>SUMIFS('City Density Ranking'!$G$6:$G$974,'City Density Ranking'!$O$6:$O$974,B134,'City Density Ranking'!$C$6:$C$974,C134)</x:f>
        <x:v>0</x:v>
      </x:c>
      <x:c r="H134" s="133" t="n">
        <x:f>SUMIFS('City Density Ranking'!$H$6:$H$974,'City Density Ranking'!$O$6:$O$974,B134,'City Density Ranking'!$C$6:$C$974,C134)</x:f>
        <x:v>0</x:v>
      </x:c>
      <x:c r="I134" s="133" t="n">
        <x:f>SUMIFS('City Density Ranking'!$I$6:$I$974,'City Density Ranking'!$O$6:$O$974,B134,'City Density Ranking'!$C$6:$C$974,C134)</x:f>
        <x:v>0</x:v>
      </x:c>
      <x:c r="J134" s="133" t="n">
        <x:f>SUMIFS('City Density Ranking'!$J$6:$J$974,'City Density Ranking'!$O$6:$O$974,B134,'City Density Ranking'!$C$6:$C$974,C134)</x:f>
        <x:v>3</x:v>
      </x:c>
      <x:c r="K134" s="133" t="n">
        <x:f>SUM(E134:J134)</x:f>
        <x:v>3</x:v>
      </x:c>
      <x:c r="L134" s="204" t="n">
        <x:v>751.7828332812863</x:v>
      </x:c>
      <x:c r="M134" s="205" t="n">
        <x:f>IFERROR(K134/L134,0)</x:f>
        <x:v>0.003990514104859219</x:v>
      </x:c>
      <x:c r="N134" s="160" t="str">
        <x:v>Antioch, Concord, Richmond</x:v>
      </x:c>
      <x:c r="O134" s="160" t="str">
        <x:v>Includes proxy city rows</x:v>
      </x:c>
      <x:c r="P134" s="160" t="str">
        <x:v>Aggregated from 3 city/municipality screening rows; overlapping catchments are not deduplicated.</x:v>
      </x:c>
      <x:c r="Q134" s="160" t="str">
        <x:v>Estimated county land area: geodesic polygon × 0.989 land/total calibration</x:v>
      </x:c>
    </x:row>
    <x:row r="135">
      <x:c r="A135" s="28" t="n">
        <x:v>139</x:v>
      </x:c>
      <x:c r="B135" s="28" t="str">
        <x:v>Bibb County</x:v>
      </x:c>
      <x:c r="C135" s="28" t="str">
        <x:v>GA</x:v>
      </x:c>
      <x:c r="D135" s="142" t="str">
        <x:v>13021</x:v>
      </x:c>
      <x:c r="E135" s="133" t="n">
        <x:f>SUMIFS('City Density Ranking'!$E$6:$E$974,'City Density Ranking'!$O$6:$O$974,B135,'City Density Ranking'!$C$6:$C$974,C135)</x:f>
        <x:v>0</x:v>
      </x:c>
      <x:c r="F135" s="133" t="n">
        <x:f>SUMIFS('City Density Ranking'!$F$6:$F$974,'City Density Ranking'!$O$6:$O$974,B135,'City Density Ranking'!$C$6:$C$974,C135)</x:f>
        <x:v>0</x:v>
      </x:c>
      <x:c r="G135" s="133" t="n">
        <x:f>SUMIFS('City Density Ranking'!$G$6:$G$974,'City Density Ranking'!$O$6:$O$974,B135,'City Density Ranking'!$C$6:$C$974,C135)</x:f>
        <x:v>0</x:v>
      </x:c>
      <x:c r="H135" s="133" t="n">
        <x:f>SUMIFS('City Density Ranking'!$H$6:$H$974,'City Density Ranking'!$O$6:$O$974,B135,'City Density Ranking'!$C$6:$C$974,C135)</x:f>
        <x:v>0</x:v>
      </x:c>
      <x:c r="I135" s="133" t="n">
        <x:f>SUMIFS('City Density Ranking'!$I$6:$I$974,'City Density Ranking'!$O$6:$O$974,B135,'City Density Ranking'!$C$6:$C$974,C135)</x:f>
        <x:v>0</x:v>
      </x:c>
      <x:c r="J135" s="133" t="n">
        <x:f>SUMIFS('City Density Ranking'!$J$6:$J$974,'City Density Ranking'!$O$6:$O$974,B135,'City Density Ranking'!$C$6:$C$974,C135)</x:f>
        <x:v>1</x:v>
      </x:c>
      <x:c r="K135" s="133" t="n">
        <x:f>SUM(E135:J135)</x:f>
        <x:v>1</x:v>
      </x:c>
      <x:c r="L135" s="204" t="n">
        <x:v>251.7211670537274</x:v>
      </x:c>
      <x:c r="M135" s="205" t="n">
        <x:f>IFERROR(K135/L135,0)</x:f>
        <x:v>0.00397264962539507</x:v>
      </x:c>
      <x:c r="N135" s="160" t="str">
        <x:v>Macon</x:v>
      </x:c>
      <x:c r="O135" s="160" t="str">
        <x:v>Includes proxy city rows</x:v>
      </x:c>
      <x:c r="P135" s="160" t="str">
        <x:v>Aggregated from 1 city/municipality screening rows; overlapping catchments are not deduplicated.</x:v>
      </x:c>
      <x:c r="Q135" s="160" t="str">
        <x:v>Estimated county land area: geodesic polygon × 0.986 land/total calibration</x:v>
      </x:c>
    </x:row>
    <x:row r="136">
      <x:c r="A136" s="28" t="n">
        <x:v>140</x:v>
      </x:c>
      <x:c r="B136" s="28" t="str">
        <x:v>Kane County</x:v>
      </x:c>
      <x:c r="C136" s="28" t="str">
        <x:v>IL</x:v>
      </x:c>
      <x:c r="D136" s="142" t="str">
        <x:v>17089</x:v>
      </x:c>
      <x:c r="E136" s="133" t="n">
        <x:f>SUMIFS('City Density Ranking'!$E$6:$E$974,'City Density Ranking'!$O$6:$O$974,B136,'City Density Ranking'!$C$6:$C$974,C136)</x:f>
        <x:v>0</x:v>
      </x:c>
      <x:c r="F136" s="133" t="n">
        <x:f>SUMIFS('City Density Ranking'!$F$6:$F$974,'City Density Ranking'!$O$6:$O$974,B136,'City Density Ranking'!$C$6:$C$974,C136)</x:f>
        <x:v>0</x:v>
      </x:c>
      <x:c r="G136" s="133" t="n">
        <x:f>SUMIFS('City Density Ranking'!$G$6:$G$974,'City Density Ranking'!$O$6:$O$974,B136,'City Density Ranking'!$C$6:$C$974,C136)</x:f>
        <x:v>0</x:v>
      </x:c>
      <x:c r="H136" s="133" t="n">
        <x:f>SUMIFS('City Density Ranking'!$H$6:$H$974,'City Density Ranking'!$O$6:$O$974,B136,'City Density Ranking'!$C$6:$C$974,C136)</x:f>
        <x:v>0</x:v>
      </x:c>
      <x:c r="I136" s="133" t="n">
        <x:f>SUMIFS('City Density Ranking'!$I$6:$I$974,'City Density Ranking'!$O$6:$O$974,B136,'City Density Ranking'!$C$6:$C$974,C136)</x:f>
        <x:v>0</x:v>
      </x:c>
      <x:c r="J136" s="133" t="n">
        <x:f>SUMIFS('City Density Ranking'!$J$6:$J$974,'City Density Ranking'!$O$6:$O$974,B136,'City Density Ranking'!$C$6:$C$974,C136)</x:f>
        <x:v>2</x:v>
      </x:c>
      <x:c r="K136" s="133" t="n">
        <x:f>SUM(E136:J136)</x:f>
        <x:v>2</x:v>
      </x:c>
      <x:c r="L136" s="204" t="n">
        <x:v>517.5022144090772</x:v>
      </x:c>
      <x:c r="M136" s="205" t="n">
        <x:f>IFERROR(K136/L136,0)</x:f>
        <x:v>0.003864717762191124</x:v>
      </x:c>
      <x:c r="N136" s="160" t="str">
        <x:v>Aurora, Elgin</x:v>
      </x:c>
      <x:c r="O136" s="160" t="str">
        <x:v>Includes proxy city rows</x:v>
      </x:c>
      <x:c r="P136" s="160" t="str">
        <x:v>Aggregated from 2 city/municipality screening rows; overlapping catchments are not deduplicated.</x:v>
      </x:c>
      <x:c r="Q136" s="160" t="str">
        <x:v>Estimated county land area: geodesic polygon × 0.987 land/total calibration</x:v>
      </x:c>
    </x:row>
    <x:row r="137">
      <x:c r="A137" s="28" t="n">
        <x:v>141</x:v>
      </x:c>
      <x:c r="B137" s="28" t="str">
        <x:v>Salt Lake County</x:v>
      </x:c>
      <x:c r="C137" s="28" t="str">
        <x:v>UT</x:v>
      </x:c>
      <x:c r="D137" s="142" t="str">
        <x:v>49035</x:v>
      </x:c>
      <x:c r="E137" s="133" t="n">
        <x:f>SUMIFS('City Density Ranking'!$E$6:$E$974,'City Density Ranking'!$O$6:$O$974,B137,'City Density Ranking'!$C$6:$C$974,C137)</x:f>
        <x:v>0</x:v>
      </x:c>
      <x:c r="F137" s="133" t="n">
        <x:f>SUMIFS('City Density Ranking'!$F$6:$F$974,'City Density Ranking'!$O$6:$O$974,B137,'City Density Ranking'!$C$6:$C$974,C137)</x:f>
        <x:v>0</x:v>
      </x:c>
      <x:c r="G137" s="133" t="n">
        <x:f>SUMIFS('City Density Ranking'!$G$6:$G$974,'City Density Ranking'!$O$6:$O$974,B137,'City Density Ranking'!$C$6:$C$974,C137)</x:f>
        <x:v>0</x:v>
      </x:c>
      <x:c r="H137" s="133" t="n">
        <x:f>SUMIFS('City Density Ranking'!$H$6:$H$974,'City Density Ranking'!$O$6:$O$974,B137,'City Density Ranking'!$C$6:$C$974,C137)</x:f>
        <x:v>0</x:v>
      </x:c>
      <x:c r="I137" s="133" t="n">
        <x:f>SUMIFS('City Density Ranking'!$I$6:$I$974,'City Density Ranking'!$O$6:$O$974,B137,'City Density Ranking'!$C$6:$C$974,C137)</x:f>
        <x:v>0</x:v>
      </x:c>
      <x:c r="J137" s="133" t="n">
        <x:f>SUMIFS('City Density Ranking'!$J$6:$J$974,'City Density Ranking'!$O$6:$O$974,B137,'City Density Ranking'!$C$6:$C$974,C137)</x:f>
        <x:v>3</x:v>
      </x:c>
      <x:c r="K137" s="133" t="n">
        <x:f>SUM(E137:J137)</x:f>
        <x:v>3</x:v>
      </x:c>
      <x:c r="L137" s="204" t="n">
        <x:v>785.0365649042498</x:v>
      </x:c>
      <x:c r="M137" s="205" t="n">
        <x:f>IFERROR(K137/L137,0)</x:f>
        <x:v>0.0038214780484344796</x:v>
      </x:c>
      <x:c r="N137" s="160" t="str">
        <x:v>Salt Lake City, West Jordan, West Valley City</x:v>
      </x:c>
      <x:c r="O137" s="160" t="str">
        <x:v>Includes proxy city rows</x:v>
      </x:c>
      <x:c r="P137" s="160" t="str">
        <x:v>Aggregated from 3 city/municipality screening rows; overlapping catchments are not deduplicated.</x:v>
      </x:c>
      <x:c r="Q137" s="160" t="str">
        <x:v>Estimated county land area: geodesic polygon × 0.972 land/total calibration</x:v>
      </x:c>
    </x:row>
    <x:row r="138">
      <x:c r="A138" s="28" t="n">
        <x:v>142</x:v>
      </x:c>
      <x:c r="B138" s="28" t="str">
        <x:v>Hennepin County</x:v>
      </x:c>
      <x:c r="C138" s="28" t="str">
        <x:v>MN</x:v>
      </x:c>
      <x:c r="D138" s="142" t="str">
        <x:v>27053</x:v>
      </x:c>
      <x:c r="E138" s="133" t="n">
        <x:f>SUMIFS('City Density Ranking'!$E$6:$E$974,'City Density Ranking'!$O$6:$O$974,B138,'City Density Ranking'!$C$6:$C$974,C138)</x:f>
        <x:v>2</x:v>
      </x:c>
      <x:c r="F138" s="133" t="n">
        <x:f>SUMIFS('City Density Ranking'!$F$6:$F$974,'City Density Ranking'!$O$6:$O$974,B138,'City Density Ranking'!$C$6:$C$974,C138)</x:f>
        <x:v>0</x:v>
      </x:c>
      <x:c r="G138" s="133" t="n">
        <x:f>SUMIFS('City Density Ranking'!$G$6:$G$974,'City Density Ranking'!$O$6:$O$974,B138,'City Density Ranking'!$C$6:$C$974,C138)</x:f>
        <x:v>0</x:v>
      </x:c>
      <x:c r="H138" s="133" t="n">
        <x:f>SUMIFS('City Density Ranking'!$H$6:$H$974,'City Density Ranking'!$O$6:$O$974,B138,'City Density Ranking'!$C$6:$C$974,C138)</x:f>
        <x:v>0</x:v>
      </x:c>
      <x:c r="I138" s="133" t="n">
        <x:f>SUMIFS('City Density Ranking'!$I$6:$I$974,'City Density Ranking'!$O$6:$O$974,B138,'City Density Ranking'!$C$6:$C$974,C138)</x:f>
        <x:v>0</x:v>
      </x:c>
      <x:c r="J138" s="133" t="n">
        <x:f>SUMIFS('City Density Ranking'!$J$6:$J$974,'City Density Ranking'!$O$6:$O$974,B138,'City Density Ranking'!$C$6:$C$974,C138)</x:f>
        <x:v>0</x:v>
      </x:c>
      <x:c r="K138" s="133" t="n">
        <x:f>SUM(E138:J138)</x:f>
        <x:v>2</x:v>
      </x:c>
      <x:c r="L138" s="204" t="n">
        <x:v>554.037</x:v>
      </x:c>
      <x:c r="M138" s="205" t="n">
        <x:f>IFERROR(K138/L138,0)</x:f>
        <x:v>0.0036098672110346417</x:v>
      </x:c>
      <x:c r="N138" s="160" t="str">
        <x:v>Minneapolis</x:v>
      </x:c>
      <x:c r="O138" s="160" t="str">
        <x:v>Lower-bound city counts only</x:v>
      </x:c>
      <x:c r="P138" s="160" t="str">
        <x:v>Aggregated from 1 city/municipality screening rows; overlapping catchments are not deduplicated.</x:v>
      </x:c>
      <x:c r="Q138" s="160" t="str">
        <x:v>Verified Census land area (retained)</x:v>
      </x:c>
    </x:row>
    <x:row r="139">
      <x:c r="A139" s="28" t="n">
        <x:v>144</x:v>
      </x:c>
      <x:c r="B139" s="28" t="str">
        <x:v>Middlesex County</x:v>
      </x:c>
      <x:c r="C139" s="28" t="str">
        <x:v>NJ</x:v>
      </x:c>
      <x:c r="D139" s="142" t="str">
        <x:v>34023</x:v>
      </x:c>
      <x:c r="E139" s="133" t="n">
        <x:f>SUMIFS('City Density Ranking'!$E$6:$E$974,'City Density Ranking'!$O$6:$O$974,B139,'City Density Ranking'!$C$6:$C$974,C139)</x:f>
        <x:v>0</x:v>
      </x:c>
      <x:c r="F139" s="133" t="n">
        <x:f>SUMIFS('City Density Ranking'!$F$6:$F$974,'City Density Ranking'!$O$6:$O$974,B139,'City Density Ranking'!$C$6:$C$974,C139)</x:f>
        <x:v>0</x:v>
      </x:c>
      <x:c r="G139" s="133" t="n">
        <x:f>SUMIFS('City Density Ranking'!$G$6:$G$974,'City Density Ranking'!$O$6:$O$974,B139,'City Density Ranking'!$C$6:$C$974,C139)</x:f>
        <x:v>0</x:v>
      </x:c>
      <x:c r="H139" s="133" t="n">
        <x:f>SUMIFS('City Density Ranking'!$H$6:$H$974,'City Density Ranking'!$O$6:$O$974,B139,'City Density Ranking'!$C$6:$C$974,C139)</x:f>
        <x:v>0</x:v>
      </x:c>
      <x:c r="I139" s="133" t="n">
        <x:f>SUMIFS('City Density Ranking'!$I$6:$I$974,'City Density Ranking'!$O$6:$O$974,B139,'City Density Ranking'!$C$6:$C$974,C139)</x:f>
        <x:v>0</x:v>
      </x:c>
      <x:c r="J139" s="133" t="n">
        <x:f>SUMIFS('City Density Ranking'!$J$6:$J$974,'City Density Ranking'!$O$6:$O$974,B139,'City Density Ranking'!$C$6:$C$974,C139)</x:f>
        <x:v>1</x:v>
      </x:c>
      <x:c r="K139" s="133" t="n">
        <x:f>SUM(E139:J139)</x:f>
        <x:v>1</x:v>
      </x:c>
      <x:c r="L139" s="204" t="n">
        <x:v>281.7803661931169</x:v>
      </x:c>
      <x:c r="M139" s="205" t="n">
        <x:f>IFERROR(K139/L139,0)</x:f>
        <x:v>0.0035488632991365144</x:v>
      </x:c>
      <x:c r="N139" s="160" t="str">
        <x:v>Edison</x:v>
      </x:c>
      <x:c r="O139" s="160" t="str">
        <x:v>Includes proxy city rows</x:v>
      </x:c>
      <x:c r="P139" s="160" t="str">
        <x:v>Aggregated from 1 city/municipality screening rows; overlapping catchments are not deduplicated.</x:v>
      </x:c>
      <x:c r="Q139" s="160" t="str">
        <x:v>Estimated county land area: geodesic polygon × 0.885 land/total calibration</x:v>
      </x:c>
    </x:row>
    <x:row r="140">
      <x:c r="A140" s="28" t="n">
        <x:v>145</x:v>
      </x:c>
      <x:c r="B140" s="28" t="str">
        <x:v>Fayette County</x:v>
      </x:c>
      <x:c r="C140" s="28" t="str">
        <x:v>KY</x:v>
      </x:c>
      <x:c r="D140" s="142" t="str">
        <x:v>21067</x:v>
      </x:c>
      <x:c r="E140" s="133" t="n">
        <x:f>SUMIFS('City Density Ranking'!$E$6:$E$974,'City Density Ranking'!$O$6:$O$974,B140,'City Density Ranking'!$C$6:$C$974,C140)</x:f>
        <x:v>0</x:v>
      </x:c>
      <x:c r="F140" s="133" t="n">
        <x:f>SUMIFS('City Density Ranking'!$F$6:$F$974,'City Density Ranking'!$O$6:$O$974,B140,'City Density Ranking'!$C$6:$C$974,C140)</x:f>
        <x:v>0</x:v>
      </x:c>
      <x:c r="G140" s="133" t="n">
        <x:f>SUMIFS('City Density Ranking'!$G$6:$G$974,'City Density Ranking'!$O$6:$O$974,B140,'City Density Ranking'!$C$6:$C$974,C140)</x:f>
        <x:v>0</x:v>
      </x:c>
      <x:c r="H140" s="133" t="n">
        <x:f>SUMIFS('City Density Ranking'!$H$6:$H$974,'City Density Ranking'!$O$6:$O$974,B140,'City Density Ranking'!$C$6:$C$974,C140)</x:f>
        <x:v>0</x:v>
      </x:c>
      <x:c r="I140" s="133" t="n">
        <x:f>SUMIFS('City Density Ranking'!$I$6:$I$974,'City Density Ranking'!$O$6:$O$974,B140,'City Density Ranking'!$C$6:$C$974,C140)</x:f>
        <x:v>0</x:v>
      </x:c>
      <x:c r="J140" s="133" t="n">
        <x:f>SUMIFS('City Density Ranking'!$J$6:$J$974,'City Density Ranking'!$O$6:$O$974,B140,'City Density Ranking'!$C$6:$C$974,C140)</x:f>
        <x:v>1</x:v>
      </x:c>
      <x:c r="K140" s="133" t="n">
        <x:f>SUM(E140:J140)</x:f>
        <x:v>1</x:v>
      </x:c>
      <x:c r="L140" s="204" t="n">
        <x:v>283.637</x:v>
      </x:c>
      <x:c r="M140" s="205" t="n">
        <x:f>IFERROR(K140/L140,0)</x:f>
        <x:v>0.003525633115566728</x:v>
      </x:c>
      <x:c r="N140" s="160" t="str">
        <x:v>Lexington</x:v>
      </x:c>
      <x:c r="O140" s="160" t="str">
        <x:v>Includes proxy city rows</x:v>
      </x:c>
      <x:c r="P140" s="160" t="str">
        <x:v>Aggregated from 1 city/municipality screening rows; overlapping catchments are not deduplicated.</x:v>
      </x:c>
      <x:c r="Q140" s="160" t="str">
        <x:v>Verified Census land area (retained)</x:v>
      </x:c>
    </x:row>
    <x:row r="141">
      <x:c r="A141" s="28" t="n">
        <x:v>146</x:v>
      </x:c>
      <x:c r="B141" s="28" t="str">
        <x:v>Tulsa County</x:v>
      </x:c>
      <x:c r="C141" s="28" t="str">
        <x:v>OK</x:v>
      </x:c>
      <x:c r="D141" s="142" t="str">
        <x:v>40143</x:v>
      </x:c>
      <x:c r="E141" s="133" t="n">
        <x:f>SUMIFS('City Density Ranking'!$E$6:$E$974,'City Density Ranking'!$O$6:$O$974,B141,'City Density Ranking'!$C$6:$C$974,C141)</x:f>
        <x:v>0</x:v>
      </x:c>
      <x:c r="F141" s="133" t="n">
        <x:f>SUMIFS('City Density Ranking'!$F$6:$F$974,'City Density Ranking'!$O$6:$O$974,B141,'City Density Ranking'!$C$6:$C$974,C141)</x:f>
        <x:v>0</x:v>
      </x:c>
      <x:c r="G141" s="133" t="n">
        <x:f>SUMIFS('City Density Ranking'!$G$6:$G$974,'City Density Ranking'!$O$6:$O$974,B141,'City Density Ranking'!$C$6:$C$974,C141)</x:f>
        <x:v>0</x:v>
      </x:c>
      <x:c r="H141" s="133" t="n">
        <x:f>SUMIFS('City Density Ranking'!$H$6:$H$974,'City Density Ranking'!$O$6:$O$974,B141,'City Density Ranking'!$C$6:$C$974,C141)</x:f>
        <x:v>0</x:v>
      </x:c>
      <x:c r="I141" s="133" t="n">
        <x:f>SUMIFS('City Density Ranking'!$I$6:$I$974,'City Density Ranking'!$O$6:$O$974,B141,'City Density Ranking'!$C$6:$C$974,C141)</x:f>
        <x:v>0</x:v>
      </x:c>
      <x:c r="J141" s="133" t="n">
        <x:f>SUMIFS('City Density Ranking'!$J$6:$J$974,'City Density Ranking'!$O$6:$O$974,B141,'City Density Ranking'!$C$6:$C$974,C141)</x:f>
        <x:v>2</x:v>
      </x:c>
      <x:c r="K141" s="133" t="n">
        <x:f>SUM(E141:J141)</x:f>
        <x:v>2</x:v>
      </x:c>
      <x:c r="L141" s="204" t="n">
        <x:v>570.218</x:v>
      </x:c>
      <x:c r="M141" s="205" t="n">
        <x:f>IFERROR(K141/L141,0)</x:f>
        <x:v>0.003507430491496235</x:v>
      </x:c>
      <x:c r="N141" s="160" t="str">
        <x:v>Broken Arrow, Tulsa</x:v>
      </x:c>
      <x:c r="O141" s="160" t="str">
        <x:v>Includes proxy city rows</x:v>
      </x:c>
      <x:c r="P141" s="160" t="str">
        <x:v>Aggregated from 2 city/municipality screening rows; overlapping catchments are not deduplicated.</x:v>
      </x:c>
      <x:c r="Q141" s="160" t="str">
        <x:v>Verified Census land area (retained)</x:v>
      </x:c>
    </x:row>
    <x:row r="142">
      <x:c r="A142" s="28" t="n">
        <x:v>147</x:v>
      </x:c>
      <x:c r="B142" s="28" t="str">
        <x:v>Durham County</x:v>
      </x:c>
      <x:c r="C142" s="28" t="str">
        <x:v>NC</x:v>
      </x:c>
      <x:c r="D142" s="142" t="str">
        <x:v>37063</x:v>
      </x:c>
      <x:c r="E142" s="133" t="n">
        <x:f>SUMIFS('City Density Ranking'!$E$6:$E$974,'City Density Ranking'!$O$6:$O$974,B142,'City Density Ranking'!$C$6:$C$974,C142)</x:f>
        <x:v>0</x:v>
      </x:c>
      <x:c r="F142" s="133" t="n">
        <x:f>SUMIFS('City Density Ranking'!$F$6:$F$974,'City Density Ranking'!$O$6:$O$974,B142,'City Density Ranking'!$C$6:$C$974,C142)</x:f>
        <x:v>0</x:v>
      </x:c>
      <x:c r="G142" s="133" t="n">
        <x:f>SUMIFS('City Density Ranking'!$G$6:$G$974,'City Density Ranking'!$O$6:$O$974,B142,'City Density Ranking'!$C$6:$C$974,C142)</x:f>
        <x:v>0</x:v>
      </x:c>
      <x:c r="H142" s="133" t="n">
        <x:f>SUMIFS('City Density Ranking'!$H$6:$H$974,'City Density Ranking'!$O$6:$O$974,B142,'City Density Ranking'!$C$6:$C$974,C142)</x:f>
        <x:v>0</x:v>
      </x:c>
      <x:c r="I142" s="133" t="n">
        <x:f>SUMIFS('City Density Ranking'!$I$6:$I$974,'City Density Ranking'!$O$6:$O$974,B142,'City Density Ranking'!$C$6:$C$974,C142)</x:f>
        <x:v>0</x:v>
      </x:c>
      <x:c r="J142" s="133" t="n">
        <x:f>SUMIFS('City Density Ranking'!$J$6:$J$974,'City Density Ranking'!$O$6:$O$974,B142,'City Density Ranking'!$C$6:$C$974,C142)</x:f>
        <x:v>1</x:v>
      </x:c>
      <x:c r="K142" s="133" t="n">
        <x:f>SUM(E142:J142)</x:f>
        <x:v>1</x:v>
      </x:c>
      <x:c r="L142" s="204" t="n">
        <x:v>286.605</x:v>
      </x:c>
      <x:c r="M142" s="205" t="n">
        <x:f>IFERROR(K142/L142,0)</x:f>
        <x:v>0.003489122660107116</x:v>
      </x:c>
      <x:c r="N142" s="160" t="str">
        <x:v>Durham</x:v>
      </x:c>
      <x:c r="O142" s="160" t="str">
        <x:v>Includes proxy city rows</x:v>
      </x:c>
      <x:c r="P142" s="160" t="str">
        <x:v>Aggregated from 1 city/municipality screening rows; overlapping catchments are not deduplicated.</x:v>
      </x:c>
      <x:c r="Q142" s="160" t="str">
        <x:v>Verified Census land area (retained)</x:v>
      </x:c>
    </x:row>
    <x:row r="143">
      <x:c r="A143" s="28" t="n">
        <x:v>148</x:v>
      </x:c>
      <x:c r="B143" s="28" t="str">
        <x:v>New Haven County</x:v>
      </x:c>
      <x:c r="C143" s="28" t="str">
        <x:v>CT</x:v>
      </x:c>
      <x:c r="D143" s="142" t="str">
        <x:v>09009</x:v>
      </x:c>
      <x:c r="E143" s="133" t="n">
        <x:f>SUMIFS('City Density Ranking'!$E$6:$E$974,'City Density Ranking'!$O$6:$O$974,B143,'City Density Ranking'!$C$6:$C$974,C143)</x:f>
        <x:v>0</x:v>
      </x:c>
      <x:c r="F143" s="133" t="n">
        <x:f>SUMIFS('City Density Ranking'!$F$6:$F$974,'City Density Ranking'!$O$6:$O$974,B143,'City Density Ranking'!$C$6:$C$974,C143)</x:f>
        <x:v>0</x:v>
      </x:c>
      <x:c r="G143" s="133" t="n">
        <x:f>SUMIFS('City Density Ranking'!$G$6:$G$974,'City Density Ranking'!$O$6:$O$974,B143,'City Density Ranking'!$C$6:$C$974,C143)</x:f>
        <x:v>0</x:v>
      </x:c>
      <x:c r="H143" s="133" t="n">
        <x:f>SUMIFS('City Density Ranking'!$H$6:$H$974,'City Density Ranking'!$O$6:$O$974,B143,'City Density Ranking'!$C$6:$C$974,C143)</x:f>
        <x:v>0</x:v>
      </x:c>
      <x:c r="I143" s="133" t="n">
        <x:f>SUMIFS('City Density Ranking'!$I$6:$I$974,'City Density Ranking'!$O$6:$O$974,B143,'City Density Ranking'!$C$6:$C$974,C143)</x:f>
        <x:v>0</x:v>
      </x:c>
      <x:c r="J143" s="133" t="n">
        <x:f>SUMIFS('City Density Ranking'!$J$6:$J$974,'City Density Ranking'!$O$6:$O$974,B143,'City Density Ranking'!$C$6:$C$974,C143)</x:f>
        <x:v>2</x:v>
      </x:c>
      <x:c r="K143" s="133" t="n">
        <x:f>SUM(E143:J143)</x:f>
        <x:v>2</x:v>
      </x:c>
      <x:c r="L143" s="204" t="n">
        <x:v>603.5880052254879</x:v>
      </x:c>
      <x:c r="M143" s="205" t="n">
        <x:f>IFERROR(K143/L143,0)</x:f>
        <x:v>0.003313518464060335</x:v>
      </x:c>
      <x:c r="N143" s="160" t="str">
        <x:v>New Haven, Waterbury</x:v>
      </x:c>
      <x:c r="O143" s="160" t="str">
        <x:v>Includes proxy city rows</x:v>
      </x:c>
      <x:c r="P143" s="160" t="str">
        <x:v>Aggregated from 2 city/municipality screening rows; overlapping catchments are not deduplicated.</x:v>
      </x:c>
      <x:c r="Q143" s="160" t="str">
        <x:v>Estimated county land area: geodesic polygon × 0.972 land/total calibration</x:v>
      </x:c>
    </x:row>
    <x:row r="144">
      <x:c r="A144" s="28" t="n">
        <x:v>149</x:v>
      </x:c>
      <x:c r="B144" s="28" t="str">
        <x:v>Jackson County</x:v>
      </x:c>
      <x:c r="C144" s="28" t="str">
        <x:v>MO</x:v>
      </x:c>
      <x:c r="D144" s="142" t="str">
        <x:v>29095</x:v>
      </x:c>
      <x:c r="E144" s="133" t="n">
        <x:f>SUMIFS('City Density Ranking'!$E$6:$E$974,'City Density Ranking'!$O$6:$O$974,B144,'City Density Ranking'!$C$6:$C$974,C144)</x:f>
        <x:v>0</x:v>
      </x:c>
      <x:c r="F144" s="133" t="n">
        <x:f>SUMIFS('City Density Ranking'!$F$6:$F$974,'City Density Ranking'!$O$6:$O$974,B144,'City Density Ranking'!$C$6:$C$974,C144)</x:f>
        <x:v>0</x:v>
      </x:c>
      <x:c r="G144" s="133" t="n">
        <x:f>SUMIFS('City Density Ranking'!$G$6:$G$974,'City Density Ranking'!$O$6:$O$974,B144,'City Density Ranking'!$C$6:$C$974,C144)</x:f>
        <x:v>0</x:v>
      </x:c>
      <x:c r="H144" s="133" t="n">
        <x:f>SUMIFS('City Density Ranking'!$H$6:$H$974,'City Density Ranking'!$O$6:$O$974,B144,'City Density Ranking'!$C$6:$C$974,C144)</x:f>
        <x:v>0</x:v>
      </x:c>
      <x:c r="I144" s="133" t="n">
        <x:f>SUMIFS('City Density Ranking'!$I$6:$I$974,'City Density Ranking'!$O$6:$O$974,B144,'City Density Ranking'!$C$6:$C$974,C144)</x:f>
        <x:v>0</x:v>
      </x:c>
      <x:c r="J144" s="133" t="n">
        <x:f>SUMIFS('City Density Ranking'!$J$6:$J$974,'City Density Ranking'!$O$6:$O$974,B144,'City Density Ranking'!$C$6:$C$974,C144)</x:f>
        <x:v>2</x:v>
      </x:c>
      <x:c r="K144" s="133" t="n">
        <x:f>SUM(E144:J144)</x:f>
        <x:v>2</x:v>
      </x:c>
      <x:c r="L144" s="204" t="n">
        <x:v>604.52</x:v>
      </x:c>
      <x:c r="M144" s="205" t="n">
        <x:f>IFERROR(K144/L144,0)</x:f>
        <x:v>0.0033084099781644943</x:v>
      </x:c>
      <x:c r="N144" s="160" t="str">
        <x:v>Independence, Kansas City</x:v>
      </x:c>
      <x:c r="O144" s="160" t="str">
        <x:v>Includes proxy city rows</x:v>
      </x:c>
      <x:c r="P144" s="160" t="str">
        <x:v>Aggregated from 2 city/municipality screening rows; overlapping catchments are not deduplicated.</x:v>
      </x:c>
      <x:c r="Q144" s="160" t="str">
        <x:v>Verified Census land area (retained)</x:v>
      </x:c>
    </x:row>
    <x:row r="145">
      <x:c r="A145" s="28" t="n">
        <x:v>150</x:v>
      </x:c>
      <x:c r="B145" s="28" t="str">
        <x:v>Fairfield County</x:v>
      </x:c>
      <x:c r="C145" s="28" t="str">
        <x:v>CT</x:v>
      </x:c>
      <x:c r="D145" s="142" t="str">
        <x:v>09001</x:v>
      </x:c>
      <x:c r="E145" s="133" t="n">
        <x:f>SUMIFS('City Density Ranking'!$E$6:$E$974,'City Density Ranking'!$O$6:$O$974,B145,'City Density Ranking'!$C$6:$C$974,C145)</x:f>
        <x:v>0</x:v>
      </x:c>
      <x:c r="F145" s="133" t="n">
        <x:f>SUMIFS('City Density Ranking'!$F$6:$F$974,'City Density Ranking'!$O$6:$O$974,B145,'City Density Ranking'!$C$6:$C$974,C145)</x:f>
        <x:v>0</x:v>
      </x:c>
      <x:c r="G145" s="133" t="n">
        <x:f>SUMIFS('City Density Ranking'!$G$6:$G$974,'City Density Ranking'!$O$6:$O$974,B145,'City Density Ranking'!$C$6:$C$974,C145)</x:f>
        <x:v>0</x:v>
      </x:c>
      <x:c r="H145" s="133" t="n">
        <x:f>SUMIFS('City Density Ranking'!$H$6:$H$974,'City Density Ranking'!$O$6:$O$974,B145,'City Density Ranking'!$C$6:$C$974,C145)</x:f>
        <x:v>0</x:v>
      </x:c>
      <x:c r="I145" s="133" t="n">
        <x:f>SUMIFS('City Density Ranking'!$I$6:$I$974,'City Density Ranking'!$O$6:$O$974,B145,'City Density Ranking'!$C$6:$C$974,C145)</x:f>
        <x:v>0</x:v>
      </x:c>
      <x:c r="J145" s="133" t="n">
        <x:f>SUMIFS('City Density Ranking'!$J$6:$J$974,'City Density Ranking'!$O$6:$O$974,B145,'City Density Ranking'!$C$6:$C$974,C145)</x:f>
        <x:v>2</x:v>
      </x:c>
      <x:c r="K145" s="133" t="n">
        <x:f>SUM(E145:J145)</x:f>
        <x:v>2</x:v>
      </x:c>
      <x:c r="L145" s="204" t="n">
        <x:v>634.665061160188</x:v>
      </x:c>
      <x:c r="M145" s="205" t="n">
        <x:f>IFERROR(K145/L145,0)</x:f>
        <x:v>0.0031512684759169448</x:v>
      </x:c>
      <x:c r="N145" s="160" t="str">
        <x:v>Bridgeport, Stamford</x:v>
      </x:c>
      <x:c r="O145" s="160" t="str">
        <x:v>Includes proxy city rows</x:v>
      </x:c>
      <x:c r="P145" s="160" t="str">
        <x:v>Aggregated from 2 city/municipality screening rows; overlapping catchments are not deduplicated.</x:v>
      </x:c>
      <x:c r="Q145" s="160" t="str">
        <x:v>Estimated county land area: geodesic polygon × 0.972 land/total calibration</x:v>
      </x:c>
    </x:row>
    <x:row r="146">
      <x:c r="A146" s="28" t="n">
        <x:v>151</x:v>
      </x:c>
      <x:c r="B146" s="28" t="str">
        <x:v>Johnson County</x:v>
      </x:c>
      <x:c r="C146" s="28" t="str">
        <x:v>IN</x:v>
      </x:c>
      <x:c r="D146" s="142" t="str">
        <x:v>18081</x:v>
      </x:c>
      <x:c r="E146" s="133" t="n">
        <x:f>SUMIFS('City Density Ranking'!$E$6:$E$974,'City Density Ranking'!$O$6:$O$974,B146,'City Density Ranking'!$C$6:$C$974,C146)</x:f>
        <x:v>0</x:v>
      </x:c>
      <x:c r="F146" s="133" t="n">
        <x:f>SUMIFS('City Density Ranking'!$F$6:$F$974,'City Density Ranking'!$O$6:$O$974,B146,'City Density Ranking'!$C$6:$C$974,C146)</x:f>
        <x:v>0</x:v>
      </x:c>
      <x:c r="G146" s="133" t="n">
        <x:f>SUMIFS('City Density Ranking'!$G$6:$G$974,'City Density Ranking'!$O$6:$O$974,B146,'City Density Ranking'!$C$6:$C$974,C146)</x:f>
        <x:v>0</x:v>
      </x:c>
      <x:c r="H146" s="133" t="n">
        <x:f>SUMIFS('City Density Ranking'!$H$6:$H$974,'City Density Ranking'!$O$6:$O$974,B146,'City Density Ranking'!$C$6:$C$974,C146)</x:f>
        <x:v>1</x:v>
      </x:c>
      <x:c r="I146" s="133" t="n">
        <x:f>SUMIFS('City Density Ranking'!$I$6:$I$974,'City Density Ranking'!$O$6:$O$974,B146,'City Density Ranking'!$C$6:$C$974,C146)</x:f>
        <x:v>0</x:v>
      </x:c>
      <x:c r="J146" s="133" t="n">
        <x:f>SUMIFS('City Density Ranking'!$J$6:$J$974,'City Density Ranking'!$O$6:$O$974,B146,'City Density Ranking'!$C$6:$C$974,C146)</x:f>
        <x:v>0</x:v>
      </x:c>
      <x:c r="K146" s="133" t="n">
        <x:f>SUM(E146:J146)</x:f>
        <x:v>1</x:v>
      </x:c>
      <x:c r="L146" s="204" t="n">
        <x:v>320.415</x:v>
      </x:c>
      <x:c r="M146" s="205" t="n">
        <x:f>IFERROR(K146/L146,0)</x:f>
        <x:v>0.0031209525147074886</x:v>
      </x:c>
      <x:c r="N146" s="160" t="str">
        <x:v>Greenwood</x:v>
      </x:c>
      <x:c r="O146" s="160" t="str">
        <x:v>Lower-bound city counts only</x:v>
      </x:c>
      <x:c r="P146" s="160" t="str">
        <x:v>Aggregated from 1 city/municipality screening rows; overlapping catchments are not deduplicated.</x:v>
      </x:c>
      <x:c r="Q146" s="160" t="str">
        <x:v>Verified Census 2025 Gazetteer land area</x:v>
      </x:c>
    </x:row>
    <x:row r="147">
      <x:c r="A147" s="28" t="n">
        <x:v>152</x:v>
      </x:c>
      <x:c r="B147" s="28" t="str">
        <x:v>Richmond County</x:v>
      </x:c>
      <x:c r="C147" s="28" t="str">
        <x:v>GA</x:v>
      </x:c>
      <x:c r="D147" s="142" t="str">
        <x:v>13245</x:v>
      </x:c>
      <x:c r="E147" s="133" t="n">
        <x:f>SUMIFS('City Density Ranking'!$E$6:$E$974,'City Density Ranking'!$O$6:$O$974,B147,'City Density Ranking'!$C$6:$C$974,C147)</x:f>
        <x:v>0</x:v>
      </x:c>
      <x:c r="F147" s="133" t="n">
        <x:f>SUMIFS('City Density Ranking'!$F$6:$F$974,'City Density Ranking'!$O$6:$O$974,B147,'City Density Ranking'!$C$6:$C$974,C147)</x:f>
        <x:v>0</x:v>
      </x:c>
      <x:c r="G147" s="133" t="n">
        <x:f>SUMIFS('City Density Ranking'!$G$6:$G$974,'City Density Ranking'!$O$6:$O$974,B147,'City Density Ranking'!$C$6:$C$974,C147)</x:f>
        <x:v>0</x:v>
      </x:c>
      <x:c r="H147" s="133" t="n">
        <x:f>SUMIFS('City Density Ranking'!$H$6:$H$974,'City Density Ranking'!$O$6:$O$974,B147,'City Density Ranking'!$C$6:$C$974,C147)</x:f>
        <x:v>0</x:v>
      </x:c>
      <x:c r="I147" s="133" t="n">
        <x:f>SUMIFS('City Density Ranking'!$I$6:$I$974,'City Density Ranking'!$O$6:$O$974,B147,'City Density Ranking'!$C$6:$C$974,C147)</x:f>
        <x:v>0</x:v>
      </x:c>
      <x:c r="J147" s="133" t="n">
        <x:f>SUMIFS('City Density Ranking'!$J$6:$J$974,'City Density Ranking'!$O$6:$O$974,B147,'City Density Ranking'!$C$6:$C$974,C147)</x:f>
        <x:v>1</x:v>
      </x:c>
      <x:c r="K147" s="133" t="n">
        <x:f>SUM(E147:J147)</x:f>
        <x:v>1</x:v>
      </x:c>
      <x:c r="L147" s="204" t="n">
        <x:v>323.6323262705839</x:v>
      </x:c>
      <x:c r="M147" s="205" t="n">
        <x:f>IFERROR(K147/L147,0)</x:f>
        <x:v>0.0030899261872990883</x:v>
      </x:c>
      <x:c r="N147" s="160" t="str">
        <x:v>Augusta</x:v>
      </x:c>
      <x:c r="O147" s="160" t="str">
        <x:v>Includes proxy city rows</x:v>
      </x:c>
      <x:c r="P147" s="160" t="str">
        <x:v>Aggregated from 1 city/municipality screening rows; overlapping catchments are not deduplicated.</x:v>
      </x:c>
      <x:c r="Q147" s="160" t="str">
        <x:v>Estimated county land area: geodesic polygon × 0.986 land/total calibration</x:v>
      </x:c>
    </x:row>
    <x:row r="148">
      <x:c r="A148" s="28" t="n">
        <x:v>153</x:v>
      </x:c>
      <x:c r="B148" s="28" t="str">
        <x:v>Douglas County</x:v>
      </x:c>
      <x:c r="C148" s="28" t="str">
        <x:v>NE</x:v>
      </x:c>
      <x:c r="D148" s="142" t="str">
        <x:v>31055</x:v>
      </x:c>
      <x:c r="E148" s="133" t="n">
        <x:f>SUMIFS('City Density Ranking'!$E$6:$E$974,'City Density Ranking'!$O$6:$O$974,B148,'City Density Ranking'!$C$6:$C$974,C148)</x:f>
        <x:v>1</x:v>
      </x:c>
      <x:c r="F148" s="133" t="n">
        <x:f>SUMIFS('City Density Ranking'!$F$6:$F$974,'City Density Ranking'!$O$6:$O$974,B148,'City Density Ranking'!$C$6:$C$974,C148)</x:f>
        <x:v>0</x:v>
      </x:c>
      <x:c r="G148" s="133" t="n">
        <x:f>SUMIFS('City Density Ranking'!$G$6:$G$974,'City Density Ranking'!$O$6:$O$974,B148,'City Density Ranking'!$C$6:$C$974,C148)</x:f>
        <x:v>0</x:v>
      </x:c>
      <x:c r="H148" s="133" t="n">
        <x:f>SUMIFS('City Density Ranking'!$H$6:$H$974,'City Density Ranking'!$O$6:$O$974,B148,'City Density Ranking'!$C$6:$C$974,C148)</x:f>
        <x:v>0</x:v>
      </x:c>
      <x:c r="I148" s="133" t="n">
        <x:f>SUMIFS('City Density Ranking'!$I$6:$I$974,'City Density Ranking'!$O$6:$O$974,B148,'City Density Ranking'!$C$6:$C$974,C148)</x:f>
        <x:v>0</x:v>
      </x:c>
      <x:c r="J148" s="133" t="n">
        <x:f>SUMIFS('City Density Ranking'!$J$6:$J$974,'City Density Ranking'!$O$6:$O$974,B148,'City Density Ranking'!$C$6:$C$974,C148)</x:f>
        <x:v>0</x:v>
      </x:c>
      <x:c r="K148" s="133" t="n">
        <x:f>SUM(E148:J148)</x:f>
        <x:v>1</x:v>
      </x:c>
      <x:c r="L148" s="204" t="n">
        <x:v>326.407</x:v>
      </x:c>
      <x:c r="M148" s="205" t="n">
        <x:f>IFERROR(K148/L148,0)</x:f>
        <x:v>0.003063659786708006</x:v>
      </x:c>
      <x:c r="N148" s="160" t="str">
        <x:v>Omaha</x:v>
      </x:c>
      <x:c r="O148" s="160" t="str">
        <x:v>Lower-bound city counts only</x:v>
      </x:c>
      <x:c r="P148" s="160" t="str">
        <x:v>Aggregated from 1 city/municipality screening rows; overlapping catchments are not deduplicated.</x:v>
      </x:c>
      <x:c r="Q148" s="160" t="str">
        <x:v>Verified Census land area (retained)</x:v>
      </x:c>
    </x:row>
    <x:row r="149">
      <x:c r="A149" s="28" t="n">
        <x:v>154</x:v>
      </x:c>
      <x:c r="B149" s="28" t="str">
        <x:v>DuPage County</x:v>
      </x:c>
      <x:c r="C149" s="28" t="str">
        <x:v>IL</x:v>
      </x:c>
      <x:c r="D149" s="142" t="str">
        <x:v>17043</x:v>
      </x:c>
      <x:c r="E149" s="133" t="n">
        <x:f>SUMIFS('City Density Ranking'!$E$6:$E$974,'City Density Ranking'!$O$6:$O$974,B149,'City Density Ranking'!$C$6:$C$974,C149)</x:f>
        <x:v>0</x:v>
      </x:c>
      <x:c r="F149" s="133" t="n">
        <x:f>SUMIFS('City Density Ranking'!$F$6:$F$974,'City Density Ranking'!$O$6:$O$974,B149,'City Density Ranking'!$C$6:$C$974,C149)</x:f>
        <x:v>0</x:v>
      </x:c>
      <x:c r="G149" s="133" t="n">
        <x:f>SUMIFS('City Density Ranking'!$G$6:$G$974,'City Density Ranking'!$O$6:$O$974,B149,'City Density Ranking'!$C$6:$C$974,C149)</x:f>
        <x:v>0</x:v>
      </x:c>
      <x:c r="H149" s="133" t="n">
        <x:f>SUMIFS('City Density Ranking'!$H$6:$H$974,'City Density Ranking'!$O$6:$O$974,B149,'City Density Ranking'!$C$6:$C$974,C149)</x:f>
        <x:v>0</x:v>
      </x:c>
      <x:c r="I149" s="133" t="n">
        <x:f>SUMIFS('City Density Ranking'!$I$6:$I$974,'City Density Ranking'!$O$6:$O$974,B149,'City Density Ranking'!$C$6:$C$974,C149)</x:f>
        <x:v>0</x:v>
      </x:c>
      <x:c r="J149" s="133" t="n">
        <x:f>SUMIFS('City Density Ranking'!$J$6:$J$974,'City Density Ranking'!$O$6:$O$974,B149,'City Density Ranking'!$C$6:$C$974,C149)</x:f>
        <x:v>1</x:v>
      </x:c>
      <x:c r="K149" s="133" t="n">
        <x:f>SUM(E149:J149)</x:f>
        <x:v>1</x:v>
      </x:c>
      <x:c r="L149" s="204" t="n">
        <x:v>332.1153268073921</x:v>
      </x:c>
      <x:c r="M149" s="205" t="n">
        <x:f>IFERROR(K149/L149,0)</x:f>
        <x:v>0.0030110022612113378</x:v>
      </x:c>
      <x:c r="N149" s="160" t="str">
        <x:v>Naperville</x:v>
      </x:c>
      <x:c r="O149" s="160" t="str">
        <x:v>Includes proxy city rows</x:v>
      </x:c>
      <x:c r="P149" s="160" t="str">
        <x:v>Aggregated from 1 city/municipality screening rows; overlapping catchments are not deduplicated.</x:v>
      </x:c>
      <x:c r="Q149" s="160" t="str">
        <x:v>Estimated county land area: geodesic polygon × 0.987 land/total calibration</x:v>
      </x:c>
    </x:row>
    <x:row r="150">
      <x:c r="A150" s="28" t="n">
        <x:v>155</x:v>
      </x:c>
      <x:c r="B150" s="28" t="str">
        <x:v>Lehigh County</x:v>
      </x:c>
      <x:c r="C150" s="28" t="str">
        <x:v>PA</x:v>
      </x:c>
      <x:c r="D150" s="142" t="str">
        <x:v>42077</x:v>
      </x:c>
      <x:c r="E150" s="133" t="n">
        <x:f>SUMIFS('City Density Ranking'!$E$6:$E$974,'City Density Ranking'!$O$6:$O$974,B150,'City Density Ranking'!$C$6:$C$974,C150)</x:f>
        <x:v>0</x:v>
      </x:c>
      <x:c r="F150" s="133" t="n">
        <x:f>SUMIFS('City Density Ranking'!$F$6:$F$974,'City Density Ranking'!$O$6:$O$974,B150,'City Density Ranking'!$C$6:$C$974,C150)</x:f>
        <x:v>0</x:v>
      </x:c>
      <x:c r="G150" s="133" t="n">
        <x:f>SUMIFS('City Density Ranking'!$G$6:$G$974,'City Density Ranking'!$O$6:$O$974,B150,'City Density Ranking'!$C$6:$C$974,C150)</x:f>
        <x:v>0</x:v>
      </x:c>
      <x:c r="H150" s="133" t="n">
        <x:f>SUMIFS('City Density Ranking'!$H$6:$H$974,'City Density Ranking'!$O$6:$O$974,B150,'City Density Ranking'!$C$6:$C$974,C150)</x:f>
        <x:v>0</x:v>
      </x:c>
      <x:c r="I150" s="133" t="n">
        <x:f>SUMIFS('City Density Ranking'!$I$6:$I$974,'City Density Ranking'!$O$6:$O$974,B150,'City Density Ranking'!$C$6:$C$974,C150)</x:f>
        <x:v>0</x:v>
      </x:c>
      <x:c r="J150" s="133" t="n">
        <x:f>SUMIFS('City Density Ranking'!$J$6:$J$974,'City Density Ranking'!$O$6:$O$974,B150,'City Density Ranking'!$C$6:$C$974,C150)</x:f>
        <x:v>1</x:v>
      </x:c>
      <x:c r="K150" s="133" t="n">
        <x:f>SUM(E150:J150)</x:f>
        <x:v>1</x:v>
      </x:c>
      <x:c r="L150" s="204" t="n">
        <x:v>334.5702603590017</x:v>
      </x:c>
      <x:c r="M150" s="205" t="n">
        <x:f>IFERROR(K150/L150,0)</x:f>
        <x:v>0.002988908813733106</x:v>
      </x:c>
      <x:c r="N150" s="160" t="str">
        <x:v>Allentown</x:v>
      </x:c>
      <x:c r="O150" s="160" t="str">
        <x:v>Includes proxy city rows</x:v>
      </x:c>
      <x:c r="P150" s="160" t="str">
        <x:v>Aggregated from 1 city/municipality screening rows; overlapping catchments are not deduplicated.</x:v>
      </x:c>
      <x:c r="Q150" s="160" t="str">
        <x:v>Estimated county land area: geodesic polygon × 0.961 land/total calibration</x:v>
      </x:c>
    </x:row>
    <x:row r="151">
      <x:c r="A151" s="28" t="n">
        <x:v>156</x:v>
      </x:c>
      <x:c r="B151" s="28" t="str">
        <x:v>El Paso County</x:v>
      </x:c>
      <x:c r="C151" s="28" t="str">
        <x:v>TX</x:v>
      </x:c>
      <x:c r="D151" s="142" t="str">
        <x:v>48141</x:v>
      </x:c>
      <x:c r="E151" s="133" t="n">
        <x:f>SUMIFS('City Density Ranking'!$E$6:$E$974,'City Density Ranking'!$O$6:$O$974,B151,'City Density Ranking'!$C$6:$C$974,C151)</x:f>
        <x:v>0</x:v>
      </x:c>
      <x:c r="F151" s="133" t="n">
        <x:f>SUMIFS('City Density Ranking'!$F$6:$F$974,'City Density Ranking'!$O$6:$O$974,B151,'City Density Ranking'!$C$6:$C$974,C151)</x:f>
        <x:v>3</x:v>
      </x:c>
      <x:c r="G151" s="133" t="n">
        <x:f>SUMIFS('City Density Ranking'!$G$6:$G$974,'City Density Ranking'!$O$6:$O$974,B151,'City Density Ranking'!$C$6:$C$974,C151)</x:f>
        <x:v>0</x:v>
      </x:c>
      <x:c r="H151" s="133" t="n">
        <x:f>SUMIFS('City Density Ranking'!$H$6:$H$974,'City Density Ranking'!$O$6:$O$974,B151,'City Density Ranking'!$C$6:$C$974,C151)</x:f>
        <x:v>0</x:v>
      </x:c>
      <x:c r="I151" s="133" t="n">
        <x:f>SUMIFS('City Density Ranking'!$I$6:$I$974,'City Density Ranking'!$O$6:$O$974,B151,'City Density Ranking'!$C$6:$C$974,C151)</x:f>
        <x:v>0</x:v>
      </x:c>
      <x:c r="J151" s="133" t="n">
        <x:f>SUMIFS('City Density Ranking'!$J$6:$J$974,'City Density Ranking'!$O$6:$O$974,B151,'City Density Ranking'!$C$6:$C$974,C151)</x:f>
        <x:v>0</x:v>
      </x:c>
      <x:c r="K151" s="133" t="n">
        <x:f>SUM(E151:J151)</x:f>
        <x:v>3</x:v>
      </x:c>
      <x:c r="L151" s="204" t="n">
        <x:v>1013.234</x:v>
      </x:c>
      <x:c r="M151" s="205" t="n">
        <x:f>IFERROR(K151/L151,0)</x:f>
        <x:v>0.002960816553727964</x:v>
      </x:c>
      <x:c r="N151" s="160" t="str">
        <x:v>El Paso</x:v>
      </x:c>
      <x:c r="O151" s="160" t="str">
        <x:v>Lower-bound city counts only</x:v>
      </x:c>
      <x:c r="P151" s="160" t="str">
        <x:v>Aggregated from 1 city/municipality screening rows; overlapping catchments are not deduplicated.</x:v>
      </x:c>
      <x:c r="Q151" s="160" t="str">
        <x:v>Verified Census land area (retained)</x:v>
      </x:c>
    </x:row>
    <x:row r="152">
      <x:c r="A152" s="28" t="n">
        <x:v>157</x:v>
      </x:c>
      <x:c r="B152" s="28" t="str">
        <x:v>Hays County</x:v>
      </x:c>
      <x:c r="C152" s="28" t="str">
        <x:v>TX</x:v>
      </x:c>
      <x:c r="D152" s="142" t="str">
        <x:v>48209</x:v>
      </x:c>
      <x:c r="E152" s="133" t="n">
        <x:f>SUMIFS('City Density Ranking'!$E$6:$E$974,'City Density Ranking'!$O$6:$O$974,B152,'City Density Ranking'!$C$6:$C$974,C152)</x:f>
        <x:v>0</x:v>
      </x:c>
      <x:c r="F152" s="133" t="n">
        <x:f>SUMIFS('City Density Ranking'!$F$6:$F$974,'City Density Ranking'!$O$6:$O$974,B152,'City Density Ranking'!$C$6:$C$974,C152)</x:f>
        <x:v>1</x:v>
      </x:c>
      <x:c r="G152" s="133" t="n">
        <x:f>SUMIFS('City Density Ranking'!$G$6:$G$974,'City Density Ranking'!$O$6:$O$974,B152,'City Density Ranking'!$C$6:$C$974,C152)</x:f>
        <x:v>0</x:v>
      </x:c>
      <x:c r="H152" s="133" t="n">
        <x:f>SUMIFS('City Density Ranking'!$H$6:$H$974,'City Density Ranking'!$O$6:$O$974,B152,'City Density Ranking'!$C$6:$C$974,C152)</x:f>
        <x:v>0</x:v>
      </x:c>
      <x:c r="I152" s="133" t="n">
        <x:f>SUMIFS('City Density Ranking'!$I$6:$I$974,'City Density Ranking'!$O$6:$O$974,B152,'City Density Ranking'!$C$6:$C$974,C152)</x:f>
        <x:v>0</x:v>
      </x:c>
      <x:c r="J152" s="133" t="n">
        <x:f>SUMIFS('City Density Ranking'!$J$6:$J$974,'City Density Ranking'!$O$6:$O$974,B152,'City Density Ranking'!$C$6:$C$974,C152)</x:f>
        <x:v>1</x:v>
      </x:c>
      <x:c r="K152" s="133" t="n">
        <x:f>SUM(E152:J152)</x:f>
        <x:v>2</x:v>
      </x:c>
      <x:c r="L152" s="204" t="n">
        <x:v>676.85</x:v>
      </x:c>
      <x:c r="M152" s="205" t="n">
        <x:f>IFERROR(K152/L152,0)</x:f>
        <x:v>0.0029548644455935583</x:v>
      </x:c>
      <x:c r="N152" s="160" t="str">
        <x:v>Kyle, San Marcos</x:v>
      </x:c>
      <x:c r="O152" s="160" t="str">
        <x:v>Includes proxy city rows</x:v>
      </x:c>
      <x:c r="P152" s="160" t="str">
        <x:v>Aggregated from 2 city/municipality screening rows; overlapping catchments are not deduplicated.</x:v>
      </x:c>
      <x:c r="Q152" s="160" t="str">
        <x:v>Verified Census QuickFacts land area (2020)</x:v>
      </x:c>
    </x:row>
    <x:row r="153">
      <x:c r="A153" s="28" t="n">
        <x:v>158</x:v>
      </x:c>
      <x:c r="B153" s="28" t="str">
        <x:v>Chesapeake city</x:v>
      </x:c>
      <x:c r="C153" s="28" t="str">
        <x:v>VA</x:v>
      </x:c>
      <x:c r="D153" s="142" t="str">
        <x:v>51550</x:v>
      </x:c>
      <x:c r="E153" s="133" t="n">
        <x:f>SUMIFS('City Density Ranking'!$E$6:$E$974,'City Density Ranking'!$O$6:$O$974,B153,'City Density Ranking'!$C$6:$C$974,C153)</x:f>
        <x:v>0</x:v>
      </x:c>
      <x:c r="F153" s="133" t="n">
        <x:f>SUMIFS('City Density Ranking'!$F$6:$F$974,'City Density Ranking'!$O$6:$O$974,B153,'City Density Ranking'!$C$6:$C$974,C153)</x:f>
        <x:v>0</x:v>
      </x:c>
      <x:c r="G153" s="133" t="n">
        <x:f>SUMIFS('City Density Ranking'!$G$6:$G$974,'City Density Ranking'!$O$6:$O$974,B153,'City Density Ranking'!$C$6:$C$974,C153)</x:f>
        <x:v>0</x:v>
      </x:c>
      <x:c r="H153" s="133" t="n">
        <x:f>SUMIFS('City Density Ranking'!$H$6:$H$974,'City Density Ranking'!$O$6:$O$974,B153,'City Density Ranking'!$C$6:$C$974,C153)</x:f>
        <x:v>0</x:v>
      </x:c>
      <x:c r="I153" s="133" t="n">
        <x:f>SUMIFS('City Density Ranking'!$I$6:$I$974,'City Density Ranking'!$O$6:$O$974,B153,'City Density Ranking'!$C$6:$C$974,C153)</x:f>
        <x:v>0</x:v>
      </x:c>
      <x:c r="J153" s="133" t="n">
        <x:f>SUMIFS('City Density Ranking'!$J$6:$J$974,'City Density Ranking'!$O$6:$O$974,B153,'City Density Ranking'!$C$6:$C$974,C153)</x:f>
        <x:v>1</x:v>
      </x:c>
      <x:c r="K153" s="133" t="n">
        <x:f>SUM(E153:J153)</x:f>
        <x:v>1</x:v>
      </x:c>
      <x:c r="L153" s="204" t="n">
        <x:v>338.456</x:v>
      </x:c>
      <x:c r="M153" s="205" t="n">
        <x:f>IFERROR(K153/L153,0)</x:f>
        <x:v>0.0029545938024440398</x:v>
      </x:c>
      <x:c r="N153" s="160" t="str">
        <x:v>Chesapeake</x:v>
      </x:c>
      <x:c r="O153" s="160" t="str">
        <x:v>Includes proxy city rows</x:v>
      </x:c>
      <x:c r="P153" s="160" t="str">
        <x:v>Aggregated from 1 city/municipality screening rows; overlapping catchments are not deduplicated.</x:v>
      </x:c>
      <x:c r="Q153" s="160" t="str">
        <x:v>Verified Census land area (retained)</x:v>
      </x:c>
    </x:row>
    <x:row r="154">
      <x:c r="A154" s="28" t="n">
        <x:v>159</x:v>
      </x:c>
      <x:c r="B154" s="28" t="str">
        <x:v>Lucas County</x:v>
      </x:c>
      <x:c r="C154" s="28" t="str">
        <x:v>OH</x:v>
      </x:c>
      <x:c r="D154" s="142" t="str">
        <x:v>39095</x:v>
      </x:c>
      <x:c r="E154" s="133" t="n">
        <x:f>SUMIFS('City Density Ranking'!$E$6:$E$974,'City Density Ranking'!$O$6:$O$974,B154,'City Density Ranking'!$C$6:$C$974,C154)</x:f>
        <x:v>0</x:v>
      </x:c>
      <x:c r="F154" s="133" t="n">
        <x:f>SUMIFS('City Density Ranking'!$F$6:$F$974,'City Density Ranking'!$O$6:$O$974,B154,'City Density Ranking'!$C$6:$C$974,C154)</x:f>
        <x:v>0</x:v>
      </x:c>
      <x:c r="G154" s="133" t="n">
        <x:f>SUMIFS('City Density Ranking'!$G$6:$G$974,'City Density Ranking'!$O$6:$O$974,B154,'City Density Ranking'!$C$6:$C$974,C154)</x:f>
        <x:v>0</x:v>
      </x:c>
      <x:c r="H154" s="133" t="n">
        <x:f>SUMIFS('City Density Ranking'!$H$6:$H$974,'City Density Ranking'!$O$6:$O$974,B154,'City Density Ranking'!$C$6:$C$974,C154)</x:f>
        <x:v>0</x:v>
      </x:c>
      <x:c r="I154" s="133" t="n">
        <x:f>SUMIFS('City Density Ranking'!$I$6:$I$974,'City Density Ranking'!$O$6:$O$974,B154,'City Density Ranking'!$C$6:$C$974,C154)</x:f>
        <x:v>0</x:v>
      </x:c>
      <x:c r="J154" s="133" t="n">
        <x:f>SUMIFS('City Density Ranking'!$J$6:$J$974,'City Density Ranking'!$O$6:$O$974,B154,'City Density Ranking'!$C$6:$C$974,C154)</x:f>
        <x:v>1</x:v>
      </x:c>
      <x:c r="K154" s="133" t="n">
        <x:f>SUM(E154:J154)</x:f>
        <x:v>1</x:v>
      </x:c>
      <x:c r="L154" s="204" t="n">
        <x:v>339.663</x:v>
      </x:c>
      <x:c r="M154" s="205" t="n">
        <x:f>IFERROR(K154/L154,0)</x:f>
        <x:v>0.002944094587870919</x:v>
      </x:c>
      <x:c r="N154" s="160" t="str">
        <x:v>Toledo</x:v>
      </x:c>
      <x:c r="O154" s="160" t="str">
        <x:v>Includes proxy city rows</x:v>
      </x:c>
      <x:c r="P154" s="160" t="str">
        <x:v>Aggregated from 1 city/municipality screening rows; overlapping catchments are not deduplicated.</x:v>
      </x:c>
      <x:c r="Q154" s="160" t="str">
        <x:v>Verified Census land area (retained)</x:v>
      </x:c>
    </x:row>
    <x:row r="155">
      <x:c r="A155" s="28" t="n">
        <x:v>160</x:v>
      </x:c>
      <x:c r="B155" s="28" t="str">
        <x:v>Cabarrus County</x:v>
      </x:c>
      <x:c r="C155" s="28" t="str">
        <x:v>NC</x:v>
      </x:c>
      <x:c r="D155" s="142" t="str">
        <x:v>37025</x:v>
      </x:c>
      <x:c r="E155" s="133" t="n">
        <x:f>SUMIFS('City Density Ranking'!$E$6:$E$974,'City Density Ranking'!$O$6:$O$974,B155,'City Density Ranking'!$C$6:$C$974,C155)</x:f>
        <x:v>0</x:v>
      </x:c>
      <x:c r="F155" s="133" t="n">
        <x:f>SUMIFS('City Density Ranking'!$F$6:$F$974,'City Density Ranking'!$O$6:$O$974,B155,'City Density Ranking'!$C$6:$C$974,C155)</x:f>
        <x:v>0</x:v>
      </x:c>
      <x:c r="G155" s="133" t="n">
        <x:f>SUMIFS('City Density Ranking'!$G$6:$G$974,'City Density Ranking'!$O$6:$O$974,B155,'City Density Ranking'!$C$6:$C$974,C155)</x:f>
        <x:v>0</x:v>
      </x:c>
      <x:c r="H155" s="133" t="n">
        <x:f>SUMIFS('City Density Ranking'!$H$6:$H$974,'City Density Ranking'!$O$6:$O$974,B155,'City Density Ranking'!$C$6:$C$974,C155)</x:f>
        <x:v>0</x:v>
      </x:c>
      <x:c r="I155" s="133" t="n">
        <x:f>SUMIFS('City Density Ranking'!$I$6:$I$974,'City Density Ranking'!$O$6:$O$974,B155,'City Density Ranking'!$C$6:$C$974,C155)</x:f>
        <x:v>0</x:v>
      </x:c>
      <x:c r="J155" s="133" t="n">
        <x:f>SUMIFS('City Density Ranking'!$J$6:$J$974,'City Density Ranking'!$O$6:$O$974,B155,'City Density Ranking'!$C$6:$C$974,C155)</x:f>
        <x:v>1</x:v>
      </x:c>
      <x:c r="K155" s="133" t="n">
        <x:f>SUM(E155:J155)</x:f>
        <x:v>1</x:v>
      </x:c>
      <x:c r="L155" s="204" t="n">
        <x:v>354.764939674513</x:v>
      </x:c>
      <x:c r="M155" s="205" t="n">
        <x:f>IFERROR(K155/L155,0)</x:f>
        <x:v>0.0028187678323497024</x:v>
      </x:c>
      <x:c r="N155" s="160" t="str">
        <x:v>Concord</x:v>
      </x:c>
      <x:c r="O155" s="160" t="str">
        <x:v>Includes proxy city rows</x:v>
      </x:c>
      <x:c r="P155" s="160" t="str">
        <x:v>Aggregated from 1 city/municipality screening rows; overlapping catchments are not deduplicated.</x:v>
      </x:c>
      <x:c r="Q155" s="160" t="str">
        <x:v>Estimated county land area: geodesic polygon × 0.974 land/total calibration</x:v>
      </x:c>
    </x:row>
    <x:row r="156">
      <x:c r="A156" s="28" t="n">
        <x:v>161</x:v>
      </x:c>
      <x:c r="B156" s="28" t="str">
        <x:v>Maricopa County</x:v>
      </x:c>
      <x:c r="C156" s="28" t="str">
        <x:v>AZ</x:v>
      </x:c>
      <x:c r="D156" s="142" t="str">
        <x:v>04013</x:v>
      </x:c>
      <x:c r="E156" s="133" t="n">
        <x:f>SUMIFS('City Density Ranking'!$E$6:$E$974,'City Density Ranking'!$O$6:$O$974,B156,'City Density Ranking'!$C$6:$C$974,C156)</x:f>
        <x:v>2</x:v>
      </x:c>
      <x:c r="F156" s="133" t="n">
        <x:f>SUMIFS('City Density Ranking'!$F$6:$F$974,'City Density Ranking'!$O$6:$O$974,B156,'City Density Ranking'!$C$6:$C$974,C156)</x:f>
        <x:v>11</x:v>
      </x:c>
      <x:c r="G156" s="133" t="n">
        <x:f>SUMIFS('City Density Ranking'!$G$6:$G$974,'City Density Ranking'!$O$6:$O$974,B156,'City Density Ranking'!$C$6:$C$974,C156)</x:f>
        <x:v>0</x:v>
      </x:c>
      <x:c r="H156" s="133" t="n">
        <x:f>SUMIFS('City Density Ranking'!$H$6:$H$974,'City Density Ranking'!$O$6:$O$974,B156,'City Density Ranking'!$C$6:$C$974,C156)</x:f>
        <x:v>0</x:v>
      </x:c>
      <x:c r="I156" s="133" t="n">
        <x:f>SUMIFS('City Density Ranking'!$I$6:$I$974,'City Density Ranking'!$O$6:$O$974,B156,'City Density Ranking'!$C$6:$C$974,C156)</x:f>
        <x:v>0</x:v>
      </x:c>
      <x:c r="J156" s="133" t="n">
        <x:f>SUMIFS('City Density Ranking'!$J$6:$J$974,'City Density Ranking'!$O$6:$O$974,B156,'City Density Ranking'!$C$6:$C$974,C156)</x:f>
        <x:v>12</x:v>
      </x:c>
      <x:c r="K156" s="133" t="n">
        <x:f>SUM(E156:J156)</x:f>
        <x:v>25</x:v>
      </x:c>
      <x:c r="L156" s="204" t="n">
        <x:v>9201.997</x:v>
      </x:c>
      <x:c r="M156" s="205" t="n">
        <x:f>IFERROR(K156/L156,0)</x:f>
        <x:v>0.0027168015812219894</x:v>
      </x:c>
      <x:c r="N156" s="160" t="str">
        <x:v>Avondale, Buckeye, Chandler, Gilbert, Glendale, Goodyear, Mesa, Peoria, Phoenix, Queen Creek, Scottsdale, Surprise, Tempe</x:v>
      </x:c>
      <x:c r="O156" s="160" t="str">
        <x:v>Includes proxy city rows</x:v>
      </x:c>
      <x:c r="P156" s="160" t="str">
        <x:v>Aggregated from 13 city/municipality screening rows; overlapping catchments are not deduplicated.</x:v>
      </x:c>
      <x:c r="Q156" s="160" t="str">
        <x:v>Verified Census land area (retained)</x:v>
      </x:c>
    </x:row>
    <x:row r="157">
      <x:c r="A157" s="28" t="n">
        <x:v>162</x:v>
      </x:c>
      <x:c r="B157" s="28" t="str">
        <x:v>Northampton County</x:v>
      </x:c>
      <x:c r="C157" s="28" t="str">
        <x:v>PA</x:v>
      </x:c>
      <x:c r="D157" s="142" t="str">
        <x:v>42095</x:v>
      </x:c>
      <x:c r="E157" s="133" t="n">
        <x:f>SUMIFS('City Density Ranking'!$E$6:$E$974,'City Density Ranking'!$O$6:$O$974,B157,'City Density Ranking'!$C$6:$C$974,C157)</x:f>
        <x:v>0</x:v>
      </x:c>
      <x:c r="F157" s="133" t="n">
        <x:f>SUMIFS('City Density Ranking'!$F$6:$F$974,'City Density Ranking'!$O$6:$O$974,B157,'City Density Ranking'!$C$6:$C$974,C157)</x:f>
        <x:v>0</x:v>
      </x:c>
      <x:c r="G157" s="133" t="n">
        <x:f>SUMIFS('City Density Ranking'!$G$6:$G$974,'City Density Ranking'!$O$6:$O$974,B157,'City Density Ranking'!$C$6:$C$974,C157)</x:f>
        <x:v>0</x:v>
      </x:c>
      <x:c r="H157" s="133" t="n">
        <x:f>SUMIFS('City Density Ranking'!$H$6:$H$974,'City Density Ranking'!$O$6:$O$974,B157,'City Density Ranking'!$C$6:$C$974,C157)</x:f>
        <x:v>0</x:v>
      </x:c>
      <x:c r="I157" s="133" t="n">
        <x:f>SUMIFS('City Density Ranking'!$I$6:$I$974,'City Density Ranking'!$O$6:$O$974,B157,'City Density Ranking'!$C$6:$C$974,C157)</x:f>
        <x:v>1</x:v>
      </x:c>
      <x:c r="J157" s="133" t="n">
        <x:f>SUMIFS('City Density Ranking'!$J$6:$J$974,'City Density Ranking'!$O$6:$O$974,B157,'City Density Ranking'!$C$6:$C$974,C157)</x:f>
        <x:v>0</x:v>
      </x:c>
      <x:c r="K157" s="133" t="n">
        <x:f>SUM(E157:J157)</x:f>
        <x:v>1</x:v>
      </x:c>
      <x:c r="L157" s="204" t="n">
        <x:v>369.79</x:v>
      </x:c>
      <x:c r="M157" s="205" t="n">
        <x:f>IFERROR(K157/L157,0)</x:f>
        <x:v>0.002704237540225533</x:v>
      </x:c>
      <x:c r="N157" s="160" t="str">
        <x:v>Bethlehem</x:v>
      </x:c>
      <x:c r="O157" s="160" t="str">
        <x:v>Lower-bound city counts only</x:v>
      </x:c>
      <x:c r="P157" s="160" t="str">
        <x:v>Aggregated from 1 city/municipality screening rows; overlapping catchments are not deduplicated.</x:v>
      </x:c>
      <x:c r="Q157" s="160" t="str">
        <x:v>Verified Census QuickFacts land area (2020 geography)</x:v>
      </x:c>
    </x:row>
    <x:row r="158">
      <x:c r="A158" s="28" t="n">
        <x:v>163</x:v>
      </x:c>
      <x:c r="B158" s="28" t="str">
        <x:v>Jefferson County</x:v>
      </x:c>
      <x:c r="C158" s="28" t="str">
        <x:v>KY</x:v>
      </x:c>
      <x:c r="D158" s="142" t="str">
        <x:v>21111</x:v>
      </x:c>
      <x:c r="E158" s="133" t="n">
        <x:f>SUMIFS('City Density Ranking'!$E$6:$E$974,'City Density Ranking'!$O$6:$O$974,B158,'City Density Ranking'!$C$6:$C$974,C158)</x:f>
        <x:v>0</x:v>
      </x:c>
      <x:c r="F158" s="133" t="n">
        <x:f>SUMIFS('City Density Ranking'!$F$6:$F$974,'City Density Ranking'!$O$6:$O$974,B158,'City Density Ranking'!$C$6:$C$974,C158)</x:f>
        <x:v>0</x:v>
      </x:c>
      <x:c r="G158" s="133" t="n">
        <x:f>SUMIFS('City Density Ranking'!$G$6:$G$974,'City Density Ranking'!$O$6:$O$974,B158,'City Density Ranking'!$C$6:$C$974,C158)</x:f>
        <x:v>0</x:v>
      </x:c>
      <x:c r="H158" s="133" t="n">
        <x:f>SUMIFS('City Density Ranking'!$H$6:$H$974,'City Density Ranking'!$O$6:$O$974,B158,'City Density Ranking'!$C$6:$C$974,C158)</x:f>
        <x:v>0</x:v>
      </x:c>
      <x:c r="I158" s="133" t="n">
        <x:f>SUMIFS('City Density Ranking'!$I$6:$I$974,'City Density Ranking'!$O$6:$O$974,B158,'City Density Ranking'!$C$6:$C$974,C158)</x:f>
        <x:v>0</x:v>
      </x:c>
      <x:c r="J158" s="133" t="n">
        <x:f>SUMIFS('City Density Ranking'!$J$6:$J$974,'City Density Ranking'!$O$6:$O$974,B158,'City Density Ranking'!$C$6:$C$974,C158)</x:f>
        <x:v>1</x:v>
      </x:c>
      <x:c r="K158" s="133" t="n">
        <x:f>SUM(E158:J158)</x:f>
        <x:v>1</x:v>
      </x:c>
      <x:c r="L158" s="204" t="n">
        <x:v>380.802</x:v>
      </x:c>
      <x:c r="M158" s="205" t="n">
        <x:f>IFERROR(K158/L158,0)</x:f>
        <x:v>0.0026260366279588867</x:v>
      </x:c>
      <x:c r="N158" s="160" t="str">
        <x:v>Louisville</x:v>
      </x:c>
      <x:c r="O158" s="160" t="str">
        <x:v>Includes proxy city rows</x:v>
      </x:c>
      <x:c r="P158" s="160" t="str">
        <x:v>Aggregated from 1 city/municipality screening rows; overlapping catchments are not deduplicated.</x:v>
      </x:c>
      <x:c r="Q158" s="160" t="str">
        <x:v>Verified Census land area (retained)</x:v>
      </x:c>
    </x:row>
    <x:row r="159">
      <x:c r="A159" s="28" t="n">
        <x:v>164</x:v>
      </x:c>
      <x:c r="B159" s="28" t="str">
        <x:v>Jefferson County</x:v>
      </x:c>
      <x:c r="C159" s="28" t="str">
        <x:v>CO</x:v>
      </x:c>
      <x:c r="D159" s="142" t="str">
        <x:v>08059</x:v>
      </x:c>
      <x:c r="E159" s="133" t="n">
        <x:f>SUMIFS('City Density Ranking'!$E$6:$E$974,'City Density Ranking'!$O$6:$O$974,B159,'City Density Ranking'!$C$6:$C$974,C159)</x:f>
        <x:v>0</x:v>
      </x:c>
      <x:c r="F159" s="133" t="n">
        <x:f>SUMIFS('City Density Ranking'!$F$6:$F$974,'City Density Ranking'!$O$6:$O$974,B159,'City Density Ranking'!$C$6:$C$974,C159)</x:f>
        <x:v>0</x:v>
      </x:c>
      <x:c r="G159" s="133" t="n">
        <x:f>SUMIFS('City Density Ranking'!$G$6:$G$974,'City Density Ranking'!$O$6:$O$974,B159,'City Density Ranking'!$C$6:$C$974,C159)</x:f>
        <x:v>0</x:v>
      </x:c>
      <x:c r="H159" s="133" t="n">
        <x:f>SUMIFS('City Density Ranking'!$H$6:$H$974,'City Density Ranking'!$O$6:$O$974,B159,'City Density Ranking'!$C$6:$C$974,C159)</x:f>
        <x:v>0</x:v>
      </x:c>
      <x:c r="I159" s="133" t="n">
        <x:f>SUMIFS('City Density Ranking'!$I$6:$I$974,'City Density Ranking'!$O$6:$O$974,B159,'City Density Ranking'!$C$6:$C$974,C159)</x:f>
        <x:v>0</x:v>
      </x:c>
      <x:c r="J159" s="133" t="n">
        <x:f>SUMIFS('City Density Ranking'!$J$6:$J$974,'City Density Ranking'!$O$6:$O$974,B159,'City Density Ranking'!$C$6:$C$974,C159)</x:f>
        <x:v>2</x:v>
      </x:c>
      <x:c r="K159" s="133" t="n">
        <x:f>SUM(E159:J159)</x:f>
        <x:v>2</x:v>
      </x:c>
      <x:c r="L159" s="204" t="n">
        <x:v>766.5903234557105</x:v>
      </x:c>
      <x:c r="M159" s="205" t="n">
        <x:f>IFERROR(K159/L159,0)</x:f>
        <x:v>0.002608955447003564</x:v>
      </x:c>
      <x:c r="N159" s="160" t="str">
        <x:v>Arvada, Lakewood</x:v>
      </x:c>
      <x:c r="O159" s="160" t="str">
        <x:v>Includes proxy city rows</x:v>
      </x:c>
      <x:c r="P159" s="160" t="str">
        <x:v>Aggregated from 2 city/municipality screening rows; overlapping catchments are not deduplicated.</x:v>
      </x:c>
      <x:c r="Q159" s="160" t="str">
        <x:v>Estimated county land area: geodesic polygon × 0.990 land/total calibration</x:v>
      </x:c>
    </x:row>
    <x:row r="160">
      <x:c r="A160" s="28" t="n">
        <x:v>165</x:v>
      </x:c>
      <x:c r="B160" s="28" t="str">
        <x:v>Clark County</x:v>
      </x:c>
      <x:c r="C160" s="28" t="str">
        <x:v>OH</x:v>
      </x:c>
      <x:c r="D160" s="142" t="str">
        <x:v>39023</x:v>
      </x:c>
      <x:c r="E160" s="133" t="n">
        <x:f>SUMIFS('City Density Ranking'!$E$6:$E$974,'City Density Ranking'!$O$6:$O$974,B160,'City Density Ranking'!$C$6:$C$974,C160)</x:f>
        <x:v>0</x:v>
      </x:c>
      <x:c r="F160" s="133" t="n">
        <x:f>SUMIFS('City Density Ranking'!$F$6:$F$974,'City Density Ranking'!$O$6:$O$974,B160,'City Density Ranking'!$C$6:$C$974,C160)</x:f>
        <x:v>0</x:v>
      </x:c>
      <x:c r="G160" s="133" t="n">
        <x:f>SUMIFS('City Density Ranking'!$G$6:$G$974,'City Density Ranking'!$O$6:$O$974,B160,'City Density Ranking'!$C$6:$C$974,C160)</x:f>
        <x:v>0</x:v>
      </x:c>
      <x:c r="H160" s="133" t="n">
        <x:f>SUMIFS('City Density Ranking'!$H$6:$H$974,'City Density Ranking'!$O$6:$O$974,B160,'City Density Ranking'!$C$6:$C$974,C160)</x:f>
        <x:v>0</x:v>
      </x:c>
      <x:c r="I160" s="133" t="n">
        <x:f>SUMIFS('City Density Ranking'!$I$6:$I$974,'City Density Ranking'!$O$6:$O$974,B160,'City Density Ranking'!$C$6:$C$974,C160)</x:f>
        <x:v>0</x:v>
      </x:c>
      <x:c r="J160" s="133" t="n">
        <x:f>SUMIFS('City Density Ranking'!$J$6:$J$974,'City Density Ranking'!$O$6:$O$974,B160,'City Density Ranking'!$C$6:$C$974,C160)</x:f>
        <x:v>1</x:v>
      </x:c>
      <x:c r="K160" s="133" t="n">
        <x:f>SUM(E160:J160)</x:f>
        <x:v>1</x:v>
      </x:c>
      <x:c r="L160" s="204" t="n">
        <x:v>396.88</x:v>
      </x:c>
      <x:c r="M160" s="205" t="n">
        <x:f>IFERROR(K160/L160,0)</x:f>
        <x:v>0.0025196532957065107</x:v>
      </x:c>
      <x:c r="N160" s="160" t="str">
        <x:v>Springfield</x:v>
      </x:c>
      <x:c r="O160" s="160" t="str">
        <x:v>Includes proxy city rows</x:v>
      </x:c>
      <x:c r="P160" s="160" t="str">
        <x:v>Aggregated from 1 city/municipality screening rows; overlapping catchments are not deduplicated.</x:v>
      </x:c>
      <x:c r="Q160" s="160" t="str">
        <x:v>Verified Census QuickFacts land area (2020 geography)</x:v>
      </x:c>
    </x:row>
    <x:row r="161">
      <x:c r="A161" s="28" t="n">
        <x:v>166</x:v>
      </x:c>
      <x:c r="B161" s="28" t="str">
        <x:v>Arapahoe County</x:v>
      </x:c>
      <x:c r="C161" s="28" t="str">
        <x:v>CO</x:v>
      </x:c>
      <x:c r="D161" s="142" t="str">
        <x:v>08005</x:v>
      </x:c>
      <x:c r="E161" s="133" t="n">
        <x:f>SUMIFS('City Density Ranking'!$E$6:$E$974,'City Density Ranking'!$O$6:$O$974,B161,'City Density Ranking'!$C$6:$C$974,C161)</x:f>
        <x:v>0</x:v>
      </x:c>
      <x:c r="F161" s="133" t="n">
        <x:f>SUMIFS('City Density Ranking'!$F$6:$F$974,'City Density Ranking'!$O$6:$O$974,B161,'City Density Ranking'!$C$6:$C$974,C161)</x:f>
        <x:v>0</x:v>
      </x:c>
      <x:c r="G161" s="133" t="n">
        <x:f>SUMIFS('City Density Ranking'!$G$6:$G$974,'City Density Ranking'!$O$6:$O$974,B161,'City Density Ranking'!$C$6:$C$974,C161)</x:f>
        <x:v>0</x:v>
      </x:c>
      <x:c r="H161" s="133" t="n">
        <x:f>SUMIFS('City Density Ranking'!$H$6:$H$974,'City Density Ranking'!$O$6:$O$974,B161,'City Density Ranking'!$C$6:$C$974,C161)</x:f>
        <x:v>0</x:v>
      </x:c>
      <x:c r="I161" s="133" t="n">
        <x:f>SUMIFS('City Density Ranking'!$I$6:$I$974,'City Density Ranking'!$O$6:$O$974,B161,'City Density Ranking'!$C$6:$C$974,C161)</x:f>
        <x:v>0</x:v>
      </x:c>
      <x:c r="J161" s="133" t="n">
        <x:f>SUMIFS('City Density Ranking'!$J$6:$J$974,'City Density Ranking'!$O$6:$O$974,B161,'City Density Ranking'!$C$6:$C$974,C161)</x:f>
        <x:v>2</x:v>
      </x:c>
      <x:c r="K161" s="133" t="n">
        <x:f>SUM(E161:J161)</x:f>
        <x:v>2</x:v>
      </x:c>
      <x:c r="L161" s="204" t="n">
        <x:v>797.856</x:v>
      </x:c>
      <x:c r="M161" s="205" t="n">
        <x:f>IFERROR(K161/L161,0)</x:f>
        <x:v>0.0025067180042513937</x:v>
      </x:c>
      <x:c r="N161" s="160" t="str">
        <x:v>Aurora, Centennial</x:v>
      </x:c>
      <x:c r="O161" s="160" t="str">
        <x:v>Includes proxy city rows</x:v>
      </x:c>
      <x:c r="P161" s="160" t="str">
        <x:v>Aggregated from 2 city/municipality screening rows; overlapping catchments are not deduplicated.</x:v>
      </x:c>
      <x:c r="Q161" s="160" t="str">
        <x:v>Verified Census land area (retained)</x:v>
      </x:c>
    </x:row>
    <x:row r="162">
      <x:c r="A162" s="28" t="n">
        <x:v>167</x:v>
      </x:c>
      <x:c r="B162" s="28" t="str">
        <x:v>Hamilton County</x:v>
      </x:c>
      <x:c r="C162" s="28" t="str">
        <x:v>OH</x:v>
      </x:c>
      <x:c r="D162" s="142" t="str">
        <x:v>39061</x:v>
      </x:c>
      <x:c r="E162" s="133" t="n">
        <x:f>SUMIFS('City Density Ranking'!$E$6:$E$974,'City Density Ranking'!$O$6:$O$974,B162,'City Density Ranking'!$C$6:$C$974,C162)</x:f>
        <x:v>0</x:v>
      </x:c>
      <x:c r="F162" s="133" t="n">
        <x:f>SUMIFS('City Density Ranking'!$F$6:$F$974,'City Density Ranking'!$O$6:$O$974,B162,'City Density Ranking'!$C$6:$C$974,C162)</x:f>
        <x:v>0</x:v>
      </x:c>
      <x:c r="G162" s="133" t="n">
        <x:f>SUMIFS('City Density Ranking'!$G$6:$G$974,'City Density Ranking'!$O$6:$O$974,B162,'City Density Ranking'!$C$6:$C$974,C162)</x:f>
        <x:v>0</x:v>
      </x:c>
      <x:c r="H162" s="133" t="n">
        <x:f>SUMIFS('City Density Ranking'!$H$6:$H$974,'City Density Ranking'!$O$6:$O$974,B162,'City Density Ranking'!$C$6:$C$974,C162)</x:f>
        <x:v>1</x:v>
      </x:c>
      <x:c r="I162" s="133" t="n">
        <x:f>SUMIFS('City Density Ranking'!$I$6:$I$974,'City Density Ranking'!$O$6:$O$974,B162,'City Density Ranking'!$C$6:$C$974,C162)</x:f>
        <x:v>0</x:v>
      </x:c>
      <x:c r="J162" s="133" t="n">
        <x:f>SUMIFS('City Density Ranking'!$J$6:$J$974,'City Density Ranking'!$O$6:$O$974,B162,'City Density Ranking'!$C$6:$C$974,C162)</x:f>
        <x:v>0</x:v>
      </x:c>
      <x:c r="K162" s="133" t="n">
        <x:f>SUM(E162:J162)</x:f>
        <x:v>1</x:v>
      </x:c>
      <x:c r="L162" s="204" t="n">
        <x:v>405.417</x:v>
      </x:c>
      <x:c r="M162" s="205" t="n">
        <x:f>IFERROR(K162/L162,0)</x:f>
        <x:v>0.002466596122017577</x:v>
      </x:c>
      <x:c r="N162" s="160" t="str">
        <x:v>Cincinnati</x:v>
      </x:c>
      <x:c r="O162" s="160" t="str">
        <x:v>Lower-bound city counts only</x:v>
      </x:c>
      <x:c r="P162" s="160" t="str">
        <x:v>Aggregated from 1 city/municipality screening rows; overlapping catchments are not deduplicated.</x:v>
      </x:c>
      <x:c r="Q162" s="160" t="str">
        <x:v>Verified Census land area (retained)</x:v>
      </x:c>
    </x:row>
    <x:row r="163">
      <x:c r="A163" s="28" t="n">
        <x:v>168</x:v>
      </x:c>
      <x:c r="B163" s="28" t="str">
        <x:v>Forsyth County</x:v>
      </x:c>
      <x:c r="C163" s="28" t="str">
        <x:v>NC</x:v>
      </x:c>
      <x:c r="D163" s="142" t="str">
        <x:v>37067</x:v>
      </x:c>
      <x:c r="E163" s="133" t="n">
        <x:f>SUMIFS('City Density Ranking'!$E$6:$E$974,'City Density Ranking'!$O$6:$O$974,B163,'City Density Ranking'!$C$6:$C$974,C163)</x:f>
        <x:v>0</x:v>
      </x:c>
      <x:c r="F163" s="133" t="n">
        <x:f>SUMIFS('City Density Ranking'!$F$6:$F$974,'City Density Ranking'!$O$6:$O$974,B163,'City Density Ranking'!$C$6:$C$974,C163)</x:f>
        <x:v>0</x:v>
      </x:c>
      <x:c r="G163" s="133" t="n">
        <x:f>SUMIFS('City Density Ranking'!$G$6:$G$974,'City Density Ranking'!$O$6:$O$974,B163,'City Density Ranking'!$C$6:$C$974,C163)</x:f>
        <x:v>0</x:v>
      </x:c>
      <x:c r="H163" s="133" t="n">
        <x:f>SUMIFS('City Density Ranking'!$H$6:$H$974,'City Density Ranking'!$O$6:$O$974,B163,'City Density Ranking'!$C$6:$C$974,C163)</x:f>
        <x:v>0</x:v>
      </x:c>
      <x:c r="I163" s="133" t="n">
        <x:f>SUMIFS('City Density Ranking'!$I$6:$I$974,'City Density Ranking'!$O$6:$O$974,B163,'City Density Ranking'!$C$6:$C$974,C163)</x:f>
        <x:v>0</x:v>
      </x:c>
      <x:c r="J163" s="133" t="n">
        <x:f>SUMIFS('City Density Ranking'!$J$6:$J$974,'City Density Ranking'!$O$6:$O$974,B163,'City Density Ranking'!$C$6:$C$974,C163)</x:f>
        <x:v>1</x:v>
      </x:c>
      <x:c r="K163" s="133" t="n">
        <x:f>SUM(E163:J163)</x:f>
        <x:v>1</x:v>
      </x:c>
      <x:c r="L163" s="204" t="n">
        <x:v>407.851</x:v>
      </x:c>
      <x:c r="M163" s="205" t="n">
        <x:f>IFERROR(K163/L163,0)</x:f>
        <x:v>0.002451875807586594</x:v>
      </x:c>
      <x:c r="N163" s="160" t="str">
        <x:v>Winston-Salem</x:v>
      </x:c>
      <x:c r="O163" s="160" t="str">
        <x:v>Includes proxy city rows</x:v>
      </x:c>
      <x:c r="P163" s="160" t="str">
        <x:v>Aggregated from 1 city/municipality screening rows; overlapping catchments are not deduplicated.</x:v>
      </x:c>
      <x:c r="Q163" s="160" t="str">
        <x:v>Verified Census land area (retained)</x:v>
      </x:c>
    </x:row>
    <x:row r="164">
      <x:c r="A164" s="28" t="n">
        <x:v>169</x:v>
      </x:c>
      <x:c r="B164" s="28" t="str">
        <x:v>Middlesex County</x:v>
      </x:c>
      <x:c r="C164" s="28" t="str">
        <x:v>MA</x:v>
      </x:c>
      <x:c r="D164" s="142" t="str">
        <x:v>25017</x:v>
      </x:c>
      <x:c r="E164" s="133" t="n">
        <x:f>SUMIFS('City Density Ranking'!$E$6:$E$974,'City Density Ranking'!$O$6:$O$974,B164,'City Density Ranking'!$C$6:$C$974,C164)</x:f>
        <x:v>0</x:v>
      </x:c>
      <x:c r="F164" s="133" t="n">
        <x:f>SUMIFS('City Density Ranking'!$F$6:$F$974,'City Density Ranking'!$O$6:$O$974,B164,'City Density Ranking'!$C$6:$C$974,C164)</x:f>
        <x:v>0</x:v>
      </x:c>
      <x:c r="G164" s="133" t="n">
        <x:f>SUMIFS('City Density Ranking'!$G$6:$G$974,'City Density Ranking'!$O$6:$O$974,B164,'City Density Ranking'!$C$6:$C$974,C164)</x:f>
        <x:v>0</x:v>
      </x:c>
      <x:c r="H164" s="133" t="n">
        <x:f>SUMIFS('City Density Ranking'!$H$6:$H$974,'City Density Ranking'!$O$6:$O$974,B164,'City Density Ranking'!$C$6:$C$974,C164)</x:f>
        <x:v>0</x:v>
      </x:c>
      <x:c r="I164" s="133" t="n">
        <x:f>SUMIFS('City Density Ranking'!$I$6:$I$974,'City Density Ranking'!$O$6:$O$974,B164,'City Density Ranking'!$C$6:$C$974,C164)</x:f>
        <x:v>0</x:v>
      </x:c>
      <x:c r="J164" s="133" t="n">
        <x:f>SUMIFS('City Density Ranking'!$J$6:$J$974,'City Density Ranking'!$O$6:$O$974,B164,'City Density Ranking'!$C$6:$C$974,C164)</x:f>
        <x:v>2</x:v>
      </x:c>
      <x:c r="K164" s="133" t="n">
        <x:f>SUM(E164:J164)</x:f>
        <x:v>2</x:v>
      </x:c>
      <x:c r="L164" s="204" t="n">
        <x:v>817.864</x:v>
      </x:c>
      <x:c r="M164" s="205" t="n">
        <x:f>IFERROR(K164/L164,0)</x:f>
        <x:v>0.0024453943442919604</x:v>
      </x:c>
      <x:c r="N164" s="160" t="str">
        <x:v>Cambridge, Lowell</x:v>
      </x:c>
      <x:c r="O164" s="160" t="str">
        <x:v>Includes proxy city rows</x:v>
      </x:c>
      <x:c r="P164" s="160" t="str">
        <x:v>Aggregated from 2 city/municipality screening rows; overlapping catchments are not deduplicated.</x:v>
      </x:c>
      <x:c r="Q164" s="160" t="str">
        <x:v>Verified Census land area (retained)</x:v>
      </x:c>
    </x:row>
    <x:row r="165">
      <x:c r="A165" s="28" t="n">
        <x:v>170</x:v>
      </x:c>
      <x:c r="B165" s="28" t="str">
        <x:v>Mahoning County</x:v>
      </x:c>
      <x:c r="C165" s="28" t="str">
        <x:v>OH</x:v>
      </x:c>
      <x:c r="D165" s="142" t="str">
        <x:v>39099</x:v>
      </x:c>
      <x:c r="E165" s="133" t="n">
        <x:f>SUMIFS('City Density Ranking'!$E$6:$E$974,'City Density Ranking'!$O$6:$O$974,B165,'City Density Ranking'!$C$6:$C$974,C165)</x:f>
        <x:v>0</x:v>
      </x:c>
      <x:c r="F165" s="133" t="n">
        <x:f>SUMIFS('City Density Ranking'!$F$6:$F$974,'City Density Ranking'!$O$6:$O$974,B165,'City Density Ranking'!$C$6:$C$974,C165)</x:f>
        <x:v>0</x:v>
      </x:c>
      <x:c r="G165" s="133" t="n">
        <x:f>SUMIFS('City Density Ranking'!$G$6:$G$974,'City Density Ranking'!$O$6:$O$974,B165,'City Density Ranking'!$C$6:$C$974,C165)</x:f>
        <x:v>0</x:v>
      </x:c>
      <x:c r="H165" s="133" t="n">
        <x:f>SUMIFS('City Density Ranking'!$H$6:$H$974,'City Density Ranking'!$O$6:$O$974,B165,'City Density Ranking'!$C$6:$C$974,C165)</x:f>
        <x:v>0</x:v>
      </x:c>
      <x:c r="I165" s="133" t="n">
        <x:f>SUMIFS('City Density Ranking'!$I$6:$I$974,'City Density Ranking'!$O$6:$O$974,B165,'City Density Ranking'!$C$6:$C$974,C165)</x:f>
        <x:v>0</x:v>
      </x:c>
      <x:c r="J165" s="133" t="n">
        <x:f>SUMIFS('City Density Ranking'!$J$6:$J$974,'City Density Ranking'!$O$6:$O$974,B165,'City Density Ranking'!$C$6:$C$974,C165)</x:f>
        <x:v>1</x:v>
      </x:c>
      <x:c r="K165" s="133" t="n">
        <x:f>SUM(E165:J165)</x:f>
        <x:v>1</x:v>
      </x:c>
      <x:c r="L165" s="204" t="n">
        <x:v>411.49</x:v>
      </x:c>
      <x:c r="M165" s="205" t="n">
        <x:f>IFERROR(K165/L165,0)</x:f>
        <x:v>0.0024301927142822426</x:v>
      </x:c>
      <x:c r="N165" s="160" t="str">
        <x:v>Youngstown</x:v>
      </x:c>
      <x:c r="O165" s="160" t="str">
        <x:v>Includes proxy city rows</x:v>
      </x:c>
      <x:c r="P165" s="160" t="str">
        <x:v>Aggregated from 1 city/municipality screening rows; overlapping catchments are not deduplicated.</x:v>
      </x:c>
      <x:c r="Q165" s="160" t="str">
        <x:v>Verified Census QuickFacts land area (2020 geography)</x:v>
      </x:c>
    </x:row>
    <x:row r="166">
      <x:c r="A166" s="28" t="n">
        <x:v>171</x:v>
      </x:c>
      <x:c r="B166" s="28" t="str">
        <x:v>Summit County</x:v>
      </x:c>
      <x:c r="C166" s="28" t="str">
        <x:v>OH</x:v>
      </x:c>
      <x:c r="D166" s="142" t="str">
        <x:v>39153</x:v>
      </x:c>
      <x:c r="E166" s="133" t="n">
        <x:f>SUMIFS('City Density Ranking'!$E$6:$E$974,'City Density Ranking'!$O$6:$O$974,B166,'City Density Ranking'!$C$6:$C$974,C166)</x:f>
        <x:v>0</x:v>
      </x:c>
      <x:c r="F166" s="133" t="n">
        <x:f>SUMIFS('City Density Ranking'!$F$6:$F$974,'City Density Ranking'!$O$6:$O$974,B166,'City Density Ranking'!$C$6:$C$974,C166)</x:f>
        <x:v>0</x:v>
      </x:c>
      <x:c r="G166" s="133" t="n">
        <x:f>SUMIFS('City Density Ranking'!$G$6:$G$974,'City Density Ranking'!$O$6:$O$974,B166,'City Density Ranking'!$C$6:$C$974,C166)</x:f>
        <x:v>0</x:v>
      </x:c>
      <x:c r="H166" s="133" t="n">
        <x:f>SUMIFS('City Density Ranking'!$H$6:$H$974,'City Density Ranking'!$O$6:$O$974,B166,'City Density Ranking'!$C$6:$C$974,C166)</x:f>
        <x:v>0</x:v>
      </x:c>
      <x:c r="I166" s="133" t="n">
        <x:f>SUMIFS('City Density Ranking'!$I$6:$I$974,'City Density Ranking'!$O$6:$O$974,B166,'City Density Ranking'!$C$6:$C$974,C166)</x:f>
        <x:v>0</x:v>
      </x:c>
      <x:c r="J166" s="133" t="n">
        <x:f>SUMIFS('City Density Ranking'!$J$6:$J$974,'City Density Ranking'!$O$6:$O$974,B166,'City Density Ranking'!$C$6:$C$974,C166)</x:f>
        <x:v>1</x:v>
      </x:c>
      <x:c r="K166" s="133" t="n">
        <x:f>SUM(E166:J166)</x:f>
        <x:v>1</x:v>
      </x:c>
      <x:c r="L166" s="204" t="n">
        <x:v>412.1191328814071</x:v>
      </x:c>
      <x:c r="M166" s="205" t="n">
        <x:f>IFERROR(K166/L166,0)</x:f>
        <x:v>0.0024264828303610054</x:v>
      </x:c>
      <x:c r="N166" s="160" t="str">
        <x:v>Akron</x:v>
      </x:c>
      <x:c r="O166" s="160" t="str">
        <x:v>Includes proxy city rows</x:v>
      </x:c>
      <x:c r="P166" s="160" t="str">
        <x:v>Aggregated from 1 city/municipality screening rows; overlapping catchments are not deduplicated.</x:v>
      </x:c>
      <x:c r="Q166" s="160" t="str">
        <x:v>Estimated county land area: geodesic polygon × 0.981 land/total calibration</x:v>
      </x:c>
    </x:row>
    <x:row r="167">
      <x:c r="A167" s="28" t="n">
        <x:v>172</x:v>
      </x:c>
      <x:c r="B167" s="28" t="str">
        <x:v>Anne Arundel County</x:v>
      </x:c>
      <x:c r="C167" s="28" t="str">
        <x:v>MD</x:v>
      </x:c>
      <x:c r="D167" s="142" t="str">
        <x:v>24003</x:v>
      </x:c>
      <x:c r="E167" s="133" t="n">
        <x:f>SUMIFS('City Density Ranking'!$E$6:$E$974,'City Density Ranking'!$O$6:$O$974,B167,'City Density Ranking'!$C$6:$C$974,C167)</x:f>
        <x:v>0</x:v>
      </x:c>
      <x:c r="F167" s="133" t="n">
        <x:f>SUMIFS('City Density Ranking'!$F$6:$F$974,'City Density Ranking'!$O$6:$O$974,B167,'City Density Ranking'!$C$6:$C$974,C167)</x:f>
        <x:v>0</x:v>
      </x:c>
      <x:c r="G167" s="133" t="n">
        <x:f>SUMIFS('City Density Ranking'!$G$6:$G$974,'City Density Ranking'!$O$6:$O$974,B167,'City Density Ranking'!$C$6:$C$974,C167)</x:f>
        <x:v>0</x:v>
      </x:c>
      <x:c r="H167" s="133" t="n">
        <x:f>SUMIFS('City Density Ranking'!$H$6:$H$974,'City Density Ranking'!$O$6:$O$974,B167,'City Density Ranking'!$C$6:$C$974,C167)</x:f>
        <x:v>0</x:v>
      </x:c>
      <x:c r="I167" s="133" t="n">
        <x:f>SUMIFS('City Density Ranking'!$I$6:$I$974,'City Density Ranking'!$O$6:$O$974,B167,'City Density Ranking'!$C$6:$C$974,C167)</x:f>
        <x:v>0</x:v>
      </x:c>
      <x:c r="J167" s="133" t="n">
        <x:f>SUMIFS('City Density Ranking'!$J$6:$J$974,'City Density Ranking'!$O$6:$O$974,B167,'City Density Ranking'!$C$6:$C$974,C167)</x:f>
        <x:v>1</x:v>
      </x:c>
      <x:c r="K167" s="133" t="n">
        <x:f>SUM(E167:J167)</x:f>
        <x:v>1</x:v>
      </x:c>
      <x:c r="L167" s="204" t="n">
        <x:v>414.808</x:v>
      </x:c>
      <x:c r="M167" s="205" t="n">
        <x:f>IFERROR(K167/L167,0)</x:f>
        <x:v>0.00241075389095678</x:v>
      </x:c>
      <x:c r="N167" s="160" t="str">
        <x:v>Annapolis City</x:v>
      </x:c>
      <x:c r="O167" s="160" t="str">
        <x:v>Includes proxy city rows</x:v>
      </x:c>
      <x:c r="P167" s="160" t="str">
        <x:v>Aggregated from 1 city/municipality screening rows; overlapping catchments are not deduplicated.</x:v>
      </x:c>
      <x:c r="Q167" s="160" t="str">
        <x:v>U.S. Census Bureau 2025 Gazetteer — ALAND_SQMI</x:v>
      </x:c>
    </x:row>
    <x:row r="168">
      <x:c r="A168" s="28" t="n">
        <x:v>173</x:v>
      </x:c>
      <x:c r="B168" s="28" t="str">
        <x:v>Wake County</x:v>
      </x:c>
      <x:c r="C168" s="28" t="str">
        <x:v>NC</x:v>
      </x:c>
      <x:c r="D168" s="142" t="str">
        <x:v>37183</x:v>
      </x:c>
      <x:c r="E168" s="133" t="n">
        <x:f>SUMIFS('City Density Ranking'!$E$6:$E$974,'City Density Ranking'!$O$6:$O$974,B168,'City Density Ranking'!$C$6:$C$974,C168)</x:f>
        <x:v>0</x:v>
      </x:c>
      <x:c r="F168" s="133" t="n">
        <x:f>SUMIFS('City Density Ranking'!$F$6:$F$974,'City Density Ranking'!$O$6:$O$974,B168,'City Density Ranking'!$C$6:$C$974,C168)</x:f>
        <x:v>0</x:v>
      </x:c>
      <x:c r="G168" s="133" t="n">
        <x:f>SUMIFS('City Density Ranking'!$G$6:$G$974,'City Density Ranking'!$O$6:$O$974,B168,'City Density Ranking'!$C$6:$C$974,C168)</x:f>
        <x:v>0</x:v>
      </x:c>
      <x:c r="H168" s="133" t="n">
        <x:f>SUMIFS('City Density Ranking'!$H$6:$H$974,'City Density Ranking'!$O$6:$O$974,B168,'City Density Ranking'!$C$6:$C$974,C168)</x:f>
        <x:v>0</x:v>
      </x:c>
      <x:c r="I168" s="133" t="n">
        <x:f>SUMIFS('City Density Ranking'!$I$6:$I$974,'City Density Ranking'!$O$6:$O$974,B168,'City Density Ranking'!$C$6:$C$974,C168)</x:f>
        <x:v>0</x:v>
      </x:c>
      <x:c r="J168" s="133" t="n">
        <x:f>SUMIFS('City Density Ranking'!$J$6:$J$974,'City Density Ranking'!$O$6:$O$974,B168,'City Density Ranking'!$C$6:$C$974,C168)</x:f>
        <x:v>2</x:v>
      </x:c>
      <x:c r="K168" s="133" t="n">
        <x:f>SUM(E168:J168)</x:f>
        <x:v>2</x:v>
      </x:c>
      <x:c r="L168" s="204" t="n">
        <x:v>834.614</x:v>
      </x:c>
      <x:c r="M168" s="205" t="n">
        <x:f>IFERROR(K168/L168,0)</x:f>
        <x:v>0.002396317339512637</x:v>
      </x:c>
      <x:c r="N168" s="160" t="str">
        <x:v>Cary, Raleigh</x:v>
      </x:c>
      <x:c r="O168" s="160" t="str">
        <x:v>Includes proxy city rows</x:v>
      </x:c>
      <x:c r="P168" s="160" t="str">
        <x:v>Aggregated from 2 city/municipality screening rows; overlapping catchments are not deduplicated.</x:v>
      </x:c>
      <x:c r="Q168" s="160" t="str">
        <x:v>Verified Census land area (retained)</x:v>
      </x:c>
    </x:row>
    <x:row r="169">
      <x:c r="A169" s="28" t="n">
        <x:v>174</x:v>
      </x:c>
      <x:c r="B169" s="28" t="str">
        <x:v>Galveston County</x:v>
      </x:c>
      <x:c r="C169" s="28" t="str">
        <x:v>TX</x:v>
      </x:c>
      <x:c r="D169" s="142" t="str">
        <x:v>48167</x:v>
      </x:c>
      <x:c r="E169" s="133" t="n">
        <x:f>SUMIFS('City Density Ranking'!$E$6:$E$974,'City Density Ranking'!$O$6:$O$974,B169,'City Density Ranking'!$C$6:$C$974,C169)</x:f>
        <x:v>0</x:v>
      </x:c>
      <x:c r="F169" s="133" t="n">
        <x:f>SUMIFS('City Density Ranking'!$F$6:$F$974,'City Density Ranking'!$O$6:$O$974,B169,'City Density Ranking'!$C$6:$C$974,C169)</x:f>
        <x:v>0</x:v>
      </x:c>
      <x:c r="G169" s="133" t="n">
        <x:f>SUMIFS('City Density Ranking'!$G$6:$G$974,'City Density Ranking'!$O$6:$O$974,B169,'City Density Ranking'!$C$6:$C$974,C169)</x:f>
        <x:v>0</x:v>
      </x:c>
      <x:c r="H169" s="133" t="n">
        <x:f>SUMIFS('City Density Ranking'!$H$6:$H$974,'City Density Ranking'!$O$6:$O$974,B169,'City Density Ranking'!$C$6:$C$974,C169)</x:f>
        <x:v>0</x:v>
      </x:c>
      <x:c r="I169" s="133" t="n">
        <x:f>SUMIFS('City Density Ranking'!$I$6:$I$974,'City Density Ranking'!$O$6:$O$974,B169,'City Density Ranking'!$C$6:$C$974,C169)</x:f>
        <x:v>0</x:v>
      </x:c>
      <x:c r="J169" s="133" t="n">
        <x:f>SUMIFS('City Density Ranking'!$J$6:$J$974,'City Density Ranking'!$O$6:$O$974,B169,'City Density Ranking'!$C$6:$C$974,C169)</x:f>
        <x:v>1</x:v>
      </x:c>
      <x:c r="K169" s="133" t="n">
        <x:f>SUM(E169:J169)</x:f>
        <x:v>1</x:v>
      </x:c>
      <x:c r="L169" s="204" t="n">
        <x:v>418.4293622733261</x:v>
      </x:c>
      <x:c r="M169" s="205" t="n">
        <x:f>IFERROR(K169/L169,0)</x:f>
        <x:v>0.0023898896448542747</x:v>
      </x:c>
      <x:c r="N169" s="160" t="str">
        <x:v>League City</x:v>
      </x:c>
      <x:c r="O169" s="160" t="str">
        <x:v>Includes proxy city rows</x:v>
      </x:c>
      <x:c r="P169" s="160" t="str">
        <x:v>Aggregated from 1 city/municipality screening rows; overlapping catchments are not deduplicated.</x:v>
      </x:c>
      <x:c r="Q169" s="160" t="str">
        <x:v>Estimated county land area: geodesic polygon × 0.972 land/total calibration</x:v>
      </x:c>
    </x:row>
    <x:row r="170">
      <x:c r="A170" s="28" t="n">
        <x:v>175</x:v>
      </x:c>
      <x:c r="B170" s="28" t="str">
        <x:v>Providence County</x:v>
      </x:c>
      <x:c r="C170" s="28" t="str">
        <x:v>RI</x:v>
      </x:c>
      <x:c r="D170" s="142" t="str">
        <x:v>44007</x:v>
      </x:c>
      <x:c r="E170" s="133" t="n">
        <x:f>SUMIFS('City Density Ranking'!$E$6:$E$974,'City Density Ranking'!$O$6:$O$974,B170,'City Density Ranking'!$C$6:$C$974,C170)</x:f>
        <x:v>0</x:v>
      </x:c>
      <x:c r="F170" s="133" t="n">
        <x:f>SUMIFS('City Density Ranking'!$F$6:$F$974,'City Density Ranking'!$O$6:$O$974,B170,'City Density Ranking'!$C$6:$C$974,C170)</x:f>
        <x:v>0</x:v>
      </x:c>
      <x:c r="G170" s="133" t="n">
        <x:f>SUMIFS('City Density Ranking'!$G$6:$G$974,'City Density Ranking'!$O$6:$O$974,B170,'City Density Ranking'!$C$6:$C$974,C170)</x:f>
        <x:v>0</x:v>
      </x:c>
      <x:c r="H170" s="133" t="n">
        <x:f>SUMIFS('City Density Ranking'!$H$6:$H$974,'City Density Ranking'!$O$6:$O$974,B170,'City Density Ranking'!$C$6:$C$974,C170)</x:f>
        <x:v>0</x:v>
      </x:c>
      <x:c r="I170" s="133" t="n">
        <x:f>SUMIFS('City Density Ranking'!$I$6:$I$974,'City Density Ranking'!$O$6:$O$974,B170,'City Density Ranking'!$C$6:$C$974,C170)</x:f>
        <x:v>0</x:v>
      </x:c>
      <x:c r="J170" s="133" t="n">
        <x:f>SUMIFS('City Density Ranking'!$J$6:$J$974,'City Density Ranking'!$O$6:$O$974,B170,'City Density Ranking'!$C$6:$C$974,C170)</x:f>
        <x:v>1</x:v>
      </x:c>
      <x:c r="K170" s="133" t="n">
        <x:f>SUM(E170:J170)</x:f>
        <x:v>1</x:v>
      </x:c>
      <x:c r="L170" s="204" t="n">
        <x:v>423.5749196277833</x:v>
      </x:c>
      <x:c r="M170" s="205" t="n">
        <x:f>IFERROR(K170/L170,0)</x:f>
        <x:v>0.0023608574390541126</x:v>
      </x:c>
      <x:c r="N170" s="160" t="str">
        <x:v>Providence</x:v>
      </x:c>
      <x:c r="O170" s="160" t="str">
        <x:v>Includes proxy city rows</x:v>
      </x:c>
      <x:c r="P170" s="160" t="str">
        <x:v>Aggregated from 1 city/municipality screening rows; overlapping catchments are not deduplicated.</x:v>
      </x:c>
      <x:c r="Q170" s="160" t="str">
        <x:v>Estimated county land area: geodesic polygon × 0.972 land/total calibration</x:v>
      </x:c>
    </x:row>
    <x:row r="171">
      <x:c r="A171" s="28" t="n">
        <x:v>176</x:v>
      </x:c>
      <x:c r="B171" s="28" t="str">
        <x:v>New Castle County</x:v>
      </x:c>
      <x:c r="C171" s="28" t="str">
        <x:v>DE</x:v>
      </x:c>
      <x:c r="D171" s="142" t="str">
        <x:v>10003</x:v>
      </x:c>
      <x:c r="E171" s="133" t="n">
        <x:f>SUMIFS('City Density Ranking'!$E$6:$E$974,'City Density Ranking'!$O$6:$O$974,B171,'City Density Ranking'!$C$6:$C$974,C171)</x:f>
        <x:v>0</x:v>
      </x:c>
      <x:c r="F171" s="133" t="n">
        <x:f>SUMIFS('City Density Ranking'!$F$6:$F$974,'City Density Ranking'!$O$6:$O$974,B171,'City Density Ranking'!$C$6:$C$974,C171)</x:f>
        <x:v>0</x:v>
      </x:c>
      <x:c r="G171" s="133" t="n">
        <x:f>SUMIFS('City Density Ranking'!$G$6:$G$974,'City Density Ranking'!$O$6:$O$974,B171,'City Density Ranking'!$C$6:$C$974,C171)</x:f>
        <x:v>0</x:v>
      </x:c>
      <x:c r="H171" s="133" t="n">
        <x:f>SUMIFS('City Density Ranking'!$H$6:$H$974,'City Density Ranking'!$O$6:$O$974,B171,'City Density Ranking'!$C$6:$C$974,C171)</x:f>
        <x:v>0</x:v>
      </x:c>
      <x:c r="I171" s="133" t="n">
        <x:f>SUMIFS('City Density Ranking'!$I$6:$I$974,'City Density Ranking'!$O$6:$O$974,B171,'City Density Ranking'!$C$6:$C$974,C171)</x:f>
        <x:v>1</x:v>
      </x:c>
      <x:c r="J171" s="133" t="n">
        <x:f>SUMIFS('City Density Ranking'!$J$6:$J$974,'City Density Ranking'!$O$6:$O$974,B171,'City Density Ranking'!$C$6:$C$974,C171)</x:f>
        <x:v>0</x:v>
      </x:c>
      <x:c r="K171" s="133" t="n">
        <x:f>SUM(E171:J171)</x:f>
        <x:v>1</x:v>
      </x:c>
      <x:c r="L171" s="204" t="n">
        <x:v>426.34</x:v>
      </x:c>
      <x:c r="M171" s="205" t="n">
        <x:f>IFERROR(K171/L171,0)</x:f>
        <x:v>0.0023455458085096404</x:v>
      </x:c>
      <x:c r="N171" s="160" t="str">
        <x:v>Wilmington</x:v>
      </x:c>
      <x:c r="O171" s="160" t="str">
        <x:v>Lower-bound city counts only</x:v>
      </x:c>
      <x:c r="P171" s="160" t="str">
        <x:v>Aggregated from 1 city/municipality screening rows; overlapping catchments are not deduplicated.</x:v>
      </x:c>
      <x:c r="Q171" s="160" t="str">
        <x:v>Verified Census QuickFacts land area (2020 geography)</x:v>
      </x:c>
    </x:row>
    <x:row r="172">
      <x:c r="A172" s="28" t="n">
        <x:v>177</x:v>
      </x:c>
      <x:c r="B172" s="28" t="str">
        <x:v>Fort Bend County</x:v>
      </x:c>
      <x:c r="C172" s="28" t="str">
        <x:v>TX</x:v>
      </x:c>
      <x:c r="D172" s="142" t="str">
        <x:v>48157</x:v>
      </x:c>
      <x:c r="E172" s="133" t="n">
        <x:f>SUMIFS('City Density Ranking'!$E$6:$E$974,'City Density Ranking'!$O$6:$O$974,B172,'City Density Ranking'!$C$6:$C$974,C172)</x:f>
        <x:v>1</x:v>
      </x:c>
      <x:c r="F172" s="133" t="n">
        <x:f>SUMIFS('City Density Ranking'!$F$6:$F$974,'City Density Ranking'!$O$6:$O$974,B172,'City Density Ranking'!$C$6:$C$974,C172)</x:f>
        <x:v>0</x:v>
      </x:c>
      <x:c r="G172" s="133" t="n">
        <x:f>SUMIFS('City Density Ranking'!$G$6:$G$974,'City Density Ranking'!$O$6:$O$974,B172,'City Density Ranking'!$C$6:$C$974,C172)</x:f>
        <x:v>0</x:v>
      </x:c>
      <x:c r="H172" s="133" t="n">
        <x:f>SUMIFS('City Density Ranking'!$H$6:$H$974,'City Density Ranking'!$O$6:$O$974,B172,'City Density Ranking'!$C$6:$C$974,C172)</x:f>
        <x:v>0</x:v>
      </x:c>
      <x:c r="I172" s="133" t="n">
        <x:f>SUMIFS('City Density Ranking'!$I$6:$I$974,'City Density Ranking'!$O$6:$O$974,B172,'City Density Ranking'!$C$6:$C$974,C172)</x:f>
        <x:v>0</x:v>
      </x:c>
      <x:c r="J172" s="133" t="n">
        <x:f>SUMIFS('City Density Ranking'!$J$6:$J$974,'City Density Ranking'!$O$6:$O$974,B172,'City Density Ranking'!$C$6:$C$974,C172)</x:f>
        <x:v>1</x:v>
      </x:c>
      <x:c r="K172" s="133" t="n">
        <x:f>SUM(E172:J172)</x:f>
        <x:v>2</x:v>
      </x:c>
      <x:c r="L172" s="204" t="n">
        <x:v>861.72</x:v>
      </x:c>
      <x:c r="M172" s="205" t="n">
        <x:f>IFERROR(K172/L172,0)</x:f>
        <x:v>0.002320939516316205</x:v>
      </x:c>
      <x:c r="N172" s="160" t="str">
        <x:v>Fulshear, Sugar Land</x:v>
      </x:c>
      <x:c r="O172" s="160" t="str">
        <x:v>Includes proxy city rows</x:v>
      </x:c>
      <x:c r="P172" s="160" t="str">
        <x:v>Aggregated from 2 city/municipality screening rows; overlapping catchments are not deduplicated.</x:v>
      </x:c>
      <x:c r="Q172" s="160" t="str">
        <x:v>Verified Census QuickFacts land area (2020)</x:v>
      </x:c>
    </x:row>
    <x:row r="173">
      <x:c r="A173" s="28" t="n">
        <x:v>178</x:v>
      </x:c>
      <x:c r="B173" s="28" t="str">
        <x:v>Tarrant County</x:v>
      </x:c>
      <x:c r="C173" s="28" t="str">
        <x:v>TX</x:v>
      </x:c>
      <x:c r="D173" s="142" t="str">
        <x:v>48439</x:v>
      </x:c>
      <x:c r="E173" s="133" t="n">
        <x:f>SUMIFS('City Density Ranking'!$E$6:$E$974,'City Density Ranking'!$O$6:$O$974,B173,'City Density Ranking'!$C$6:$C$974,C173)</x:f>
        <x:v>0</x:v>
      </x:c>
      <x:c r="F173" s="133" t="n">
        <x:f>SUMIFS('City Density Ranking'!$F$6:$F$974,'City Density Ranking'!$O$6:$O$974,B173,'City Density Ranking'!$C$6:$C$974,C173)</x:f>
        <x:v>0</x:v>
      </x:c>
      <x:c r="G173" s="133" t="n">
        <x:f>SUMIFS('City Density Ranking'!$G$6:$G$974,'City Density Ranking'!$O$6:$O$974,B173,'City Density Ranking'!$C$6:$C$974,C173)</x:f>
        <x:v>0</x:v>
      </x:c>
      <x:c r="H173" s="133" t="n">
        <x:f>SUMIFS('City Density Ranking'!$H$6:$H$974,'City Density Ranking'!$O$6:$O$974,B173,'City Density Ranking'!$C$6:$C$974,C173)</x:f>
        <x:v>0</x:v>
      </x:c>
      <x:c r="I173" s="133" t="n">
        <x:f>SUMIFS('City Density Ranking'!$I$6:$I$974,'City Density Ranking'!$O$6:$O$974,B173,'City Density Ranking'!$C$6:$C$974,C173)</x:f>
        <x:v>0</x:v>
      </x:c>
      <x:c r="J173" s="133" t="n">
        <x:f>SUMIFS('City Density Ranking'!$J$6:$J$974,'City Density Ranking'!$O$6:$O$974,B173,'City Density Ranking'!$C$6:$C$974,C173)</x:f>
        <x:v>2</x:v>
      </x:c>
      <x:c r="K173" s="133" t="n">
        <x:f>SUM(E173:J173)</x:f>
        <x:v>2</x:v>
      </x:c>
      <x:c r="L173" s="204" t="n">
        <x:v>865.285</x:v>
      </x:c>
      <x:c r="M173" s="205" t="n">
        <x:f>IFERROR(K173/L173,0)</x:f>
        <x:v>0.0023113771763060725</x:v>
      </x:c>
      <x:c r="N173" s="160" t="str">
        <x:v>Arlington, Fort Worth</x:v>
      </x:c>
      <x:c r="O173" s="160" t="str">
        <x:v>Includes proxy city rows</x:v>
      </x:c>
      <x:c r="P173" s="160" t="str">
        <x:v>Aggregated from 2 city/municipality screening rows; overlapping catchments are not deduplicated.</x:v>
      </x:c>
      <x:c r="Q173" s="160" t="str">
        <x:v>Verified Census land area (retained)</x:v>
      </x:c>
    </x:row>
    <x:row r="174">
      <x:c r="A174" s="28" t="n">
        <x:v>179</x:v>
      </x:c>
      <x:c r="B174" s="28" t="str">
        <x:v>Solano County</x:v>
      </x:c>
      <x:c r="C174" s="28" t="str">
        <x:v>CA</x:v>
      </x:c>
      <x:c r="D174" s="142" t="str">
        <x:v>06095</x:v>
      </x:c>
      <x:c r="E174" s="133" t="n">
        <x:f>SUMIFS('City Density Ranking'!$E$6:$E$974,'City Density Ranking'!$O$6:$O$974,B174,'City Density Ranking'!$C$6:$C$974,C174)</x:f>
        <x:v>0</x:v>
      </x:c>
      <x:c r="F174" s="133" t="n">
        <x:f>SUMIFS('City Density Ranking'!$F$6:$F$974,'City Density Ranking'!$O$6:$O$974,B174,'City Density Ranking'!$C$6:$C$974,C174)</x:f>
        <x:v>0</x:v>
      </x:c>
      <x:c r="G174" s="133" t="n">
        <x:f>SUMIFS('City Density Ranking'!$G$6:$G$974,'City Density Ranking'!$O$6:$O$974,B174,'City Density Ranking'!$C$6:$C$974,C174)</x:f>
        <x:v>0</x:v>
      </x:c>
      <x:c r="H174" s="133" t="n">
        <x:f>SUMIFS('City Density Ranking'!$H$6:$H$974,'City Density Ranking'!$O$6:$O$974,B174,'City Density Ranking'!$C$6:$C$974,C174)</x:f>
        <x:v>0</x:v>
      </x:c>
      <x:c r="I174" s="133" t="n">
        <x:f>SUMIFS('City Density Ranking'!$I$6:$I$974,'City Density Ranking'!$O$6:$O$974,B174,'City Density Ranking'!$C$6:$C$974,C174)</x:f>
        <x:v>0</x:v>
      </x:c>
      <x:c r="J174" s="133" t="n">
        <x:f>SUMIFS('City Density Ranking'!$J$6:$J$974,'City Density Ranking'!$O$6:$O$974,B174,'City Density Ranking'!$C$6:$C$974,C174)</x:f>
        <x:v>2</x:v>
      </x:c>
      <x:c r="K174" s="133" t="n">
        <x:f>SUM(E174:J174)</x:f>
        <x:v>2</x:v>
      </x:c>
      <x:c r="L174" s="204" t="n">
        <x:v>877.5103741169174</x:v>
      </x:c>
      <x:c r="M174" s="205" t="n">
        <x:f>IFERROR(K174/L174,0)</x:f>
        <x:v>0.002279175333981322</x:v>
      </x:c>
      <x:c r="N174" s="160" t="str">
        <x:v>Fairfield, Vallejo</x:v>
      </x:c>
      <x:c r="O174" s="160" t="str">
        <x:v>Includes proxy city rows</x:v>
      </x:c>
      <x:c r="P174" s="160" t="str">
        <x:v>Aggregated from 2 city/municipality screening rows; overlapping catchments are not deduplicated.</x:v>
      </x:c>
      <x:c r="Q174" s="160" t="str">
        <x:v>Estimated county land area: geodesic polygon × 0.989 land/total calibration</x:v>
      </x:c>
    </x:row>
    <x:row r="175">
      <x:c r="A175" s="28" t="n">
        <x:v>180</x:v>
      </x:c>
      <x:c r="B175" s="28" t="str">
        <x:v>Santa Cruz County</x:v>
      </x:c>
      <x:c r="C175" s="28" t="str">
        <x:v>CA</x:v>
      </x:c>
      <x:c r="D175" s="142" t="str">
        <x:v>06087</x:v>
      </x:c>
      <x:c r="E175" s="133" t="n">
        <x:f>SUMIFS('City Density Ranking'!$E$6:$E$974,'City Density Ranking'!$O$6:$O$974,B175,'City Density Ranking'!$C$6:$C$974,C175)</x:f>
        <x:v>1</x:v>
      </x:c>
      <x:c r="F175" s="133" t="n">
        <x:f>SUMIFS('City Density Ranking'!$F$6:$F$974,'City Density Ranking'!$O$6:$O$974,B175,'City Density Ranking'!$C$6:$C$974,C175)</x:f>
        <x:v>0</x:v>
      </x:c>
      <x:c r="G175" s="133" t="n">
        <x:f>SUMIFS('City Density Ranking'!$G$6:$G$974,'City Density Ranking'!$O$6:$O$974,B175,'City Density Ranking'!$C$6:$C$974,C175)</x:f>
        <x:v>0</x:v>
      </x:c>
      <x:c r="H175" s="133" t="n">
        <x:f>SUMIFS('City Density Ranking'!$H$6:$H$974,'City Density Ranking'!$O$6:$O$974,B175,'City Density Ranking'!$C$6:$C$974,C175)</x:f>
        <x:v>0</x:v>
      </x:c>
      <x:c r="I175" s="133" t="n">
        <x:f>SUMIFS('City Density Ranking'!$I$6:$I$974,'City Density Ranking'!$O$6:$O$974,B175,'City Density Ranking'!$C$6:$C$974,C175)</x:f>
        <x:v>0</x:v>
      </x:c>
      <x:c r="J175" s="133" t="n">
        <x:f>SUMIFS('City Density Ranking'!$J$6:$J$974,'City Density Ranking'!$O$6:$O$974,B175,'City Density Ranking'!$C$6:$C$974,C175)</x:f>
        <x:v>0</x:v>
      </x:c>
      <x:c r="K175" s="133" t="n">
        <x:f>SUM(E175:J175)</x:f>
        <x:v>1</x:v>
      </x:c>
      <x:c r="L175" s="204" t="n">
        <x:v>445.106</x:v>
      </x:c>
      <x:c r="M175" s="205" t="n">
        <x:f>IFERROR(K175/L175,0)</x:f>
        <x:v>0.002246655852763162</x:v>
      </x:c>
      <x:c r="N175" s="160" t="str">
        <x:v>Santa Cruz</x:v>
      </x:c>
      <x:c r="O175" s="160" t="str">
        <x:v>Lower-bound city counts only</x:v>
      </x:c>
      <x:c r="P175" s="160" t="str">
        <x:v>Aggregated from 1 city/municipality screening rows; overlapping catchments are not deduplicated.</x:v>
      </x:c>
      <x:c r="Q175" s="160" t="str">
        <x:v>Verified Census 2025 Gazetteer land area</x:v>
      </x:c>
    </x:row>
    <x:row r="176">
      <x:c r="A176" s="28" t="n">
        <x:v>181</x:v>
      </x:c>
      <x:c r="B176" s="28" t="str">
        <x:v>Riverside County</x:v>
      </x:c>
      <x:c r="C176" s="28" t="str">
        <x:v>CA</x:v>
      </x:c>
      <x:c r="D176" s="142" t="str">
        <x:v>06065</x:v>
      </x:c>
      <x:c r="E176" s="133" t="n">
        <x:f>SUMIFS('City Density Ranking'!$E$6:$E$974,'City Density Ranking'!$O$6:$O$974,B176,'City Density Ranking'!$C$6:$C$974,C176)</x:f>
        <x:v>0</x:v>
      </x:c>
      <x:c r="F176" s="133" t="n">
        <x:f>SUMIFS('City Density Ranking'!$F$6:$F$974,'City Density Ranking'!$O$6:$O$974,B176,'City Density Ranking'!$C$6:$C$974,C176)</x:f>
        <x:v>0</x:v>
      </x:c>
      <x:c r="G176" s="133" t="n">
        <x:f>SUMIFS('City Density Ranking'!$G$6:$G$974,'City Density Ranking'!$O$6:$O$974,B176,'City Density Ranking'!$C$6:$C$974,C176)</x:f>
        <x:v>0</x:v>
      </x:c>
      <x:c r="H176" s="133" t="n">
        <x:f>SUMIFS('City Density Ranking'!$H$6:$H$974,'City Density Ranking'!$O$6:$O$974,B176,'City Density Ranking'!$C$6:$C$974,C176)</x:f>
        <x:v>0</x:v>
      </x:c>
      <x:c r="I176" s="133" t="n">
        <x:f>SUMIFS('City Density Ranking'!$I$6:$I$974,'City Density Ranking'!$O$6:$O$974,B176,'City Density Ranking'!$C$6:$C$974,C176)</x:f>
        <x:v>0</x:v>
      </x:c>
      <x:c r="J176" s="133" t="n">
        <x:f>SUMIFS('City Density Ranking'!$J$6:$J$974,'City Density Ranking'!$O$6:$O$974,B176,'City Density Ranking'!$C$6:$C$974,C176)</x:f>
        <x:v>16</x:v>
      </x:c>
      <x:c r="K176" s="133" t="n">
        <x:f>SUM(E176:J176)</x:f>
        <x:v>16</x:v>
      </x:c>
      <x:c r="L176" s="204" t="n">
        <x:v>7209.271</x:v>
      </x:c>
      <x:c r="M176" s="205" t="n">
        <x:f>IFERROR(K176/L176,0)</x:f>
        <x:v>0.0022193644822063145</x:v>
      </x:c>
      <x:c r="N176" s="160" t="str">
        <x:v>Beaumont, Cathedral City, Corona, Eastvale, Hemet, Indio, Jurupa Valley, Lake Elsinore, Menifee, Moreno Valley, Murrieta, Palm Desert, Perris, Riverside, San Jacinto, Temecula</x:v>
      </x:c>
      <x:c r="O176" s="160" t="str">
        <x:v>Includes proxy city rows</x:v>
      </x:c>
      <x:c r="P176" s="160" t="str">
        <x:v>Aggregated from 16 city/municipality screening rows; overlapping catchments are not deduplicated.</x:v>
      </x:c>
      <x:c r="Q176" s="160" t="str">
        <x:v>Verified Census land area (retained)</x:v>
      </x:c>
    </x:row>
    <x:row r="177">
      <x:c r="A177" s="28" t="n">
        <x:v>182</x:v>
      </x:c>
      <x:c r="B177" s="28" t="str">
        <x:v>East Baton Rouge Parish</x:v>
      </x:c>
      <x:c r="C177" s="28" t="str">
        <x:v>LA</x:v>
      </x:c>
      <x:c r="D177" s="142" t="str">
        <x:v>22033</x:v>
      </x:c>
      <x:c r="E177" s="133" t="n">
        <x:f>SUMIFS('City Density Ranking'!$E$6:$E$974,'City Density Ranking'!$O$6:$O$974,B177,'City Density Ranking'!$C$6:$C$974,C177)</x:f>
        <x:v>0</x:v>
      </x:c>
      <x:c r="F177" s="133" t="n">
        <x:f>SUMIFS('City Density Ranking'!$F$6:$F$974,'City Density Ranking'!$O$6:$O$974,B177,'City Density Ranking'!$C$6:$C$974,C177)</x:f>
        <x:v>0</x:v>
      </x:c>
      <x:c r="G177" s="133" t="n">
        <x:f>SUMIFS('City Density Ranking'!$G$6:$G$974,'City Density Ranking'!$O$6:$O$974,B177,'City Density Ranking'!$C$6:$C$974,C177)</x:f>
        <x:v>0</x:v>
      </x:c>
      <x:c r="H177" s="133" t="n">
        <x:f>SUMIFS('City Density Ranking'!$H$6:$H$974,'City Density Ranking'!$O$6:$O$974,B177,'City Density Ranking'!$C$6:$C$974,C177)</x:f>
        <x:v>0</x:v>
      </x:c>
      <x:c r="I177" s="133" t="n">
        <x:f>SUMIFS('City Density Ranking'!$I$6:$I$974,'City Density Ranking'!$O$6:$O$974,B177,'City Density Ranking'!$C$6:$C$974,C177)</x:f>
        <x:v>0</x:v>
      </x:c>
      <x:c r="J177" s="133" t="n">
        <x:f>SUMIFS('City Density Ranking'!$J$6:$J$974,'City Density Ranking'!$O$6:$O$974,B177,'City Density Ranking'!$C$6:$C$974,C177)</x:f>
        <x:v>1</x:v>
      </x:c>
      <x:c r="K177" s="133" t="n">
        <x:f>SUM(E177:J177)</x:f>
        <x:v>1</x:v>
      </x:c>
      <x:c r="L177" s="204" t="n">
        <x:v>455.502</x:v>
      </x:c>
      <x:c r="M177" s="205" t="n">
        <x:f>IFERROR(K177/L177,0)</x:f>
        <x:v>0.0021953800422391118</x:v>
      </x:c>
      <x:c r="N177" s="160" t="str">
        <x:v>Baton Rouge</x:v>
      </x:c>
      <x:c r="O177" s="160" t="str">
        <x:v>Includes proxy city rows</x:v>
      </x:c>
      <x:c r="P177" s="160" t="str">
        <x:v>Aggregated from 1 city/municipality screening rows; overlapping catchments are not deduplicated.</x:v>
      </x:c>
      <x:c r="Q177" s="160" t="str">
        <x:v>Verified Census land area (retained)</x:v>
      </x:c>
    </x:row>
    <x:row r="178">
      <x:c r="A178" s="28" t="n">
        <x:v>183</x:v>
      </x:c>
      <x:c r="B178" s="28" t="str">
        <x:v>Montgomery County</x:v>
      </x:c>
      <x:c r="C178" s="28" t="str">
        <x:v>OH</x:v>
      </x:c>
      <x:c r="D178" s="142" t="str">
        <x:v>39113</x:v>
      </x:c>
      <x:c r="E178" s="133" t="n">
        <x:f>SUMIFS('City Density Ranking'!$E$6:$E$974,'City Density Ranking'!$O$6:$O$974,B178,'City Density Ranking'!$C$6:$C$974,C178)</x:f>
        <x:v>0</x:v>
      </x:c>
      <x:c r="F178" s="133" t="n">
        <x:f>SUMIFS('City Density Ranking'!$F$6:$F$974,'City Density Ranking'!$O$6:$O$974,B178,'City Density Ranking'!$C$6:$C$974,C178)</x:f>
        <x:v>0</x:v>
      </x:c>
      <x:c r="G178" s="133" t="n">
        <x:f>SUMIFS('City Density Ranking'!$G$6:$G$974,'City Density Ranking'!$O$6:$O$974,B178,'City Density Ranking'!$C$6:$C$974,C178)</x:f>
        <x:v>0</x:v>
      </x:c>
      <x:c r="H178" s="133" t="n">
        <x:f>SUMIFS('City Density Ranking'!$H$6:$H$974,'City Density Ranking'!$O$6:$O$974,B178,'City Density Ranking'!$C$6:$C$974,C178)</x:f>
        <x:v>0</x:v>
      </x:c>
      <x:c r="I178" s="133" t="n">
        <x:f>SUMIFS('City Density Ranking'!$I$6:$I$974,'City Density Ranking'!$O$6:$O$974,B178,'City Density Ranking'!$C$6:$C$974,C178)</x:f>
        <x:v>0</x:v>
      </x:c>
      <x:c r="J178" s="133" t="n">
        <x:f>SUMIFS('City Density Ranking'!$J$6:$J$974,'City Density Ranking'!$O$6:$O$974,B178,'City Density Ranking'!$C$6:$C$974,C178)</x:f>
        <x:v>1</x:v>
      </x:c>
      <x:c r="K178" s="133" t="n">
        <x:f>SUM(E178:J178)</x:f>
        <x:v>1</x:v>
      </x:c>
      <x:c r="L178" s="204" t="n">
        <x:v>455.5635291294672</x:v>
      </x:c>
      <x:c r="M178" s="205" t="n">
        <x:f>IFERROR(K178/L178,0)</x:f>
        <x:v>0.002195083530744641</x:v>
      </x:c>
      <x:c r="N178" s="160" t="str">
        <x:v>Dayton</x:v>
      </x:c>
      <x:c r="O178" s="160" t="str">
        <x:v>Includes proxy city rows</x:v>
      </x:c>
      <x:c r="P178" s="160" t="str">
        <x:v>Aggregated from 1 city/municipality screening rows; overlapping catchments are not deduplicated.</x:v>
      </x:c>
      <x:c r="Q178" s="160" t="str">
        <x:v>Estimated county land area: geodesic polygon × 0.981 land/total calibration</x:v>
      </x:c>
    </x:row>
    <x:row r="179">
      <x:c r="A179" s="28" t="n">
        <x:v>184</x:v>
      </x:c>
      <x:c r="B179" s="28" t="str">
        <x:v>Flagler County</x:v>
      </x:c>
      <x:c r="C179" s="28" t="str">
        <x:v>FL</x:v>
      </x:c>
      <x:c r="D179" s="142" t="str">
        <x:v>12035</x:v>
      </x:c>
      <x:c r="E179" s="133" t="n">
        <x:f>SUMIFS('City Density Ranking'!$E$6:$E$974,'City Density Ranking'!$O$6:$O$974,B179,'City Density Ranking'!$C$6:$C$974,C179)</x:f>
        <x:v>0</x:v>
      </x:c>
      <x:c r="F179" s="133" t="n">
        <x:f>SUMIFS('City Density Ranking'!$F$6:$F$974,'City Density Ranking'!$O$6:$O$974,B179,'City Density Ranking'!$C$6:$C$974,C179)</x:f>
        <x:v>0</x:v>
      </x:c>
      <x:c r="G179" s="133" t="n">
        <x:f>SUMIFS('City Density Ranking'!$G$6:$G$974,'City Density Ranking'!$O$6:$O$974,B179,'City Density Ranking'!$C$6:$C$974,C179)</x:f>
        <x:v>0</x:v>
      </x:c>
      <x:c r="H179" s="133" t="n">
        <x:f>SUMIFS('City Density Ranking'!$H$6:$H$974,'City Density Ranking'!$O$6:$O$974,B179,'City Density Ranking'!$C$6:$C$974,C179)</x:f>
        <x:v>0</x:v>
      </x:c>
      <x:c r="I179" s="133" t="n">
        <x:f>SUMIFS('City Density Ranking'!$I$6:$I$974,'City Density Ranking'!$O$6:$O$974,B179,'City Density Ranking'!$C$6:$C$974,C179)</x:f>
        <x:v>0</x:v>
      </x:c>
      <x:c r="J179" s="133" t="n">
        <x:f>SUMIFS('City Density Ranking'!$J$6:$J$974,'City Density Ranking'!$O$6:$O$974,B179,'City Density Ranking'!$C$6:$C$974,C179)</x:f>
        <x:v>1</x:v>
      </x:c>
      <x:c r="K179" s="133" t="n">
        <x:f>SUM(E179:J179)</x:f>
        <x:v>1</x:v>
      </x:c>
      <x:c r="L179" s="204" t="n">
        <x:v>456.6947778790645</x:v>
      </x:c>
      <x:c r="M179" s="205" t="n">
        <x:f>IFERROR(K179/L179,0)</x:f>
        <x:v>0.002189646232970078</x:v>
      </x:c>
      <x:c r="N179" s="160" t="str">
        <x:v>Palm Coast</x:v>
      </x:c>
      <x:c r="O179" s="160" t="str">
        <x:v>Includes proxy city rows</x:v>
      </x:c>
      <x:c r="P179" s="160" t="str">
        <x:v>Aggregated from 1 city/municipality screening rows; overlapping catchments are not deduplicated.</x:v>
      </x:c>
      <x:c r="Q179" s="160" t="str">
        <x:v>Estimated county land area: geodesic polygon × 0.900 land/total calibration</x:v>
      </x:c>
    </x:row>
    <x:row r="180">
      <x:c r="A180" s="28" t="n">
        <x:v>185</x:v>
      </x:c>
      <x:c r="B180" s="28" t="str">
        <x:v>Cuyahoga County</x:v>
      </x:c>
      <x:c r="C180" s="28" t="str">
        <x:v>OH</x:v>
      </x:c>
      <x:c r="D180" s="142" t="str">
        <x:v>39035</x:v>
      </x:c>
      <x:c r="E180" s="133" t="n">
        <x:f>SUMIFS('City Density Ranking'!$E$6:$E$974,'City Density Ranking'!$O$6:$O$974,B180,'City Density Ranking'!$C$6:$C$974,C180)</x:f>
        <x:v>0</x:v>
      </x:c>
      <x:c r="F180" s="133" t="n">
        <x:f>SUMIFS('City Density Ranking'!$F$6:$F$974,'City Density Ranking'!$O$6:$O$974,B180,'City Density Ranking'!$C$6:$C$974,C180)</x:f>
        <x:v>0</x:v>
      </x:c>
      <x:c r="G180" s="133" t="n">
        <x:f>SUMIFS('City Density Ranking'!$G$6:$G$974,'City Density Ranking'!$O$6:$O$974,B180,'City Density Ranking'!$C$6:$C$974,C180)</x:f>
        <x:v>0</x:v>
      </x:c>
      <x:c r="H180" s="133" t="n">
        <x:f>SUMIFS('City Density Ranking'!$H$6:$H$974,'City Density Ranking'!$O$6:$O$974,B180,'City Density Ranking'!$C$6:$C$974,C180)</x:f>
        <x:v>0</x:v>
      </x:c>
      <x:c r="I180" s="133" t="n">
        <x:f>SUMIFS('City Density Ranking'!$I$6:$I$974,'City Density Ranking'!$O$6:$O$974,B180,'City Density Ranking'!$C$6:$C$974,C180)</x:f>
        <x:v>0</x:v>
      </x:c>
      <x:c r="J180" s="133" t="n">
        <x:f>SUMIFS('City Density Ranking'!$J$6:$J$974,'City Density Ranking'!$O$6:$O$974,B180,'City Density Ranking'!$C$6:$C$974,C180)</x:f>
        <x:v>1</x:v>
      </x:c>
      <x:c r="K180" s="133" t="n">
        <x:f>SUM(E180:J180)</x:f>
        <x:v>1</x:v>
      </x:c>
      <x:c r="L180" s="204" t="n">
        <x:v>457.211</x:v>
      </x:c>
      <x:c r="M180" s="205" t="n">
        <x:f>IFERROR(K180/L180,0)</x:f>
        <x:v>0.002187173974379444</x:v>
      </x:c>
      <x:c r="N180" s="160" t="str">
        <x:v>Cleveland</x:v>
      </x:c>
      <x:c r="O180" s="160" t="str">
        <x:v>Includes proxy city rows</x:v>
      </x:c>
      <x:c r="P180" s="160" t="str">
        <x:v>Aggregated from 1 city/municipality screening rows; overlapping catchments are not deduplicated.</x:v>
      </x:c>
      <x:c r="Q180" s="160" t="str">
        <x:v>Verified Census land area (retained)</x:v>
      </x:c>
    </x:row>
    <x:row r="181">
      <x:c r="A181" s="28" t="n">
        <x:v>186</x:v>
      </x:c>
      <x:c r="B181" s="28" t="str">
        <x:v>Lackawanna County</x:v>
      </x:c>
      <x:c r="C181" s="28" t="str">
        <x:v>PA</x:v>
      </x:c>
      <x:c r="D181" s="142" t="str">
        <x:v>42069</x:v>
      </x:c>
      <x:c r="E181" s="133" t="n">
        <x:f>SUMIFS('City Density Ranking'!$E$6:$E$974,'City Density Ranking'!$O$6:$O$974,B181,'City Density Ranking'!$C$6:$C$974,C181)</x:f>
        <x:v>0</x:v>
      </x:c>
      <x:c r="F181" s="133" t="n">
        <x:f>SUMIFS('City Density Ranking'!$F$6:$F$974,'City Density Ranking'!$O$6:$O$974,B181,'City Density Ranking'!$C$6:$C$974,C181)</x:f>
        <x:v>0</x:v>
      </x:c>
      <x:c r="G181" s="133" t="n">
        <x:f>SUMIFS('City Density Ranking'!$G$6:$G$974,'City Density Ranking'!$O$6:$O$974,B181,'City Density Ranking'!$C$6:$C$974,C181)</x:f>
        <x:v>0</x:v>
      </x:c>
      <x:c r="H181" s="133" t="n">
        <x:f>SUMIFS('City Density Ranking'!$H$6:$H$974,'City Density Ranking'!$O$6:$O$974,B181,'City Density Ranking'!$C$6:$C$974,C181)</x:f>
        <x:v>0</x:v>
      </x:c>
      <x:c r="I181" s="133" t="n">
        <x:f>SUMIFS('City Density Ranking'!$I$6:$I$974,'City Density Ranking'!$O$6:$O$974,B181,'City Density Ranking'!$C$6:$C$974,C181)</x:f>
        <x:v>0</x:v>
      </x:c>
      <x:c r="J181" s="133" t="n">
        <x:f>SUMIFS('City Density Ranking'!$J$6:$J$974,'City Density Ranking'!$O$6:$O$974,B181,'City Density Ranking'!$C$6:$C$974,C181)</x:f>
        <x:v>1</x:v>
      </x:c>
      <x:c r="K181" s="133" t="n">
        <x:f>SUM(E181:J181)</x:f>
        <x:v>1</x:v>
      </x:c>
      <x:c r="L181" s="204" t="n">
        <x:v>459.01</x:v>
      </x:c>
      <x:c r="M181" s="205" t="n">
        <x:f>IFERROR(K181/L181,0)</x:f>
        <x:v>0.0021786017733818434</x:v>
      </x:c>
      <x:c r="N181" s="160" t="str">
        <x:v>Scranton</x:v>
      </x:c>
      <x:c r="O181" s="160" t="str">
        <x:v>Includes proxy city rows</x:v>
      </x:c>
      <x:c r="P181" s="160" t="str">
        <x:v>Aggregated from 1 city/municipality screening rows; overlapping catchments are not deduplicated.</x:v>
      </x:c>
      <x:c r="Q181" s="160" t="str">
        <x:v>Verified Census QuickFacts land area (2020 geography)</x:v>
      </x:c>
    </x:row>
    <x:row r="182">
      <x:c r="A182" s="28" t="n">
        <x:v>187</x:v>
      </x:c>
      <x:c r="B182" s="28" t="str">
        <x:v>Ventura County</x:v>
      </x:c>
      <x:c r="C182" s="28" t="str">
        <x:v>CA</x:v>
      </x:c>
      <x:c r="D182" s="142" t="str">
        <x:v>06111</x:v>
      </x:c>
      <x:c r="E182" s="133" t="n">
        <x:f>SUMIFS('City Density Ranking'!$E$6:$E$974,'City Density Ranking'!$O$6:$O$974,B182,'City Density Ranking'!$C$6:$C$974,C182)</x:f>
        <x:v>0</x:v>
      </x:c>
      <x:c r="F182" s="133" t="n">
        <x:f>SUMIFS('City Density Ranking'!$F$6:$F$974,'City Density Ranking'!$O$6:$O$974,B182,'City Density Ranking'!$C$6:$C$974,C182)</x:f>
        <x:v>0</x:v>
      </x:c>
      <x:c r="G182" s="133" t="n">
        <x:f>SUMIFS('City Density Ranking'!$G$6:$G$974,'City Density Ranking'!$O$6:$O$974,B182,'City Density Ranking'!$C$6:$C$974,C182)</x:f>
        <x:v>0</x:v>
      </x:c>
      <x:c r="H182" s="133" t="n">
        <x:f>SUMIFS('City Density Ranking'!$H$6:$H$974,'City Density Ranking'!$O$6:$O$974,B182,'City Density Ranking'!$C$6:$C$974,C182)</x:f>
        <x:v>0</x:v>
      </x:c>
      <x:c r="I182" s="133" t="n">
        <x:f>SUMIFS('City Density Ranking'!$I$6:$I$974,'City Density Ranking'!$O$6:$O$974,B182,'City Density Ranking'!$C$6:$C$974,C182)</x:f>
        <x:v>0</x:v>
      </x:c>
      <x:c r="J182" s="133" t="n">
        <x:f>SUMIFS('City Density Ranking'!$J$6:$J$974,'City Density Ranking'!$O$6:$O$974,B182,'City Density Ranking'!$C$6:$C$974,C182)</x:f>
        <x:v>4</x:v>
      </x:c>
      <x:c r="K182" s="133" t="n">
        <x:f>SUM(E182:J182)</x:f>
        <x:v>4</x:v>
      </x:c>
      <x:c r="L182" s="204" t="n">
        <x:v>1837.076208595511</x:v>
      </x:c>
      <x:c r="M182" s="205" t="n">
        <x:f>IFERROR(K182/L182,0)</x:f>
        <x:v>0.00217737292622068</x:v>
      </x:c>
      <x:c r="N182" s="160" t="str">
        <x:v>Oxnard, Simi Valley, Thousand Oaks, Ventura</x:v>
      </x:c>
      <x:c r="O182" s="160" t="str">
        <x:v>Includes proxy city rows</x:v>
      </x:c>
      <x:c r="P182" s="160" t="str">
        <x:v>Aggregated from 4 city/municipality screening rows; overlapping catchments are not deduplicated.</x:v>
      </x:c>
      <x:c r="Q182" s="160" t="str">
        <x:v>Estimated county land area: geodesic polygon × 0.989 land/total calibration</x:v>
      </x:c>
    </x:row>
    <x:row r="183">
      <x:c r="A183" s="28" t="n">
        <x:v>188</x:v>
      </x:c>
      <x:c r="B183" s="28" t="str">
        <x:v>Denton County</x:v>
      </x:c>
      <x:c r="C183" s="28" t="str">
        <x:v>TX</x:v>
      </x:c>
      <x:c r="D183" s="142" t="str">
        <x:v>48121</x:v>
      </x:c>
      <x:c r="E183" s="133" t="n">
        <x:f>SUMIFS('City Density Ranking'!$E$6:$E$974,'City Density Ranking'!$O$6:$O$974,B183,'City Density Ranking'!$C$6:$C$974,C183)</x:f>
        <x:v>0</x:v>
      </x:c>
      <x:c r="F183" s="133" t="n">
        <x:f>SUMIFS('City Density Ranking'!$F$6:$F$974,'City Density Ranking'!$O$6:$O$974,B183,'City Density Ranking'!$C$6:$C$974,C183)</x:f>
        <x:v>0</x:v>
      </x:c>
      <x:c r="G183" s="133" t="n">
        <x:f>SUMIFS('City Density Ranking'!$G$6:$G$974,'City Density Ranking'!$O$6:$O$974,B183,'City Density Ranking'!$C$6:$C$974,C183)</x:f>
        <x:v>0</x:v>
      </x:c>
      <x:c r="H183" s="133" t="n">
        <x:f>SUMIFS('City Density Ranking'!$H$6:$H$974,'City Density Ranking'!$O$6:$O$974,B183,'City Density Ranking'!$C$6:$C$974,C183)</x:f>
        <x:v>0</x:v>
      </x:c>
      <x:c r="I183" s="133" t="n">
        <x:f>SUMIFS('City Density Ranking'!$I$6:$I$974,'City Density Ranking'!$O$6:$O$974,B183,'City Density Ranking'!$C$6:$C$974,C183)</x:f>
        <x:v>0</x:v>
      </x:c>
      <x:c r="J183" s="133" t="n">
        <x:f>SUMIFS('City Density Ranking'!$J$6:$J$974,'City Density Ranking'!$O$6:$O$974,B183,'City Density Ranking'!$C$6:$C$974,C183)</x:f>
        <x:v>2</x:v>
      </x:c>
      <x:c r="K183" s="133" t="n">
        <x:f>SUM(E183:J183)</x:f>
        <x:v>2</x:v>
      </x:c>
      <x:c r="L183" s="204" t="n">
        <x:v>926.0568364422189</x:v>
      </x:c>
      <x:c r="M183" s="205" t="n">
        <x:f>IFERROR(K183/L183,0)</x:f>
        <x:v>0.0021596946551182762</x:v>
      </x:c>
      <x:c r="N183" s="160" t="str">
        <x:v>Denton, Lewisville</x:v>
      </x:c>
      <x:c r="O183" s="160" t="str">
        <x:v>Includes proxy city rows</x:v>
      </x:c>
      <x:c r="P183" s="160" t="str">
        <x:v>Aggregated from 2 city/municipality screening rows; overlapping catchments are not deduplicated.</x:v>
      </x:c>
      <x:c r="Q183" s="160" t="str">
        <x:v>Estimated county land area: geodesic polygon × 0.972 land/total calibration</x:v>
      </x:c>
    </x:row>
    <x:row r="184">
      <x:c r="A184" s="28" t="n">
        <x:v>189</x:v>
      </x:c>
      <x:c r="B184" s="28" t="str">
        <x:v>Merrimack County</x:v>
      </x:c>
      <x:c r="C184" s="28" t="str">
        <x:v>NH</x:v>
      </x:c>
      <x:c r="D184" s="142" t="str">
        <x:v>33013</x:v>
      </x:c>
      <x:c r="E184" s="133" t="n">
        <x:f>SUMIFS('City Density Ranking'!$E$6:$E$974,'City Density Ranking'!$O$6:$O$974,B184,'City Density Ranking'!$C$6:$C$974,C184)</x:f>
        <x:v>0</x:v>
      </x:c>
      <x:c r="F184" s="133" t="n">
        <x:f>SUMIFS('City Density Ranking'!$F$6:$F$974,'City Density Ranking'!$O$6:$O$974,B184,'City Density Ranking'!$C$6:$C$974,C184)</x:f>
        <x:v>0</x:v>
      </x:c>
      <x:c r="G184" s="133" t="n">
        <x:f>SUMIFS('City Density Ranking'!$G$6:$G$974,'City Density Ranking'!$O$6:$O$974,B184,'City Density Ranking'!$C$6:$C$974,C184)</x:f>
        <x:v>0</x:v>
      </x:c>
      <x:c r="H184" s="133" t="n">
        <x:f>SUMIFS('City Density Ranking'!$H$6:$H$974,'City Density Ranking'!$O$6:$O$974,B184,'City Density Ranking'!$C$6:$C$974,C184)</x:f>
        <x:v>0</x:v>
      </x:c>
      <x:c r="I184" s="133" t="n">
        <x:f>SUMIFS('City Density Ranking'!$I$6:$I$974,'City Density Ranking'!$O$6:$O$974,B184,'City Density Ranking'!$C$6:$C$974,C184)</x:f>
        <x:v>0</x:v>
      </x:c>
      <x:c r="J184" s="133" t="n">
        <x:f>SUMIFS('City Density Ranking'!$J$6:$J$974,'City Density Ranking'!$O$6:$O$974,B184,'City Density Ranking'!$C$6:$C$974,C184)</x:f>
        <x:v>2</x:v>
      </x:c>
      <x:c r="K184" s="133" t="n">
        <x:f>SUM(E184:J184)</x:f>
        <x:v>2</x:v>
      </x:c>
      <x:c r="L184" s="204" t="n">
        <x:v>932.851</x:v>
      </x:c>
      <x:c r="M184" s="205" t="n">
        <x:f>IFERROR(K184/L184,0)</x:f>
        <x:v>0.002143965113399675</x:v>
      </x:c>
      <x:c r="N184" s="160" t="str">
        <x:v>Concord City, Hooksett Town</x:v>
      </x:c>
      <x:c r="O184" s="160" t="str">
        <x:v>Includes proxy city rows</x:v>
      </x:c>
      <x:c r="P184" s="160" t="str">
        <x:v>Aggregated from 2 city/municipality screening rows; overlapping catchments are not deduplicated.</x:v>
      </x:c>
      <x:c r="Q184" s="160" t="str">
        <x:v>U.S. Census Bureau 2025 Gazetteer — ALAND_SQMI</x:v>
      </x:c>
    </x:row>
    <x:row r="185">
      <x:c r="A185" s="28" t="n">
        <x:v>190</x:v>
      </x:c>
      <x:c r="B185" s="28" t="str">
        <x:v>Westchester County</x:v>
      </x:c>
      <x:c r="C185" s="28" t="str">
        <x:v>NY</x:v>
      </x:c>
      <x:c r="D185" s="142" t="str">
        <x:v>36119</x:v>
      </x:c>
      <x:c r="E185" s="133" t="n">
        <x:f>SUMIFS('City Density Ranking'!$E$6:$E$974,'City Density Ranking'!$O$6:$O$974,B185,'City Density Ranking'!$C$6:$C$974,C185)</x:f>
        <x:v>0</x:v>
      </x:c>
      <x:c r="F185" s="133" t="n">
        <x:f>SUMIFS('City Density Ranking'!$F$6:$F$974,'City Density Ranking'!$O$6:$O$974,B185,'City Density Ranking'!$C$6:$C$974,C185)</x:f>
        <x:v>0</x:v>
      </x:c>
      <x:c r="G185" s="133" t="n">
        <x:f>SUMIFS('City Density Ranking'!$G$6:$G$974,'City Density Ranking'!$O$6:$O$974,B185,'City Density Ranking'!$C$6:$C$974,C185)</x:f>
        <x:v>0</x:v>
      </x:c>
      <x:c r="H185" s="133" t="n">
        <x:f>SUMIFS('City Density Ranking'!$H$6:$H$974,'City Density Ranking'!$O$6:$O$974,B185,'City Density Ranking'!$C$6:$C$974,C185)</x:f>
        <x:v>0</x:v>
      </x:c>
      <x:c r="I185" s="133" t="n">
        <x:f>SUMIFS('City Density Ranking'!$I$6:$I$974,'City Density Ranking'!$O$6:$O$974,B185,'City Density Ranking'!$C$6:$C$974,C185)</x:f>
        <x:v>0</x:v>
      </x:c>
      <x:c r="J185" s="133" t="n">
        <x:f>SUMIFS('City Density Ranking'!$J$6:$J$974,'City Density Ranking'!$O$6:$O$974,B185,'City Density Ranking'!$C$6:$C$974,C185)</x:f>
        <x:v>1</x:v>
      </x:c>
      <x:c r="K185" s="133" t="n">
        <x:f>SUM(E185:J185)</x:f>
        <x:v>1</x:v>
      </x:c>
      <x:c r="L185" s="204" t="n">
        <x:v>470.6540280896597</x:v>
      </x:c>
      <x:c r="M185" s="205" t="n">
        <x:f>IFERROR(K185/L185,0)</x:f>
        <x:v>0.002124702945938667</x:v>
      </x:c>
      <x:c r="N185" s="160" t="str">
        <x:v>Yonkers</x:v>
      </x:c>
      <x:c r="O185" s="160" t="str">
        <x:v>Includes proxy city rows</x:v>
      </x:c>
      <x:c r="P185" s="160" t="str">
        <x:v>Aggregated from 1 city/municipality screening rows; overlapping catchments are not deduplicated.</x:v>
      </x:c>
      <x:c r="Q185" s="160" t="str">
        <x:v>Estimated county land area: geodesic polygon × 0.985 land/total calibration</x:v>
      </x:c>
    </x:row>
    <x:row r="186">
      <x:c r="A186" s="28" t="n">
        <x:v>191</x:v>
      </x:c>
      <x:c r="B186" s="28" t="str">
        <x:v>Sacramento County</x:v>
      </x:c>
      <x:c r="C186" s="28" t="str">
        <x:v>CA</x:v>
      </x:c>
      <x:c r="D186" s="142" t="str">
        <x:v>06067</x:v>
      </x:c>
      <x:c r="E186" s="133" t="n">
        <x:f>SUMIFS('City Density Ranking'!$E$6:$E$974,'City Density Ranking'!$O$6:$O$974,B186,'City Density Ranking'!$C$6:$C$974,C186)</x:f>
        <x:v>0</x:v>
      </x:c>
      <x:c r="F186" s="133" t="n">
        <x:f>SUMIFS('City Density Ranking'!$F$6:$F$974,'City Density Ranking'!$O$6:$O$974,B186,'City Density Ranking'!$C$6:$C$974,C186)</x:f>
        <x:v>0</x:v>
      </x:c>
      <x:c r="G186" s="133" t="n">
        <x:f>SUMIFS('City Density Ranking'!$G$6:$G$974,'City Density Ranking'!$O$6:$O$974,B186,'City Density Ranking'!$C$6:$C$974,C186)</x:f>
        <x:v>0</x:v>
      </x:c>
      <x:c r="H186" s="133" t="n">
        <x:f>SUMIFS('City Density Ranking'!$H$6:$H$974,'City Density Ranking'!$O$6:$O$974,B186,'City Density Ranking'!$C$6:$C$974,C186)</x:f>
        <x:v>0</x:v>
      </x:c>
      <x:c r="I186" s="133" t="n">
        <x:f>SUMIFS('City Density Ranking'!$I$6:$I$974,'City Density Ranking'!$O$6:$O$974,B186,'City Density Ranking'!$C$6:$C$974,C186)</x:f>
        <x:v>0</x:v>
      </x:c>
      <x:c r="J186" s="133" t="n">
        <x:f>SUMIFS('City Density Ranking'!$J$6:$J$974,'City Density Ranking'!$O$6:$O$974,B186,'City Density Ranking'!$C$6:$C$974,C186)</x:f>
        <x:v>2</x:v>
      </x:c>
      <x:c r="K186" s="133" t="n">
        <x:f>SUM(E186:J186)</x:f>
        <x:v>2</x:v>
      </x:c>
      <x:c r="L186" s="204" t="n">
        <x:v>965.273</x:v>
      </x:c>
      <x:c r="M186" s="205" t="n">
        <x:f>IFERROR(K186/L186,0)</x:f>
        <x:v>0.002071952701463731</x:v>
      </x:c>
      <x:c r="N186" s="160" t="str">
        <x:v>Elk Grove, Sacramento</x:v>
      </x:c>
      <x:c r="O186" s="160" t="str">
        <x:v>Includes proxy city rows</x:v>
      </x:c>
      <x:c r="P186" s="160" t="str">
        <x:v>Aggregated from 2 city/municipality screening rows; overlapping catchments are not deduplicated.</x:v>
      </x:c>
      <x:c r="Q186" s="160" t="str">
        <x:v>Verified Census land area (retained)</x:v>
      </x:c>
    </x:row>
    <x:row r="187">
      <x:c r="A187" s="28" t="n">
        <x:v>192</x:v>
      </x:c>
      <x:c r="B187" s="28" t="str">
        <x:v>Prince George's County</x:v>
      </x:c>
      <x:c r="C187" s="28" t="str">
        <x:v>MD</x:v>
      </x:c>
      <x:c r="D187" s="142" t="str">
        <x:v>24033</x:v>
      </x:c>
      <x:c r="E187" s="133" t="n">
        <x:f>SUMIFS('City Density Ranking'!$E$6:$E$974,'City Density Ranking'!$O$6:$O$974,B187,'City Density Ranking'!$C$6:$C$974,C187)</x:f>
        <x:v>0</x:v>
      </x:c>
      <x:c r="F187" s="133" t="n">
        <x:f>SUMIFS('City Density Ranking'!$F$6:$F$974,'City Density Ranking'!$O$6:$O$974,B187,'City Density Ranking'!$C$6:$C$974,C187)</x:f>
        <x:v>0</x:v>
      </x:c>
      <x:c r="G187" s="133" t="n">
        <x:f>SUMIFS('City Density Ranking'!$G$6:$G$974,'City Density Ranking'!$O$6:$O$974,B187,'City Density Ranking'!$C$6:$C$974,C187)</x:f>
        <x:v>0</x:v>
      </x:c>
      <x:c r="H187" s="133" t="n">
        <x:f>SUMIFS('City Density Ranking'!$H$6:$H$974,'City Density Ranking'!$O$6:$O$974,B187,'City Density Ranking'!$C$6:$C$974,C187)</x:f>
        <x:v>0</x:v>
      </x:c>
      <x:c r="I187" s="133" t="n">
        <x:f>SUMIFS('City Density Ranking'!$I$6:$I$974,'City Density Ranking'!$O$6:$O$974,B187,'City Density Ranking'!$C$6:$C$974,C187)</x:f>
        <x:v>0</x:v>
      </x:c>
      <x:c r="J187" s="133" t="n">
        <x:f>SUMIFS('City Density Ranking'!$J$6:$J$974,'City Density Ranking'!$O$6:$O$974,B187,'City Density Ranking'!$C$6:$C$974,C187)</x:f>
        <x:v>1</x:v>
      </x:c>
      <x:c r="K187" s="133" t="n">
        <x:f>SUM(E187:J187)</x:f>
        <x:v>1</x:v>
      </x:c>
      <x:c r="L187" s="204" t="n">
        <x:v>482.65</x:v>
      </x:c>
      <x:c r="M187" s="205" t="n">
        <x:f>IFERROR(K187/L187,0)</x:f>
        <x:v>0.0020718947477468145</x:v>
      </x:c>
      <x:c r="N187" s="160" t="str">
        <x:v>Bowie</x:v>
      </x:c>
      <x:c r="O187" s="160" t="str">
        <x:v>Includes proxy city rows</x:v>
      </x:c>
      <x:c r="P187" s="160" t="str">
        <x:v>Aggregated from 1 city/municipality screening rows; overlapping catchments are not deduplicated.</x:v>
      </x:c>
      <x:c r="Q187" s="160" t="str">
        <x:v>Verified Census QuickFacts land area (2020 geography)</x:v>
      </x:c>
    </x:row>
    <x:row r="188">
      <x:c r="A188" s="28" t="n">
        <x:v>193</x:v>
      </x:c>
      <x:c r="B188" s="28" t="str">
        <x:v>Cumberland County</x:v>
      </x:c>
      <x:c r="C188" s="28" t="str">
        <x:v>NJ</x:v>
      </x:c>
      <x:c r="D188" s="142" t="str">
        <x:v>34011</x:v>
      </x:c>
      <x:c r="E188" s="133" t="n">
        <x:f>SUMIFS('City Density Ranking'!$E$6:$E$974,'City Density Ranking'!$O$6:$O$974,B188,'City Density Ranking'!$C$6:$C$974,C188)</x:f>
        <x:v>0</x:v>
      </x:c>
      <x:c r="F188" s="133" t="n">
        <x:f>SUMIFS('City Density Ranking'!$F$6:$F$974,'City Density Ranking'!$O$6:$O$974,B188,'City Density Ranking'!$C$6:$C$974,C188)</x:f>
        <x:v>0</x:v>
      </x:c>
      <x:c r="G188" s="133" t="n">
        <x:f>SUMIFS('City Density Ranking'!$G$6:$G$974,'City Density Ranking'!$O$6:$O$974,B188,'City Density Ranking'!$C$6:$C$974,C188)</x:f>
        <x:v>0</x:v>
      </x:c>
      <x:c r="H188" s="133" t="n">
        <x:f>SUMIFS('City Density Ranking'!$H$6:$H$974,'City Density Ranking'!$O$6:$O$974,B188,'City Density Ranking'!$C$6:$C$974,C188)</x:f>
        <x:v>0</x:v>
      </x:c>
      <x:c r="I188" s="133" t="n">
        <x:f>SUMIFS('City Density Ranking'!$I$6:$I$974,'City Density Ranking'!$O$6:$O$974,B188,'City Density Ranking'!$C$6:$C$974,C188)</x:f>
        <x:v>0</x:v>
      </x:c>
      <x:c r="J188" s="133" t="n">
        <x:f>SUMIFS('City Density Ranking'!$J$6:$J$974,'City Density Ranking'!$O$6:$O$974,B188,'City Density Ranking'!$C$6:$C$974,C188)</x:f>
        <x:v>1</x:v>
      </x:c>
      <x:c r="K188" s="133" t="n">
        <x:f>SUM(E188:J188)</x:f>
        <x:v>1</x:v>
      </x:c>
      <x:c r="L188" s="204" t="n">
        <x:v>483.36</x:v>
      </x:c>
      <x:c r="M188" s="205" t="n">
        <x:f>IFERROR(K188/L188,0)</x:f>
        <x:v>0.002068851373717312</x:v>
      </x:c>
      <x:c r="N188" s="160" t="str">
        <x:v>Vineland</x:v>
      </x:c>
      <x:c r="O188" s="160" t="str">
        <x:v>Includes proxy city rows</x:v>
      </x:c>
      <x:c r="P188" s="160" t="str">
        <x:v>Aggregated from 1 city/municipality screening rows; overlapping catchments are not deduplicated.</x:v>
      </x:c>
      <x:c r="Q188" s="160" t="str">
        <x:v>Verified Census QuickFacts land area (2020 geography)</x:v>
      </x:c>
    </x:row>
    <x:row r="189">
      <x:c r="A189" s="28" t="n">
        <x:v>194</x:v>
      </x:c>
      <x:c r="B189" s="28" t="str">
        <x:v>Chatham County</x:v>
      </x:c>
      <x:c r="C189" s="28" t="str">
        <x:v>GA</x:v>
      </x:c>
      <x:c r="D189" s="142" t="str">
        <x:v>13051</x:v>
      </x:c>
      <x:c r="E189" s="133" t="n">
        <x:f>SUMIFS('City Density Ranking'!$E$6:$E$974,'City Density Ranking'!$O$6:$O$974,B189,'City Density Ranking'!$C$6:$C$974,C189)</x:f>
        <x:v>0</x:v>
      </x:c>
      <x:c r="F189" s="133" t="n">
        <x:f>SUMIFS('City Density Ranking'!$F$6:$F$974,'City Density Ranking'!$O$6:$O$974,B189,'City Density Ranking'!$C$6:$C$974,C189)</x:f>
        <x:v>0</x:v>
      </x:c>
      <x:c r="G189" s="133" t="n">
        <x:f>SUMIFS('City Density Ranking'!$G$6:$G$974,'City Density Ranking'!$O$6:$O$974,B189,'City Density Ranking'!$C$6:$C$974,C189)</x:f>
        <x:v>0</x:v>
      </x:c>
      <x:c r="H189" s="133" t="n">
        <x:f>SUMIFS('City Density Ranking'!$H$6:$H$974,'City Density Ranking'!$O$6:$O$974,B189,'City Density Ranking'!$C$6:$C$974,C189)</x:f>
        <x:v>0</x:v>
      </x:c>
      <x:c r="I189" s="133" t="n">
        <x:f>SUMIFS('City Density Ranking'!$I$6:$I$974,'City Density Ranking'!$O$6:$O$974,B189,'City Density Ranking'!$C$6:$C$974,C189)</x:f>
        <x:v>0</x:v>
      </x:c>
      <x:c r="J189" s="133" t="n">
        <x:f>SUMIFS('City Density Ranking'!$J$6:$J$974,'City Density Ranking'!$O$6:$O$974,B189,'City Density Ranking'!$C$6:$C$974,C189)</x:f>
        <x:v>1</x:v>
      </x:c>
      <x:c r="K189" s="133" t="n">
        <x:f>SUM(E189:J189)</x:f>
        <x:v>1</x:v>
      </x:c>
      <x:c r="L189" s="204" t="n">
        <x:v>486.1864167380762</x:v>
      </x:c>
      <x:c r="M189" s="205" t="n">
        <x:f>IFERROR(K189/L189,0)</x:f>
        <x:v>0.002056824225384995</x:v>
      </x:c>
      <x:c r="N189" s="160" t="str">
        <x:v>Savannah</x:v>
      </x:c>
      <x:c r="O189" s="160" t="str">
        <x:v>Includes proxy city rows</x:v>
      </x:c>
      <x:c r="P189" s="160" t="str">
        <x:v>Aggregated from 1 city/municipality screening rows; overlapping catchments are not deduplicated.</x:v>
      </x:c>
      <x:c r="Q189" s="160" t="str">
        <x:v>Estimated county land area: geodesic polygon × 0.986 land/total calibration</x:v>
      </x:c>
    </x:row>
    <x:row r="190">
      <x:c r="A190" s="28" t="n">
        <x:v>195</x:v>
      </x:c>
      <x:c r="B190" s="28" t="str">
        <x:v>Davidson County</x:v>
      </x:c>
      <x:c r="C190" s="28" t="str">
        <x:v>TN</x:v>
      </x:c>
      <x:c r="D190" s="142" t="str">
        <x:v>47037</x:v>
      </x:c>
      <x:c r="E190" s="133" t="n">
        <x:f>SUMIFS('City Density Ranking'!$E$6:$E$974,'City Density Ranking'!$O$6:$O$974,B190,'City Density Ranking'!$C$6:$C$974,C190)</x:f>
        <x:v>0</x:v>
      </x:c>
      <x:c r="F190" s="133" t="n">
        <x:f>SUMIFS('City Density Ranking'!$F$6:$F$974,'City Density Ranking'!$O$6:$O$974,B190,'City Density Ranking'!$C$6:$C$974,C190)</x:f>
        <x:v>0</x:v>
      </x:c>
      <x:c r="G190" s="133" t="n">
        <x:f>SUMIFS('City Density Ranking'!$G$6:$G$974,'City Density Ranking'!$O$6:$O$974,B190,'City Density Ranking'!$C$6:$C$974,C190)</x:f>
        <x:v>0</x:v>
      </x:c>
      <x:c r="H190" s="133" t="n">
        <x:f>SUMIFS('City Density Ranking'!$H$6:$H$974,'City Density Ranking'!$O$6:$O$974,B190,'City Density Ranking'!$C$6:$C$974,C190)</x:f>
        <x:v>0</x:v>
      </x:c>
      <x:c r="I190" s="133" t="n">
        <x:f>SUMIFS('City Density Ranking'!$I$6:$I$974,'City Density Ranking'!$O$6:$O$974,B190,'City Density Ranking'!$C$6:$C$974,C190)</x:f>
        <x:v>0</x:v>
      </x:c>
      <x:c r="J190" s="133" t="n">
        <x:f>SUMIFS('City Density Ranking'!$J$6:$J$974,'City Density Ranking'!$O$6:$O$974,B190,'City Density Ranking'!$C$6:$C$974,C190)</x:f>
        <x:v>1</x:v>
      </x:c>
      <x:c r="K190" s="133" t="n">
        <x:f>SUM(E190:J190)</x:f>
        <x:v>1</x:v>
      </x:c>
      <x:c r="L190" s="204" t="n">
        <x:v>503.695</x:v>
      </x:c>
      <x:c r="M190" s="205" t="n">
        <x:f>IFERROR(K190/L190,0)</x:f>
        <x:v>0.0019853284229543675</x:v>
      </x:c>
      <x:c r="N190" s="160" t="str">
        <x:v>Nashville</x:v>
      </x:c>
      <x:c r="O190" s="160" t="str">
        <x:v>Includes proxy city rows</x:v>
      </x:c>
      <x:c r="P190" s="160" t="str">
        <x:v>Aggregated from 1 city/municipality screening rows; overlapping catchments are not deduplicated.</x:v>
      </x:c>
      <x:c r="Q190" s="160" t="str">
        <x:v>Verified Census land area (retained)</x:v>
      </x:c>
    </x:row>
    <x:row r="191">
      <x:c r="A191" s="28" t="n">
        <x:v>196</x:v>
      </x:c>
      <x:c r="B191" s="28" t="str">
        <x:v>Charleston County</x:v>
      </x:c>
      <x:c r="C191" s="28" t="str">
        <x:v>SC</x:v>
      </x:c>
      <x:c r="D191" s="142" t="str">
        <x:v>45019</x:v>
      </x:c>
      <x:c r="E191" s="133" t="n">
        <x:f>SUMIFS('City Density Ranking'!$E$6:$E$974,'City Density Ranking'!$O$6:$O$974,B191,'City Density Ranking'!$C$6:$C$974,C191)</x:f>
        <x:v>0</x:v>
      </x:c>
      <x:c r="F191" s="133" t="n">
        <x:f>SUMIFS('City Density Ranking'!$F$6:$F$974,'City Density Ranking'!$O$6:$O$974,B191,'City Density Ranking'!$C$6:$C$974,C191)</x:f>
        <x:v>0</x:v>
      </x:c>
      <x:c r="G191" s="133" t="n">
        <x:f>SUMIFS('City Density Ranking'!$G$6:$G$974,'City Density Ranking'!$O$6:$O$974,B191,'City Density Ranking'!$C$6:$C$974,C191)</x:f>
        <x:v>0</x:v>
      </x:c>
      <x:c r="H191" s="133" t="n">
        <x:f>SUMIFS('City Density Ranking'!$H$6:$H$974,'City Density Ranking'!$O$6:$O$974,B191,'City Density Ranking'!$C$6:$C$974,C191)</x:f>
        <x:v>0</x:v>
      </x:c>
      <x:c r="I191" s="133" t="n">
        <x:f>SUMIFS('City Density Ranking'!$I$6:$I$974,'City Density Ranking'!$O$6:$O$974,B191,'City Density Ranking'!$C$6:$C$974,C191)</x:f>
        <x:v>0</x:v>
      </x:c>
      <x:c r="J191" s="133" t="n">
        <x:f>SUMIFS('City Density Ranking'!$J$6:$J$974,'City Density Ranking'!$O$6:$O$974,B191,'City Density Ranking'!$C$6:$C$974,C191)</x:f>
        <x:v>2</x:v>
      </x:c>
      <x:c r="K191" s="133" t="n">
        <x:f>SUM(E191:J191)</x:f>
        <x:v>2</x:v>
      </x:c>
      <x:c r="L191" s="204" t="n">
        <x:v>1010.683456992832</x:v>
      </x:c>
      <x:c r="M191" s="205" t="n">
        <x:f>IFERROR(K191/L191,0)</x:f>
        <x:v>0.0019788589455602265</x:v>
      </x:c>
      <x:c r="N191" s="160" t="str">
        <x:v>Charleston, North Charleston</x:v>
      </x:c>
      <x:c r="O191" s="160" t="str">
        <x:v>Includes proxy city rows</x:v>
      </x:c>
      <x:c r="P191" s="160" t="str">
        <x:v>Aggregated from 2 city/municipality screening rows; overlapping catchments are not deduplicated.</x:v>
      </x:c>
      <x:c r="Q191" s="160" t="str">
        <x:v>Estimated county land area: geodesic polygon × 0.972 land/total calibration</x:v>
      </x:c>
    </x:row>
    <x:row r="192">
      <x:c r="A192" s="28" t="n">
        <x:v>197</x:v>
      </x:c>
      <x:c r="B192" s="28" t="str">
        <x:v>Knox County</x:v>
      </x:c>
      <x:c r="C192" s="28" t="str">
        <x:v>TN</x:v>
      </x:c>
      <x:c r="D192" s="142" t="str">
        <x:v>47093</x:v>
      </x:c>
      <x:c r="E192" s="133" t="n">
        <x:f>SUMIFS('City Density Ranking'!$E$6:$E$974,'City Density Ranking'!$O$6:$O$974,B192,'City Density Ranking'!$C$6:$C$974,C192)</x:f>
        <x:v>0</x:v>
      </x:c>
      <x:c r="F192" s="133" t="n">
        <x:f>SUMIFS('City Density Ranking'!$F$6:$F$974,'City Density Ranking'!$O$6:$O$974,B192,'City Density Ranking'!$C$6:$C$974,C192)</x:f>
        <x:v>0</x:v>
      </x:c>
      <x:c r="G192" s="133" t="n">
        <x:f>SUMIFS('City Density Ranking'!$G$6:$G$974,'City Density Ranking'!$O$6:$O$974,B192,'City Density Ranking'!$C$6:$C$974,C192)</x:f>
        <x:v>0</x:v>
      </x:c>
      <x:c r="H192" s="133" t="n">
        <x:f>SUMIFS('City Density Ranking'!$H$6:$H$974,'City Density Ranking'!$O$6:$O$974,B192,'City Density Ranking'!$C$6:$C$974,C192)</x:f>
        <x:v>0</x:v>
      </x:c>
      <x:c r="I192" s="133" t="n">
        <x:f>SUMIFS('City Density Ranking'!$I$6:$I$974,'City Density Ranking'!$O$6:$O$974,B192,'City Density Ranking'!$C$6:$C$974,C192)</x:f>
        <x:v>0</x:v>
      </x:c>
      <x:c r="J192" s="133" t="n">
        <x:f>SUMIFS('City Density Ranking'!$J$6:$J$974,'City Density Ranking'!$O$6:$O$974,B192,'City Density Ranking'!$C$6:$C$974,C192)</x:f>
        <x:v>1</x:v>
      </x:c>
      <x:c r="K192" s="133" t="n">
        <x:f>SUM(E192:J192)</x:f>
        <x:v>1</x:v>
      </x:c>
      <x:c r="L192" s="204" t="n">
        <x:v>506.5246074662761</x:v>
      </x:c>
      <x:c r="M192" s="205" t="n">
        <x:f>IFERROR(K192/L192,0)</x:f>
        <x:v>0.0019742377473074275</x:v>
      </x:c>
      <x:c r="N192" s="160" t="str">
        <x:v>Knoxville</x:v>
      </x:c>
      <x:c r="O192" s="160" t="str">
        <x:v>Includes proxy city rows</x:v>
      </x:c>
      <x:c r="P192" s="160" t="str">
        <x:v>Aggregated from 1 city/municipality screening rows; overlapping catchments are not deduplicated.</x:v>
      </x:c>
      <x:c r="Q192" s="160" t="str">
        <x:v>Estimated county land area: geodesic polygon × 0.963 land/total calibration</x:v>
      </x:c>
    </x:row>
    <x:row r="193">
      <x:c r="A193" s="28" t="n">
        <x:v>198</x:v>
      </x:c>
      <x:c r="B193" s="28" t="str">
        <x:v>Winnebago County</x:v>
      </x:c>
      <x:c r="C193" s="28" t="str">
        <x:v>IL</x:v>
      </x:c>
      <x:c r="D193" s="142" t="str">
        <x:v>17201</x:v>
      </x:c>
      <x:c r="E193" s="133" t="n">
        <x:f>SUMIFS('City Density Ranking'!$E$6:$E$974,'City Density Ranking'!$O$6:$O$974,B193,'City Density Ranking'!$C$6:$C$974,C193)</x:f>
        <x:v>0</x:v>
      </x:c>
      <x:c r="F193" s="133" t="n">
        <x:f>SUMIFS('City Density Ranking'!$F$6:$F$974,'City Density Ranking'!$O$6:$O$974,B193,'City Density Ranking'!$C$6:$C$974,C193)</x:f>
        <x:v>0</x:v>
      </x:c>
      <x:c r="G193" s="133" t="n">
        <x:f>SUMIFS('City Density Ranking'!$G$6:$G$974,'City Density Ranking'!$O$6:$O$974,B193,'City Density Ranking'!$C$6:$C$974,C193)</x:f>
        <x:v>0</x:v>
      </x:c>
      <x:c r="H193" s="133" t="n">
        <x:f>SUMIFS('City Density Ranking'!$H$6:$H$974,'City Density Ranking'!$O$6:$O$974,B193,'City Density Ranking'!$C$6:$C$974,C193)</x:f>
        <x:v>0</x:v>
      </x:c>
      <x:c r="I193" s="133" t="n">
        <x:f>SUMIFS('City Density Ranking'!$I$6:$I$974,'City Density Ranking'!$O$6:$O$974,B193,'City Density Ranking'!$C$6:$C$974,C193)</x:f>
        <x:v>0</x:v>
      </x:c>
      <x:c r="J193" s="133" t="n">
        <x:f>SUMIFS('City Density Ranking'!$J$6:$J$974,'City Density Ranking'!$O$6:$O$974,B193,'City Density Ranking'!$C$6:$C$974,C193)</x:f>
        <x:v>1</x:v>
      </x:c>
      <x:c r="K193" s="133" t="n">
        <x:f>SUM(E193:J193)</x:f>
        <x:v>1</x:v>
      </x:c>
      <x:c r="L193" s="204" t="n">
        <x:v>512.607819928063</x:v>
      </x:c>
      <x:c r="M193" s="205" t="n">
        <x:f>IFERROR(K193/L193,0)</x:f>
        <x:v>0.001950809100298812</x:v>
      </x:c>
      <x:c r="N193" s="160" t="str">
        <x:v>Rockford</x:v>
      </x:c>
      <x:c r="O193" s="160" t="str">
        <x:v>Includes proxy city rows</x:v>
      </x:c>
      <x:c r="P193" s="160" t="str">
        <x:v>Aggregated from 1 city/municipality screening rows; overlapping catchments are not deduplicated.</x:v>
      </x:c>
      <x:c r="Q193" s="160" t="str">
        <x:v>Estimated county land area: geodesic polygon × 0.987 land/total calibration</x:v>
      </x:c>
    </x:row>
    <x:row r="194">
      <x:c r="A194" s="28" t="n">
        <x:v>199</x:v>
      </x:c>
      <x:c r="B194" s="28" t="str">
        <x:v>Marin County</x:v>
      </x:c>
      <x:c r="C194" s="28" t="str">
        <x:v>CA</x:v>
      </x:c>
      <x:c r="D194" s="142" t="str">
        <x:v>06041</x:v>
      </x:c>
      <x:c r="E194" s="133" t="n">
        <x:f>SUMIFS('City Density Ranking'!$E$6:$E$974,'City Density Ranking'!$O$6:$O$974,B194,'City Density Ranking'!$C$6:$C$974,C194)</x:f>
        <x:v>1</x:v>
      </x:c>
      <x:c r="F194" s="133" t="n">
        <x:f>SUMIFS('City Density Ranking'!$F$6:$F$974,'City Density Ranking'!$O$6:$O$974,B194,'City Density Ranking'!$C$6:$C$974,C194)</x:f>
        <x:v>0</x:v>
      </x:c>
      <x:c r="G194" s="133" t="n">
        <x:f>SUMIFS('City Density Ranking'!$G$6:$G$974,'City Density Ranking'!$O$6:$O$974,B194,'City Density Ranking'!$C$6:$C$974,C194)</x:f>
        <x:v>0</x:v>
      </x:c>
      <x:c r="H194" s="133" t="n">
        <x:f>SUMIFS('City Density Ranking'!$H$6:$H$974,'City Density Ranking'!$O$6:$O$974,B194,'City Density Ranking'!$C$6:$C$974,C194)</x:f>
        <x:v>0</x:v>
      </x:c>
      <x:c r="I194" s="133" t="n">
        <x:f>SUMIFS('City Density Ranking'!$I$6:$I$974,'City Density Ranking'!$O$6:$O$974,B194,'City Density Ranking'!$C$6:$C$974,C194)</x:f>
        <x:v>0</x:v>
      </x:c>
      <x:c r="J194" s="133" t="n">
        <x:f>SUMIFS('City Density Ranking'!$J$6:$J$974,'City Density Ranking'!$O$6:$O$974,B194,'City Density Ranking'!$C$6:$C$974,C194)</x:f>
        <x:v>0</x:v>
      </x:c>
      <x:c r="K194" s="133" t="n">
        <x:f>SUM(E194:J194)</x:f>
        <x:v>1</x:v>
      </x:c>
      <x:c r="L194" s="204" t="n">
        <x:v>520.141</x:v>
      </x:c>
      <x:c r="M194" s="205" t="n">
        <x:f>IFERROR(K194/L194,0)</x:f>
        <x:v>0.0019225556147275452</x:v>
      </x:c>
      <x:c r="N194" s="160" t="str">
        <x:v>San Rafael</x:v>
      </x:c>
      <x:c r="O194" s="160" t="str">
        <x:v>Lower-bound city counts only</x:v>
      </x:c>
      <x:c r="P194" s="160" t="str">
        <x:v>Aggregated from 1 city/municipality screening rows; overlapping catchments are not deduplicated.</x:v>
      </x:c>
      <x:c r="Q194" s="160" t="str">
        <x:v>Verified Census 2025 Gazetteer land area</x:v>
      </x:c>
    </x:row>
    <x:row r="195">
      <x:c r="A195" s="28" t="n">
        <x:v>200</x:v>
      </x:c>
      <x:c r="B195" s="28" t="str">
        <x:v>Albany County</x:v>
      </x:c>
      <x:c r="C195" s="28" t="str">
        <x:v>NY</x:v>
      </x:c>
      <x:c r="D195" s="142" t="str">
        <x:v>36001</x:v>
      </x:c>
      <x:c r="E195" s="133" t="n">
        <x:f>SUMIFS('City Density Ranking'!$E$6:$E$974,'City Density Ranking'!$O$6:$O$974,B195,'City Density Ranking'!$C$6:$C$974,C195)</x:f>
        <x:v>0</x:v>
      </x:c>
      <x:c r="F195" s="133" t="n">
        <x:f>SUMIFS('City Density Ranking'!$F$6:$F$974,'City Density Ranking'!$O$6:$O$974,B195,'City Density Ranking'!$C$6:$C$974,C195)</x:f>
        <x:v>0</x:v>
      </x:c>
      <x:c r="G195" s="133" t="n">
        <x:f>SUMIFS('City Density Ranking'!$G$6:$G$974,'City Density Ranking'!$O$6:$O$974,B195,'City Density Ranking'!$C$6:$C$974,C195)</x:f>
        <x:v>0</x:v>
      </x:c>
      <x:c r="H195" s="133" t="n">
        <x:f>SUMIFS('City Density Ranking'!$H$6:$H$974,'City Density Ranking'!$O$6:$O$974,B195,'City Density Ranking'!$C$6:$C$974,C195)</x:f>
        <x:v>0</x:v>
      </x:c>
      <x:c r="I195" s="133" t="n">
        <x:f>SUMIFS('City Density Ranking'!$I$6:$I$974,'City Density Ranking'!$O$6:$O$974,B195,'City Density Ranking'!$C$6:$C$974,C195)</x:f>
        <x:v>0</x:v>
      </x:c>
      <x:c r="J195" s="133" t="n">
        <x:f>SUMIFS('City Density Ranking'!$J$6:$J$974,'City Density Ranking'!$O$6:$O$974,B195,'City Density Ranking'!$C$6:$C$974,C195)</x:f>
        <x:v>1</x:v>
      </x:c>
      <x:c r="K195" s="133" t="n">
        <x:f>SUM(E195:J195)</x:f>
        <x:v>1</x:v>
      </x:c>
      <x:c r="L195" s="204" t="n">
        <x:v>522.89</x:v>
      </x:c>
      <x:c r="M195" s="205" t="n">
        <x:f>IFERROR(K195/L195,0)</x:f>
        <x:v>0.0019124481248446136</x:v>
      </x:c>
      <x:c r="N195" s="160" t="str">
        <x:v>Albany</x:v>
      </x:c>
      <x:c r="O195" s="160" t="str">
        <x:v>Includes proxy city rows</x:v>
      </x:c>
      <x:c r="P195" s="160" t="str">
        <x:v>Aggregated from 1 city/municipality screening rows; overlapping catchments are not deduplicated.</x:v>
      </x:c>
      <x:c r="Q195" s="160" t="str">
        <x:v>Verified Census QuickFacts land area (2020 geography)</x:v>
      </x:c>
    </x:row>
    <x:row r="196">
      <x:c r="A196" s="28" t="n">
        <x:v>201</x:v>
      </x:c>
      <x:c r="B196" s="28" t="str">
        <x:v>Montgomery County</x:v>
      </x:c>
      <x:c r="C196" s="28" t="str">
        <x:v>TN</x:v>
      </x:c>
      <x:c r="D196" s="142" t="str">
        <x:v>47125</x:v>
      </x:c>
      <x:c r="E196" s="133" t="n">
        <x:f>SUMIFS('City Density Ranking'!$E$6:$E$974,'City Density Ranking'!$O$6:$O$974,B196,'City Density Ranking'!$C$6:$C$974,C196)</x:f>
        <x:v>0</x:v>
      </x:c>
      <x:c r="F196" s="133" t="n">
        <x:f>SUMIFS('City Density Ranking'!$F$6:$F$974,'City Density Ranking'!$O$6:$O$974,B196,'City Density Ranking'!$C$6:$C$974,C196)</x:f>
        <x:v>0</x:v>
      </x:c>
      <x:c r="G196" s="133" t="n">
        <x:f>SUMIFS('City Density Ranking'!$G$6:$G$974,'City Density Ranking'!$O$6:$O$974,B196,'City Density Ranking'!$C$6:$C$974,C196)</x:f>
        <x:v>0</x:v>
      </x:c>
      <x:c r="H196" s="133" t="n">
        <x:f>SUMIFS('City Density Ranking'!$H$6:$H$974,'City Density Ranking'!$O$6:$O$974,B196,'City Density Ranking'!$C$6:$C$974,C196)</x:f>
        <x:v>0</x:v>
      </x:c>
      <x:c r="I196" s="133" t="n">
        <x:f>SUMIFS('City Density Ranking'!$I$6:$I$974,'City Density Ranking'!$O$6:$O$974,B196,'City Density Ranking'!$C$6:$C$974,C196)</x:f>
        <x:v>0</x:v>
      </x:c>
      <x:c r="J196" s="133" t="n">
        <x:f>SUMIFS('City Density Ranking'!$J$6:$J$974,'City Density Ranking'!$O$6:$O$974,B196,'City Density Ranking'!$C$6:$C$974,C196)</x:f>
        <x:v>1</x:v>
      </x:c>
      <x:c r="K196" s="133" t="n">
        <x:f>SUM(E196:J196)</x:f>
        <x:v>1</x:v>
      </x:c>
      <x:c r="L196" s="204" t="n">
        <x:v>523.8064499704913</x:v>
      </x:c>
      <x:c r="M196" s="205" t="n">
        <x:f>IFERROR(K196/L196,0)</x:f>
        <x:v>0.0019091021121567617</x:v>
      </x:c>
      <x:c r="N196" s="160" t="str">
        <x:v>Clarksville</x:v>
      </x:c>
      <x:c r="O196" s="160" t="str">
        <x:v>Includes proxy city rows</x:v>
      </x:c>
      <x:c r="P196" s="160" t="str">
        <x:v>Aggregated from 1 city/municipality screening rows; overlapping catchments are not deduplicated.</x:v>
      </x:c>
      <x:c r="Q196" s="160" t="str">
        <x:v>Estimated county land area: geodesic polygon × 0.963 land/total calibration</x:v>
      </x:c>
    </x:row>
    <x:row r="197">
      <x:c r="A197" s="28" t="n">
        <x:v>202</x:v>
      </x:c>
      <x:c r="B197" s="28" t="str">
        <x:v>Dauphin County</x:v>
      </x:c>
      <x:c r="C197" s="28" t="str">
        <x:v>PA</x:v>
      </x:c>
      <x:c r="D197" s="142" t="str">
        <x:v>42043</x:v>
      </x:c>
      <x:c r="E197" s="133" t="n">
        <x:f>SUMIFS('City Density Ranking'!$E$6:$E$974,'City Density Ranking'!$O$6:$O$974,B197,'City Density Ranking'!$C$6:$C$974,C197)</x:f>
        <x:v>0</x:v>
      </x:c>
      <x:c r="F197" s="133" t="n">
        <x:f>SUMIFS('City Density Ranking'!$F$6:$F$974,'City Density Ranking'!$O$6:$O$974,B197,'City Density Ranking'!$C$6:$C$974,C197)</x:f>
        <x:v>0</x:v>
      </x:c>
      <x:c r="G197" s="133" t="n">
        <x:f>SUMIFS('City Density Ranking'!$G$6:$G$974,'City Density Ranking'!$O$6:$O$974,B197,'City Density Ranking'!$C$6:$C$974,C197)</x:f>
        <x:v>0</x:v>
      </x:c>
      <x:c r="H197" s="133" t="n">
        <x:f>SUMIFS('City Density Ranking'!$H$6:$H$974,'City Density Ranking'!$O$6:$O$974,B197,'City Density Ranking'!$C$6:$C$974,C197)</x:f>
        <x:v>0</x:v>
      </x:c>
      <x:c r="I197" s="133" t="n">
        <x:f>SUMIFS('City Density Ranking'!$I$6:$I$974,'City Density Ranking'!$O$6:$O$974,B197,'City Density Ranking'!$C$6:$C$974,C197)</x:f>
        <x:v>0</x:v>
      </x:c>
      <x:c r="J197" s="133" t="n">
        <x:f>SUMIFS('City Density Ranking'!$J$6:$J$974,'City Density Ranking'!$O$6:$O$974,B197,'City Density Ranking'!$C$6:$C$974,C197)</x:f>
        <x:v>1</x:v>
      </x:c>
      <x:c r="K197" s="133" t="n">
        <x:f>SUM(E197:J197)</x:f>
        <x:v>1</x:v>
      </x:c>
      <x:c r="L197" s="204" t="n">
        <x:v>524.87</x:v>
      </x:c>
      <x:c r="M197" s="205" t="n">
        <x:f>IFERROR(K197/L197,0)</x:f>
        <x:v>0.001905233676910473</x:v>
      </x:c>
      <x:c r="N197" s="160" t="str">
        <x:v>Harrisburg</x:v>
      </x:c>
      <x:c r="O197" s="160" t="str">
        <x:v>Includes proxy city rows</x:v>
      </x:c>
      <x:c r="P197" s="160" t="str">
        <x:v>Aggregated from 1 city/municipality screening rows; overlapping catchments are not deduplicated.</x:v>
      </x:c>
      <x:c r="Q197" s="160" t="str">
        <x:v>Verified Census QuickFacts land area (2020 geography)</x:v>
      </x:c>
    </x:row>
    <x:row r="198">
      <x:c r="A198" s="28" t="n">
        <x:v>203</x:v>
      </x:c>
      <x:c r="B198" s="28" t="str">
        <x:v>Ada County</x:v>
      </x:c>
      <x:c r="C198" s="28" t="str">
        <x:v>ID</x:v>
      </x:c>
      <x:c r="D198" s="142" t="str">
        <x:v>16001</x:v>
      </x:c>
      <x:c r="E198" s="133" t="n">
        <x:f>SUMIFS('City Density Ranking'!$E$6:$E$974,'City Density Ranking'!$O$6:$O$974,B198,'City Density Ranking'!$C$6:$C$974,C198)</x:f>
        <x:v>0</x:v>
      </x:c>
      <x:c r="F198" s="133" t="n">
        <x:f>SUMIFS('City Density Ranking'!$F$6:$F$974,'City Density Ranking'!$O$6:$O$974,B198,'City Density Ranking'!$C$6:$C$974,C198)</x:f>
        <x:v>0</x:v>
      </x:c>
      <x:c r="G198" s="133" t="n">
        <x:f>SUMIFS('City Density Ranking'!$G$6:$G$974,'City Density Ranking'!$O$6:$O$974,B198,'City Density Ranking'!$C$6:$C$974,C198)</x:f>
        <x:v>0</x:v>
      </x:c>
      <x:c r="H198" s="133" t="n">
        <x:f>SUMIFS('City Density Ranking'!$H$6:$H$974,'City Density Ranking'!$O$6:$O$974,B198,'City Density Ranking'!$C$6:$C$974,C198)</x:f>
        <x:v>0</x:v>
      </x:c>
      <x:c r="I198" s="133" t="n">
        <x:f>SUMIFS('City Density Ranking'!$I$6:$I$974,'City Density Ranking'!$O$6:$O$974,B198,'City Density Ranking'!$C$6:$C$974,C198)</x:f>
        <x:v>0</x:v>
      </x:c>
      <x:c r="J198" s="133" t="n">
        <x:f>SUMIFS('City Density Ranking'!$J$6:$J$974,'City Density Ranking'!$O$6:$O$974,B198,'City Density Ranking'!$C$6:$C$974,C198)</x:f>
        <x:v>2</x:v>
      </x:c>
      <x:c r="K198" s="133" t="n">
        <x:f>SUM(E198:J198)</x:f>
        <x:v>2</x:v>
      </x:c>
      <x:c r="L198" s="204" t="n">
        <x:v>1052.015</x:v>
      </x:c>
      <x:c r="M198" s="205" t="n">
        <x:f>IFERROR(K198/L198,0)</x:f>
        <x:v>0.0019011135772778903</x:v>
      </x:c>
      <x:c r="N198" s="160" t="str">
        <x:v>Boise, Meridian</x:v>
      </x:c>
      <x:c r="O198" s="160" t="str">
        <x:v>Includes proxy city rows</x:v>
      </x:c>
      <x:c r="P198" s="160" t="str">
        <x:v>Aggregated from 2 city/municipality screening rows; overlapping catchments are not deduplicated.</x:v>
      </x:c>
      <x:c r="Q198" s="160" t="str">
        <x:v>Verified Census land area (retained)</x:v>
      </x:c>
    </x:row>
    <x:row r="199">
      <x:c r="A199" s="28" t="n">
        <x:v>204</x:v>
      </x:c>
      <x:c r="B199" s="28" t="str">
        <x:v>Ingham County</x:v>
      </x:c>
      <x:c r="C199" s="28" t="str">
        <x:v>MI</x:v>
      </x:c>
      <x:c r="D199" s="142" t="str">
        <x:v>26065</x:v>
      </x:c>
      <x:c r="E199" s="133" t="n">
        <x:f>SUMIFS('City Density Ranking'!$E$6:$E$974,'City Density Ranking'!$O$6:$O$974,B199,'City Density Ranking'!$C$6:$C$974,C199)</x:f>
        <x:v>0</x:v>
      </x:c>
      <x:c r="F199" s="133" t="n">
        <x:f>SUMIFS('City Density Ranking'!$F$6:$F$974,'City Density Ranking'!$O$6:$O$974,B199,'City Density Ranking'!$C$6:$C$974,C199)</x:f>
        <x:v>0</x:v>
      </x:c>
      <x:c r="G199" s="133" t="n">
        <x:f>SUMIFS('City Density Ranking'!$G$6:$G$974,'City Density Ranking'!$O$6:$O$974,B199,'City Density Ranking'!$C$6:$C$974,C199)</x:f>
        <x:v>0</x:v>
      </x:c>
      <x:c r="H199" s="133" t="n">
        <x:f>SUMIFS('City Density Ranking'!$H$6:$H$974,'City Density Ranking'!$O$6:$O$974,B199,'City Density Ranking'!$C$6:$C$974,C199)</x:f>
        <x:v>0</x:v>
      </x:c>
      <x:c r="I199" s="133" t="n">
        <x:f>SUMIFS('City Density Ranking'!$I$6:$I$974,'City Density Ranking'!$O$6:$O$974,B199,'City Density Ranking'!$C$6:$C$974,C199)</x:f>
        <x:v>0</x:v>
      </x:c>
      <x:c r="J199" s="133" t="n">
        <x:f>SUMIFS('City Density Ranking'!$J$6:$J$974,'City Density Ranking'!$O$6:$O$974,B199,'City Density Ranking'!$C$6:$C$974,C199)</x:f>
        <x:v>1</x:v>
      </x:c>
      <x:c r="K199" s="133" t="n">
        <x:f>SUM(E199:J199)</x:f>
        <x:v>1</x:v>
      </x:c>
      <x:c r="L199" s="204" t="n">
        <x:v>540.5309142342988</x:v>
      </x:c>
      <x:c r="M199" s="205" t="n">
        <x:f>IFERROR(K199/L199,0)</x:f>
        <x:v>0.0018500329466198475</x:v>
      </x:c>
      <x:c r="N199" s="160" t="str">
        <x:v>Lansing</x:v>
      </x:c>
      <x:c r="O199" s="160" t="str">
        <x:v>Includes proxy city rows</x:v>
      </x:c>
      <x:c r="P199" s="160" t="str">
        <x:v>Aggregated from 1 city/municipality screening rows; overlapping catchments are not deduplicated.</x:v>
      </x:c>
      <x:c r="Q199" s="160" t="str">
        <x:v>Estimated county land area: geodesic polygon × 0.964 land/total calibration</x:v>
      </x:c>
    </x:row>
    <x:row r="200">
      <x:c r="A200" s="28" t="n">
        <x:v>205</x:v>
      </x:c>
      <x:c r="B200" s="28" t="str">
        <x:v>Cleveland County</x:v>
      </x:c>
      <x:c r="C200" s="28" t="str">
        <x:v>OK</x:v>
      </x:c>
      <x:c r="D200" s="142" t="str">
        <x:v>40027</x:v>
      </x:c>
      <x:c r="E200" s="133" t="n">
        <x:f>SUMIFS('City Density Ranking'!$E$6:$E$974,'City Density Ranking'!$O$6:$O$974,B200,'City Density Ranking'!$C$6:$C$974,C200)</x:f>
        <x:v>0</x:v>
      </x:c>
      <x:c r="F200" s="133" t="n">
        <x:f>SUMIFS('City Density Ranking'!$F$6:$F$974,'City Density Ranking'!$O$6:$O$974,B200,'City Density Ranking'!$C$6:$C$974,C200)</x:f>
        <x:v>0</x:v>
      </x:c>
      <x:c r="G200" s="133" t="n">
        <x:f>SUMIFS('City Density Ranking'!$G$6:$G$974,'City Density Ranking'!$O$6:$O$974,B200,'City Density Ranking'!$C$6:$C$974,C200)</x:f>
        <x:v>0</x:v>
      </x:c>
      <x:c r="H200" s="133" t="n">
        <x:f>SUMIFS('City Density Ranking'!$H$6:$H$974,'City Density Ranking'!$O$6:$O$974,B200,'City Density Ranking'!$C$6:$C$974,C200)</x:f>
        <x:v>0</x:v>
      </x:c>
      <x:c r="I200" s="133" t="n">
        <x:f>SUMIFS('City Density Ranking'!$I$6:$I$974,'City Density Ranking'!$O$6:$O$974,B200,'City Density Ranking'!$C$6:$C$974,C200)</x:f>
        <x:v>0</x:v>
      </x:c>
      <x:c r="J200" s="133" t="n">
        <x:f>SUMIFS('City Density Ranking'!$J$6:$J$974,'City Density Ranking'!$O$6:$O$974,B200,'City Density Ranking'!$C$6:$C$974,C200)</x:f>
        <x:v>1</x:v>
      </x:c>
      <x:c r="K200" s="133" t="n">
        <x:f>SUM(E200:J200)</x:f>
        <x:v>1</x:v>
      </x:c>
      <x:c r="L200" s="204" t="n">
        <x:v>546.4036513376858</x:v>
      </x:c>
      <x:c r="M200" s="205" t="n">
        <x:f>IFERROR(K200/L200,0)</x:f>
        <x:v>0.001830148824137313</x:v>
      </x:c>
      <x:c r="N200" s="160" t="str">
        <x:v>Norman</x:v>
      </x:c>
      <x:c r="O200" s="160" t="str">
        <x:v>Includes proxy city rows</x:v>
      </x:c>
      <x:c r="P200" s="160" t="str">
        <x:v>Aggregated from 1 city/municipality screening rows; overlapping catchments are not deduplicated.</x:v>
      </x:c>
      <x:c r="Q200" s="160" t="str">
        <x:v>Estimated county land area: geodesic polygon × 0.979 land/total calibration</x:v>
      </x:c>
    </x:row>
    <x:row r="201">
      <x:c r="A201" s="28" t="n">
        <x:v>206</x:v>
      </x:c>
      <x:c r="B201" s="28" t="str">
        <x:v>Shawnee County</x:v>
      </x:c>
      <x:c r="C201" s="28" t="str">
        <x:v>KS</x:v>
      </x:c>
      <x:c r="D201" s="142" t="str">
        <x:v>20177</x:v>
      </x:c>
      <x:c r="E201" s="133" t="n">
        <x:f>SUMIFS('City Density Ranking'!$E$6:$E$974,'City Density Ranking'!$O$6:$O$974,B201,'City Density Ranking'!$C$6:$C$974,C201)</x:f>
        <x:v>0</x:v>
      </x:c>
      <x:c r="F201" s="133" t="n">
        <x:f>SUMIFS('City Density Ranking'!$F$6:$F$974,'City Density Ranking'!$O$6:$O$974,B201,'City Density Ranking'!$C$6:$C$974,C201)</x:f>
        <x:v>0</x:v>
      </x:c>
      <x:c r="G201" s="133" t="n">
        <x:f>SUMIFS('City Density Ranking'!$G$6:$G$974,'City Density Ranking'!$O$6:$O$974,B201,'City Density Ranking'!$C$6:$C$974,C201)</x:f>
        <x:v>0</x:v>
      </x:c>
      <x:c r="H201" s="133" t="n">
        <x:f>SUMIFS('City Density Ranking'!$H$6:$H$974,'City Density Ranking'!$O$6:$O$974,B201,'City Density Ranking'!$C$6:$C$974,C201)</x:f>
        <x:v>0</x:v>
      </x:c>
      <x:c r="I201" s="133" t="n">
        <x:f>SUMIFS('City Density Ranking'!$I$6:$I$974,'City Density Ranking'!$O$6:$O$974,B201,'City Density Ranking'!$C$6:$C$974,C201)</x:f>
        <x:v>0</x:v>
      </x:c>
      <x:c r="J201" s="133" t="n">
        <x:f>SUMIFS('City Density Ranking'!$J$6:$J$974,'City Density Ranking'!$O$6:$O$974,B201,'City Density Ranking'!$C$6:$C$974,C201)</x:f>
        <x:v>1</x:v>
      </x:c>
      <x:c r="K201" s="133" t="n">
        <x:f>SUM(E201:J201)</x:f>
        <x:v>1</x:v>
      </x:c>
      <x:c r="L201" s="204" t="n">
        <x:v>549.0326477142927</x:v>
      </x:c>
      <x:c r="M201" s="205" t="n">
        <x:f>IFERROR(K201/L201,0)</x:f>
        <x:v>0.0018213853113528927</x:v>
      </x:c>
      <x:c r="N201" s="160" t="str">
        <x:v>Topeka</x:v>
      </x:c>
      <x:c r="O201" s="160" t="str">
        <x:v>Includes proxy city rows</x:v>
      </x:c>
      <x:c r="P201" s="160" t="str">
        <x:v>Aggregated from 1 city/municipality screening rows; overlapping catchments are not deduplicated.</x:v>
      </x:c>
      <x:c r="Q201" s="160" t="str">
        <x:v>Estimated county land area: geodesic polygon × 0.988 land/total calibration</x:v>
      </x:c>
    </x:row>
    <x:row r="202">
      <x:c r="A202" s="28" t="n">
        <x:v>207</x:v>
      </x:c>
      <x:c r="B202" s="28" t="str">
        <x:v>St. Lucie County</x:v>
      </x:c>
      <x:c r="C202" s="28" t="str">
        <x:v>FL</x:v>
      </x:c>
      <x:c r="D202" s="142" t="str">
        <x:v>12111</x:v>
      </x:c>
      <x:c r="E202" s="133" t="n">
        <x:f>SUMIFS('City Density Ranking'!$E$6:$E$974,'City Density Ranking'!$O$6:$O$974,B202,'City Density Ranking'!$C$6:$C$974,C202)</x:f>
        <x:v>0</x:v>
      </x:c>
      <x:c r="F202" s="133" t="n">
        <x:f>SUMIFS('City Density Ranking'!$F$6:$F$974,'City Density Ranking'!$O$6:$O$974,B202,'City Density Ranking'!$C$6:$C$974,C202)</x:f>
        <x:v>0</x:v>
      </x:c>
      <x:c r="G202" s="133" t="n">
        <x:f>SUMIFS('City Density Ranking'!$G$6:$G$974,'City Density Ranking'!$O$6:$O$974,B202,'City Density Ranking'!$C$6:$C$974,C202)</x:f>
        <x:v>0</x:v>
      </x:c>
      <x:c r="H202" s="133" t="n">
        <x:f>SUMIFS('City Density Ranking'!$H$6:$H$974,'City Density Ranking'!$O$6:$O$974,B202,'City Density Ranking'!$C$6:$C$974,C202)</x:f>
        <x:v>0</x:v>
      </x:c>
      <x:c r="I202" s="133" t="n">
        <x:f>SUMIFS('City Density Ranking'!$I$6:$I$974,'City Density Ranking'!$O$6:$O$974,B202,'City Density Ranking'!$C$6:$C$974,C202)</x:f>
        <x:v>0</x:v>
      </x:c>
      <x:c r="J202" s="133" t="n">
        <x:f>SUMIFS('City Density Ranking'!$J$6:$J$974,'City Density Ranking'!$O$6:$O$974,B202,'City Density Ranking'!$C$6:$C$974,C202)</x:f>
        <x:v>1</x:v>
      </x:c>
      <x:c r="K202" s="133" t="n">
        <x:f>SUM(E202:J202)</x:f>
        <x:v>1</x:v>
      </x:c>
      <x:c r="L202" s="204" t="n">
        <x:v>553.5384336894517</x:v>
      </x:c>
      <x:c r="M202" s="205" t="n">
        <x:f>IFERROR(K202/L202,0)</x:f>
        <x:v>0.001806559290444905</x:v>
      </x:c>
      <x:c r="N202" s="160" t="str">
        <x:v>Port St. Lucie</x:v>
      </x:c>
      <x:c r="O202" s="160" t="str">
        <x:v>Includes proxy city rows</x:v>
      </x:c>
      <x:c r="P202" s="160" t="str">
        <x:v>Aggregated from 1 city/municipality screening rows; overlapping catchments are not deduplicated.</x:v>
      </x:c>
      <x:c r="Q202" s="160" t="str">
        <x:v>Estimated county land area: geodesic polygon × 0.900 land/total calibration</x:v>
      </x:c>
    </x:row>
    <x:row r="203">
      <x:c r="A203" s="28" t="n">
        <x:v>208</x:v>
      </x:c>
      <x:c r="B203" s="28" t="str">
        <x:v>Hamilton County</x:v>
      </x:c>
      <x:c r="C203" s="28" t="str">
        <x:v>TN</x:v>
      </x:c>
      <x:c r="D203" s="142" t="str">
        <x:v>47065</x:v>
      </x:c>
      <x:c r="E203" s="133" t="n">
        <x:f>SUMIFS('City Density Ranking'!$E$6:$E$974,'City Density Ranking'!$O$6:$O$974,B203,'City Density Ranking'!$C$6:$C$974,C203)</x:f>
        <x:v>0</x:v>
      </x:c>
      <x:c r="F203" s="133" t="n">
        <x:f>SUMIFS('City Density Ranking'!$F$6:$F$974,'City Density Ranking'!$O$6:$O$974,B203,'City Density Ranking'!$C$6:$C$974,C203)</x:f>
        <x:v>0</x:v>
      </x:c>
      <x:c r="G203" s="133" t="n">
        <x:f>SUMIFS('City Density Ranking'!$G$6:$G$974,'City Density Ranking'!$O$6:$O$974,B203,'City Density Ranking'!$C$6:$C$974,C203)</x:f>
        <x:v>0</x:v>
      </x:c>
      <x:c r="H203" s="133" t="n">
        <x:f>SUMIFS('City Density Ranking'!$H$6:$H$974,'City Density Ranking'!$O$6:$O$974,B203,'City Density Ranking'!$C$6:$C$974,C203)</x:f>
        <x:v>0</x:v>
      </x:c>
      <x:c r="I203" s="133" t="n">
        <x:f>SUMIFS('City Density Ranking'!$I$6:$I$974,'City Density Ranking'!$O$6:$O$974,B203,'City Density Ranking'!$C$6:$C$974,C203)</x:f>
        <x:v>0</x:v>
      </x:c>
      <x:c r="J203" s="133" t="n">
        <x:f>SUMIFS('City Density Ranking'!$J$6:$J$974,'City Density Ranking'!$O$6:$O$974,B203,'City Density Ranking'!$C$6:$C$974,C203)</x:f>
        <x:v>1</x:v>
      </x:c>
      <x:c r="K203" s="133" t="n">
        <x:f>SUM(E203:J203)</x:f>
        <x:v>1</x:v>
      </x:c>
      <x:c r="L203" s="204" t="n">
        <x:v>554.7647431868767</x:v>
      </x:c>
      <x:c r="M203" s="205" t="n">
        <x:f>IFERROR(K203/L203,0)</x:f>
        <x:v>0.0018025658845142985</x:v>
      </x:c>
      <x:c r="N203" s="160" t="str">
        <x:v>Chattanooga</x:v>
      </x:c>
      <x:c r="O203" s="160" t="str">
        <x:v>Includes proxy city rows</x:v>
      </x:c>
      <x:c r="P203" s="160" t="str">
        <x:v>Aggregated from 1 city/municipality screening rows; overlapping catchments are not deduplicated.</x:v>
      </x:c>
      <x:c r="Q203" s="160" t="str">
        <x:v>Estimated county land area: geodesic polygon × 0.963 land/total calibration</x:v>
      </x:c>
    </x:row>
    <x:row r="204">
      <x:c r="A204" s="28" t="n">
        <x:v>209</x:v>
      </x:c>
      <x:c r="B204" s="28" t="str">
        <x:v>Comal County</x:v>
      </x:c>
      <x:c r="C204" s="28" t="str">
        <x:v>TX</x:v>
      </x:c>
      <x:c r="D204" s="142" t="str">
        <x:v>48091</x:v>
      </x:c>
      <x:c r="E204" s="133" t="n">
        <x:f>SUMIFS('City Density Ranking'!$E$6:$E$974,'City Density Ranking'!$O$6:$O$974,B204,'City Density Ranking'!$C$6:$C$974,C204)</x:f>
        <x:v>0</x:v>
      </x:c>
      <x:c r="F204" s="133" t="n">
        <x:f>SUMIFS('City Density Ranking'!$F$6:$F$974,'City Density Ranking'!$O$6:$O$974,B204,'City Density Ranking'!$C$6:$C$974,C204)</x:f>
        <x:v>0</x:v>
      </x:c>
      <x:c r="G204" s="133" t="n">
        <x:f>SUMIFS('City Density Ranking'!$G$6:$G$974,'City Density Ranking'!$O$6:$O$974,B204,'City Density Ranking'!$C$6:$C$974,C204)</x:f>
        <x:v>0</x:v>
      </x:c>
      <x:c r="H204" s="133" t="n">
        <x:f>SUMIFS('City Density Ranking'!$H$6:$H$974,'City Density Ranking'!$O$6:$O$974,B204,'City Density Ranking'!$C$6:$C$974,C204)</x:f>
        <x:v>0</x:v>
      </x:c>
      <x:c r="I204" s="133" t="n">
        <x:f>SUMIFS('City Density Ranking'!$I$6:$I$974,'City Density Ranking'!$O$6:$O$974,B204,'City Density Ranking'!$C$6:$C$974,C204)</x:f>
        <x:v>0</x:v>
      </x:c>
      <x:c r="J204" s="133" t="n">
        <x:f>SUMIFS('City Density Ranking'!$J$6:$J$974,'City Density Ranking'!$O$6:$O$974,B204,'City Density Ranking'!$C$6:$C$974,C204)</x:f>
        <x:v>1</x:v>
      </x:c>
      <x:c r="K204" s="133" t="n">
        <x:f>SUM(E204:J204)</x:f>
        <x:v>1</x:v>
      </x:c>
      <x:c r="L204" s="204" t="n">
        <x:v>558.7019357016494</x:v>
      </x:c>
      <x:c r="M204" s="205" t="n">
        <x:f>IFERROR(K204/L204,0)</x:f>
        <x:v>0.0017898631382834635</x:v>
      </x:c>
      <x:c r="N204" s="160" t="str">
        <x:v>New Braunfels</x:v>
      </x:c>
      <x:c r="O204" s="160" t="str">
        <x:v>Includes proxy city rows</x:v>
      </x:c>
      <x:c r="P204" s="160" t="str">
        <x:v>Aggregated from 1 city/municipality screening rows; overlapping catchments are not deduplicated.</x:v>
      </x:c>
      <x:c r="Q204" s="160" t="str">
        <x:v>Estimated county land area: geodesic polygon × 0.972 land/total calibration</x:v>
      </x:c>
    </x:row>
    <x:row r="205">
      <x:c r="A205" s="28" t="n">
        <x:v>210</x:v>
      </x:c>
      <x:c r="B205" s="28" t="str">
        <x:v>Kalamazoo County</x:v>
      </x:c>
      <x:c r="C205" s="28" t="str">
        <x:v>MI</x:v>
      </x:c>
      <x:c r="D205" s="142" t="str">
        <x:v>26077</x:v>
      </x:c>
      <x:c r="E205" s="133" t="n">
        <x:f>SUMIFS('City Density Ranking'!$E$6:$E$974,'City Density Ranking'!$O$6:$O$974,B205,'City Density Ranking'!$C$6:$C$974,C205)</x:f>
        <x:v>0</x:v>
      </x:c>
      <x:c r="F205" s="133" t="n">
        <x:f>SUMIFS('City Density Ranking'!$F$6:$F$974,'City Density Ranking'!$O$6:$O$974,B205,'City Density Ranking'!$C$6:$C$974,C205)</x:f>
        <x:v>0</x:v>
      </x:c>
      <x:c r="G205" s="133" t="n">
        <x:f>SUMIFS('City Density Ranking'!$G$6:$G$974,'City Density Ranking'!$O$6:$O$974,B205,'City Density Ranking'!$C$6:$C$974,C205)</x:f>
        <x:v>0</x:v>
      </x:c>
      <x:c r="H205" s="133" t="n">
        <x:f>SUMIFS('City Density Ranking'!$H$6:$H$974,'City Density Ranking'!$O$6:$O$974,B205,'City Density Ranking'!$C$6:$C$974,C205)</x:f>
        <x:v>0</x:v>
      </x:c>
      <x:c r="I205" s="133" t="n">
        <x:f>SUMIFS('City Density Ranking'!$I$6:$I$974,'City Density Ranking'!$O$6:$O$974,B205,'City Density Ranking'!$C$6:$C$974,C205)</x:f>
        <x:v>0</x:v>
      </x:c>
      <x:c r="J205" s="133" t="n">
        <x:f>SUMIFS('City Density Ranking'!$J$6:$J$974,'City Density Ranking'!$O$6:$O$974,B205,'City Density Ranking'!$C$6:$C$974,C205)</x:f>
        <x:v>1</x:v>
      </x:c>
      <x:c r="K205" s="133" t="n">
        <x:f>SUM(E205:J205)</x:f>
        <x:v>1</x:v>
      </x:c>
      <x:c r="L205" s="204" t="n">
        <x:v>561.96</x:v>
      </x:c>
      <x:c r="M205" s="205" t="n">
        <x:f>IFERROR(K205/L205,0)</x:f>
        <x:v>0.0017794860844188196</x:v>
      </x:c>
      <x:c r="N205" s="160" t="str">
        <x:v>Kalamazoo</x:v>
      </x:c>
      <x:c r="O205" s="160" t="str">
        <x:v>Includes proxy city rows</x:v>
      </x:c>
      <x:c r="P205" s="160" t="str">
        <x:v>Aggregated from 1 city/municipality screening rows; overlapping catchments are not deduplicated.</x:v>
      </x:c>
      <x:c r="Q205" s="160" t="str">
        <x:v>Verified Census QuickFacts land area (2020 geography)</x:v>
      </x:c>
    </x:row>
    <x:row r="206">
      <x:c r="A206" s="28" t="n">
        <x:v>211</x:v>
      </x:c>
      <x:c r="B206" s="28" t="str">
        <x:v>Hampden County</x:v>
      </x:c>
      <x:c r="C206" s="28" t="str">
        <x:v>MA</x:v>
      </x:c>
      <x:c r="D206" s="142" t="str">
        <x:v>25013</x:v>
      </x:c>
      <x:c r="E206" s="133" t="n">
        <x:f>SUMIFS('City Density Ranking'!$E$6:$E$974,'City Density Ranking'!$O$6:$O$974,B206,'City Density Ranking'!$C$6:$C$974,C206)</x:f>
        <x:v>0</x:v>
      </x:c>
      <x:c r="F206" s="133" t="n">
        <x:f>SUMIFS('City Density Ranking'!$F$6:$F$974,'City Density Ranking'!$O$6:$O$974,B206,'City Density Ranking'!$C$6:$C$974,C206)</x:f>
        <x:v>0</x:v>
      </x:c>
      <x:c r="G206" s="133" t="n">
        <x:f>SUMIFS('City Density Ranking'!$G$6:$G$974,'City Density Ranking'!$O$6:$O$974,B206,'City Density Ranking'!$C$6:$C$974,C206)</x:f>
        <x:v>0</x:v>
      </x:c>
      <x:c r="H206" s="133" t="n">
        <x:f>SUMIFS('City Density Ranking'!$H$6:$H$974,'City Density Ranking'!$O$6:$O$974,B206,'City Density Ranking'!$C$6:$C$974,C206)</x:f>
        <x:v>0</x:v>
      </x:c>
      <x:c r="I206" s="133" t="n">
        <x:f>SUMIFS('City Density Ranking'!$I$6:$I$974,'City Density Ranking'!$O$6:$O$974,B206,'City Density Ranking'!$C$6:$C$974,C206)</x:f>
        <x:v>0</x:v>
      </x:c>
      <x:c r="J206" s="133" t="n">
        <x:f>SUMIFS('City Density Ranking'!$J$6:$J$974,'City Density Ranking'!$O$6:$O$974,B206,'City Density Ranking'!$C$6:$C$974,C206)</x:f>
        <x:v>1</x:v>
      </x:c>
      <x:c r="K206" s="133" t="n">
        <x:f>SUM(E206:J206)</x:f>
        <x:v>1</x:v>
      </x:c>
      <x:c r="L206" s="204" t="n">
        <x:v>570.1462337709651</x:v>
      </x:c>
      <x:c r="M206" s="205" t="n">
        <x:f>IFERROR(K206/L206,0)</x:f>
        <x:v>0.0017539359917998032</x:v>
      </x:c>
      <x:c r="N206" s="160" t="str">
        <x:v>Springfield</x:v>
      </x:c>
      <x:c r="O206" s="160" t="str">
        <x:v>Includes proxy city rows</x:v>
      </x:c>
      <x:c r="P206" s="160" t="str">
        <x:v>Aggregated from 1 city/municipality screening rows; overlapping catchments are not deduplicated.</x:v>
      </x:c>
      <x:c r="Q206" s="160" t="str">
        <x:v>Estimated county land area: geodesic polygon × 0.899 land/total calibration</x:v>
      </x:c>
    </x:row>
    <x:row r="207">
      <x:c r="A207" s="28" t="n">
        <x:v>212</x:v>
      </x:c>
      <x:c r="B207" s="28" t="str">
        <x:v>Brazos County</x:v>
      </x:c>
      <x:c r="C207" s="28" t="str">
        <x:v>TX</x:v>
      </x:c>
      <x:c r="D207" s="142" t="str">
        <x:v>48041</x:v>
      </x:c>
      <x:c r="E207" s="133" t="n">
        <x:f>SUMIFS('City Density Ranking'!$E$6:$E$974,'City Density Ranking'!$O$6:$O$974,B207,'City Density Ranking'!$C$6:$C$974,C207)</x:f>
        <x:v>0</x:v>
      </x:c>
      <x:c r="F207" s="133" t="n">
        <x:f>SUMIFS('City Density Ranking'!$F$6:$F$974,'City Density Ranking'!$O$6:$O$974,B207,'City Density Ranking'!$C$6:$C$974,C207)</x:f>
        <x:v>0</x:v>
      </x:c>
      <x:c r="G207" s="133" t="n">
        <x:f>SUMIFS('City Density Ranking'!$G$6:$G$974,'City Density Ranking'!$O$6:$O$974,B207,'City Density Ranking'!$C$6:$C$974,C207)</x:f>
        <x:v>0</x:v>
      </x:c>
      <x:c r="H207" s="133" t="n">
        <x:f>SUMIFS('City Density Ranking'!$H$6:$H$974,'City Density Ranking'!$O$6:$O$974,B207,'City Density Ranking'!$C$6:$C$974,C207)</x:f>
        <x:v>0</x:v>
      </x:c>
      <x:c r="I207" s="133" t="n">
        <x:f>SUMIFS('City Density Ranking'!$I$6:$I$974,'City Density Ranking'!$O$6:$O$974,B207,'City Density Ranking'!$C$6:$C$974,C207)</x:f>
        <x:v>0</x:v>
      </x:c>
      <x:c r="J207" s="133" t="n">
        <x:f>SUMIFS('City Density Ranking'!$J$6:$J$974,'City Density Ranking'!$O$6:$O$974,B207,'City Density Ranking'!$C$6:$C$974,C207)</x:f>
        <x:v>1</x:v>
      </x:c>
      <x:c r="K207" s="133" t="n">
        <x:f>SUM(E207:J207)</x:f>
        <x:v>1</x:v>
      </x:c>
      <x:c r="L207" s="204" t="n">
        <x:v>574.4544104833045</x:v>
      </x:c>
      <x:c r="M207" s="205" t="n">
        <x:f>IFERROR(K207/L207,0)</x:f>
        <x:v>0.0017407821782735938</x:v>
      </x:c>
      <x:c r="N207" s="160" t="str">
        <x:v>College Station</x:v>
      </x:c>
      <x:c r="O207" s="160" t="str">
        <x:v>Includes proxy city rows</x:v>
      </x:c>
      <x:c r="P207" s="160" t="str">
        <x:v>Aggregated from 1 city/municipality screening rows; overlapping catchments are not deduplicated.</x:v>
      </x:c>
      <x:c r="Q207" s="160" t="str">
        <x:v>Estimated county land area: geodesic polygon × 0.972 land/total calibration</x:v>
      </x:c>
    </x:row>
    <x:row r="208">
      <x:c r="A208" s="28" t="n">
        <x:v>213</x:v>
      </x:c>
      <x:c r="B208" s="28" t="str">
        <x:v>Polk County</x:v>
      </x:c>
      <x:c r="C208" s="28" t="str">
        <x:v>IA</x:v>
      </x:c>
      <x:c r="D208" s="28" t="str">
        <x:v>19153</x:v>
      </x:c>
      <x:c r="E208" s="28" t="n">
        <x:f>SUMIFS('City Density Ranking'!$E$6:$E$974,'City Density Ranking'!$O$6:$O$974,B208,'City Density Ranking'!$C$6:$C$974,C208)</x:f>
        <x:v>0</x:v>
      </x:c>
      <x:c r="F208" s="28" t="n">
        <x:f>SUMIFS('City Density Ranking'!$F$6:$F$974,'City Density Ranking'!$O$6:$O$974,B208,'City Density Ranking'!$C$6:$C$974,C208)</x:f>
        <x:v>0</x:v>
      </x:c>
      <x:c r="G208" s="28" t="n">
        <x:f>SUMIFS('City Density Ranking'!$G$6:$G$974,'City Density Ranking'!$O$6:$O$974,B208,'City Density Ranking'!$C$6:$C$974,C208)</x:f>
        <x:v>0</x:v>
      </x:c>
      <x:c r="H208" s="28" t="n">
        <x:f>SUMIFS('City Density Ranking'!$H$6:$H$974,'City Density Ranking'!$O$6:$O$974,B208,'City Density Ranking'!$C$6:$C$974,C208)</x:f>
        <x:v>0</x:v>
      </x:c>
      <x:c r="I208" s="28" t="n">
        <x:f>SUMIFS('City Density Ranking'!$I$6:$I$974,'City Density Ranking'!$O$6:$O$974,B208,'City Density Ranking'!$C$6:$C$974,C208)</x:f>
        <x:v>0</x:v>
      </x:c>
      <x:c r="J208" s="28" t="n">
        <x:f>SUMIFS('City Density Ranking'!$J$6:$J$974,'City Density Ranking'!$O$6:$O$974,B208,'City Density Ranking'!$C$6:$C$974,C208)</x:f>
        <x:v>1</x:v>
      </x:c>
      <x:c r="K208" s="28" t="n">
        <x:f>SUM(E208:J208)</x:f>
        <x:v>1</x:v>
      </x:c>
      <x:c r="L208" s="204" t="n">
        <x:v>575.0299455955949</x:v>
      </x:c>
      <x:c r="M208" s="205" t="n">
        <x:f>IFERROR(K208/L208,0)</x:f>
        <x:v>0.001739039866809435</x:v>
      </x:c>
      <x:c r="N208" s="160" t="str">
        <x:v>Des Moines</x:v>
      </x:c>
      <x:c r="O208" s="160" t="str">
        <x:v>Includes proxy city rows</x:v>
      </x:c>
      <x:c r="P208" s="160" t="str">
        <x:v>Aggregated from 1 city/municipality screening rows; overlapping catchments are not deduplicated.</x:v>
      </x:c>
      <x:c r="Q208" s="160" t="str">
        <x:v>Estimated county land area: geodesic polygon × 0.972 land/total calibration</x:v>
      </x:c>
    </x:row>
    <x:row r="209">
      <x:c r="A209" s="28" t="n">
        <x:v>214</x:v>
      </x:c>
      <x:c r="B209" s="28" t="str">
        <x:v>Stark County</x:v>
      </x:c>
      <x:c r="C209" s="28" t="str">
        <x:v>OH</x:v>
      </x:c>
      <x:c r="D209" s="28" t="str">
        <x:v>39151</x:v>
      </x:c>
      <x:c r="E209" s="28" t="n">
        <x:f>SUMIFS('City Density Ranking'!$E$6:$E$974,'City Density Ranking'!$O$6:$O$974,B209,'City Density Ranking'!$C$6:$C$974,C209)</x:f>
        <x:v>0</x:v>
      </x:c>
      <x:c r="F209" s="28" t="n">
        <x:f>SUMIFS('City Density Ranking'!$F$6:$F$974,'City Density Ranking'!$O$6:$O$974,B209,'City Density Ranking'!$C$6:$C$974,C209)</x:f>
        <x:v>0</x:v>
      </x:c>
      <x:c r="G209" s="28" t="n">
        <x:f>SUMIFS('City Density Ranking'!$G$6:$G$974,'City Density Ranking'!$O$6:$O$974,B209,'City Density Ranking'!$C$6:$C$974,C209)</x:f>
        <x:v>0</x:v>
      </x:c>
      <x:c r="H209" s="28" t="n">
        <x:f>SUMIFS('City Density Ranking'!$H$6:$H$974,'City Density Ranking'!$O$6:$O$974,B209,'City Density Ranking'!$C$6:$C$974,C209)</x:f>
        <x:v>0</x:v>
      </x:c>
      <x:c r="I209" s="28" t="n">
        <x:f>SUMIFS('City Density Ranking'!$I$6:$I$974,'City Density Ranking'!$O$6:$O$974,B209,'City Density Ranking'!$C$6:$C$974,C209)</x:f>
        <x:v>0</x:v>
      </x:c>
      <x:c r="J209" s="28" t="n">
        <x:f>SUMIFS('City Density Ranking'!$J$6:$J$974,'City Density Ranking'!$O$6:$O$974,B209,'City Density Ranking'!$C$6:$C$974,C209)</x:f>
        <x:v>1</x:v>
      </x:c>
      <x:c r="K209" s="28" t="n">
        <x:f>SUM(E209:J209)</x:f>
        <x:v>1</x:v>
      </x:c>
      <x:c r="L209" s="204" t="n">
        <x:v>575.27</x:v>
      </x:c>
      <x:c r="M209" s="205" t="n">
        <x:f>IFERROR(K209/L209,0)</x:f>
        <x:v>0.0017383141829054184</x:v>
      </x:c>
      <x:c r="N209" s="160" t="str">
        <x:v>Canton</x:v>
      </x:c>
      <x:c r="O209" s="160" t="str">
        <x:v>Includes proxy city rows</x:v>
      </x:c>
      <x:c r="P209" s="160" t="str">
        <x:v>Aggregated from 1 city/municipality screening rows; overlapping catchments are not deduplicated.</x:v>
      </x:c>
      <x:c r="Q209" s="160" t="str">
        <x:v>Census county land-area denominator; current geography</x:v>
      </x:c>
    </x:row>
    <x:row r="210">
      <x:c r="A210" s="28" t="n">
        <x:v>215</x:v>
      </x:c>
      <x:c r="B210" s="28" t="str">
        <x:v>Bernalillo County</x:v>
      </x:c>
      <x:c r="C210" s="28" t="str">
        <x:v>NM</x:v>
      </x:c>
      <x:c r="D210" s="28" t="str">
        <x:v>35001</x:v>
      </x:c>
      <x:c r="E210" s="28" t="n">
        <x:f>SUMIFS('City Density Ranking'!$E$6:$E$974,'City Density Ranking'!$O$6:$O$974,B210,'City Density Ranking'!$C$6:$C$974,C210)</x:f>
        <x:v>2</x:v>
      </x:c>
      <x:c r="F210" s="28" t="n">
        <x:f>SUMIFS('City Density Ranking'!$F$6:$F$974,'City Density Ranking'!$O$6:$O$974,B210,'City Density Ranking'!$C$6:$C$974,C210)</x:f>
        <x:v>0</x:v>
      </x:c>
      <x:c r="G210" s="28" t="n">
        <x:f>SUMIFS('City Density Ranking'!$G$6:$G$974,'City Density Ranking'!$O$6:$O$974,B210,'City Density Ranking'!$C$6:$C$974,C210)</x:f>
        <x:v>0</x:v>
      </x:c>
      <x:c r="H210" s="28" t="n">
        <x:f>SUMIFS('City Density Ranking'!$H$6:$H$974,'City Density Ranking'!$O$6:$O$974,B210,'City Density Ranking'!$C$6:$C$974,C210)</x:f>
        <x:v>0</x:v>
      </x:c>
      <x:c r="I210" s="28" t="n">
        <x:f>SUMIFS('City Density Ranking'!$I$6:$I$974,'City Density Ranking'!$O$6:$O$974,B210,'City Density Ranking'!$C$6:$C$974,C210)</x:f>
        <x:v>0</x:v>
      </x:c>
      <x:c r="J210" s="28" t="n">
        <x:f>SUMIFS('City Density Ranking'!$J$6:$J$974,'City Density Ranking'!$O$6:$O$974,B210,'City Density Ranking'!$C$6:$C$974,C210)</x:f>
        <x:v>0</x:v>
      </x:c>
      <x:c r="K210" s="28" t="n">
        <x:f>SUM(E210:J210)</x:f>
        <x:v>2</x:v>
      </x:c>
      <x:c r="L210" s="204" t="n">
        <x:v>1161.245</x:v>
      </x:c>
      <x:c r="M210" s="205" t="n">
        <x:f>IFERROR(K210/L210,0)</x:f>
        <x:v>0.0017222894393517305</x:v>
      </x:c>
      <x:c r="N210" s="160" t="str">
        <x:v>Albuquerque</x:v>
      </x:c>
      <x:c r="O210" s="160" t="str">
        <x:v>Lower-bound city counts only</x:v>
      </x:c>
      <x:c r="P210" s="160" t="str">
        <x:v>Aggregated from 1 city/municipality screening rows; overlapping catchments are not deduplicated.</x:v>
      </x:c>
      <x:c r="Q210" s="160" t="str">
        <x:v>Verified Census land area (retained)</x:v>
      </x:c>
    </x:row>
    <x:row r="211">
      <x:c r="A211" s="28" t="n">
        <x:v>216</x:v>
      </x:c>
      <x:c r="B211" s="28" t="str">
        <x:v>Adams County</x:v>
      </x:c>
      <x:c r="C211" s="28" t="str">
        <x:v>CO</x:v>
      </x:c>
      <x:c r="D211" s="28" t="str">
        <x:v>08001</x:v>
      </x:c>
      <x:c r="E211" s="28" t="n">
        <x:f>SUMIFS('City Density Ranking'!$E$6:$E$974,'City Density Ranking'!$O$6:$O$974,B211,'City Density Ranking'!$C$6:$C$974,C211)</x:f>
        <x:v>0</x:v>
      </x:c>
      <x:c r="F211" s="28" t="n">
        <x:f>SUMIFS('City Density Ranking'!$F$6:$F$974,'City Density Ranking'!$O$6:$O$974,B211,'City Density Ranking'!$C$6:$C$974,C211)</x:f>
        <x:v>0</x:v>
      </x:c>
      <x:c r="G211" s="28" t="n">
        <x:f>SUMIFS('City Density Ranking'!$G$6:$G$974,'City Density Ranking'!$O$6:$O$974,B211,'City Density Ranking'!$C$6:$C$974,C211)</x:f>
        <x:v>0</x:v>
      </x:c>
      <x:c r="H211" s="28" t="n">
        <x:f>SUMIFS('City Density Ranking'!$H$6:$H$974,'City Density Ranking'!$O$6:$O$974,B211,'City Density Ranking'!$C$6:$C$974,C211)</x:f>
        <x:v>0</x:v>
      </x:c>
      <x:c r="I211" s="28" t="n">
        <x:f>SUMIFS('City Density Ranking'!$I$6:$I$974,'City Density Ranking'!$O$6:$O$974,B211,'City Density Ranking'!$C$6:$C$974,C211)</x:f>
        <x:v>0</x:v>
      </x:c>
      <x:c r="J211" s="28" t="n">
        <x:f>SUMIFS('City Density Ranking'!$J$6:$J$974,'City Density Ranking'!$O$6:$O$974,B211,'City Density Ranking'!$C$6:$C$974,C211)</x:f>
        <x:v>2</x:v>
      </x:c>
      <x:c r="K211" s="28" t="n">
        <x:f>SUM(E211:J211)</x:f>
        <x:v>2</x:v>
      </x:c>
      <x:c r="L211" s="204" t="n">
        <x:v>1172.5664281303</x:v>
      </x:c>
      <x:c r="M211" s="205" t="n">
        <x:f>IFERROR(K211/L211,0)</x:f>
        <x:v>0.0017056602952457655</x:v>
      </x:c>
      <x:c r="N211" s="160" t="str">
        <x:v>Thornton, Westminster</x:v>
      </x:c>
      <x:c r="O211" s="160" t="str">
        <x:v>Includes proxy city rows</x:v>
      </x:c>
      <x:c r="P211" s="160" t="str">
        <x:v>Aggregated from 2 city/municipality screening rows; overlapping catchments are not deduplicated.</x:v>
      </x:c>
      <x:c r="Q211" s="160" t="str">
        <x:v>Estimated county land area: geodesic polygon × 0.990 land/total calibration</x:v>
      </x:c>
    </x:row>
    <x:row r="212">
      <x:c r="A212" s="28" t="n">
        <x:v>217</x:v>
      </x:c>
      <x:c r="B212" s="28" t="str">
        <x:v>Olmsted County</x:v>
      </x:c>
      <x:c r="C212" s="28" t="str">
        <x:v>MN</x:v>
      </x:c>
      <x:c r="D212" s="28" t="str">
        <x:v>27109</x:v>
      </x:c>
      <x:c r="E212" s="28" t="n">
        <x:f>SUMIFS('City Density Ranking'!$E$6:$E$974,'City Density Ranking'!$O$6:$O$974,B212,'City Density Ranking'!$C$6:$C$974,C212)</x:f>
        <x:v>0</x:v>
      </x:c>
      <x:c r="F212" s="28" t="n">
        <x:f>SUMIFS('City Density Ranking'!$F$6:$F$974,'City Density Ranking'!$O$6:$O$974,B212,'City Density Ranking'!$C$6:$C$974,C212)</x:f>
        <x:v>0</x:v>
      </x:c>
      <x:c r="G212" s="28" t="n">
        <x:f>SUMIFS('City Density Ranking'!$G$6:$G$974,'City Density Ranking'!$O$6:$O$974,B212,'City Density Ranking'!$C$6:$C$974,C212)</x:f>
        <x:v>0</x:v>
      </x:c>
      <x:c r="H212" s="28" t="n">
        <x:f>SUMIFS('City Density Ranking'!$H$6:$H$974,'City Density Ranking'!$O$6:$O$974,B212,'City Density Ranking'!$C$6:$C$974,C212)</x:f>
        <x:v>0</x:v>
      </x:c>
      <x:c r="I212" s="28" t="n">
        <x:f>SUMIFS('City Density Ranking'!$I$6:$I$974,'City Density Ranking'!$O$6:$O$974,B212,'City Density Ranking'!$C$6:$C$974,C212)</x:f>
        <x:v>0</x:v>
      </x:c>
      <x:c r="J212" s="28" t="n">
        <x:f>SUMIFS('City Density Ranking'!$J$6:$J$974,'City Density Ranking'!$O$6:$O$974,B212,'City Density Ranking'!$C$6:$C$974,C212)</x:f>
        <x:v>1</x:v>
      </x:c>
      <x:c r="K212" s="28" t="n">
        <x:f>SUM(E212:J212)</x:f>
        <x:v>1</x:v>
      </x:c>
      <x:c r="L212" s="204" t="n">
        <x:v>592.1428393951978</x:v>
      </x:c>
      <x:c r="M212" s="205" t="n">
        <x:f>IFERROR(K212/L212,0)</x:f>
        <x:v>0.0016887817152722456</x:v>
      </x:c>
      <x:c r="N212" s="160" t="str">
        <x:v>Rochester</x:v>
      </x:c>
      <x:c r="O212" s="160" t="str">
        <x:v>Includes proxy city rows</x:v>
      </x:c>
      <x:c r="P212" s="160" t="str">
        <x:v>Aggregated from 1 city/municipality screening rows; overlapping catchments are not deduplicated.</x:v>
      </x:c>
      <x:c r="Q212" s="160" t="str">
        <x:v>Estimated county land area: geodesic polygon × 0.904 land/total calibration</x:v>
      </x:c>
    </x:row>
    <x:row r="213">
      <x:c r="A213" s="28" t="n">
        <x:v>218</x:v>
      </x:c>
      <x:c r="B213" s="28" t="str">
        <x:v>Canyon County</x:v>
      </x:c>
      <x:c r="C213" s="28" t="str">
        <x:v>ID</x:v>
      </x:c>
      <x:c r="D213" s="28" t="str">
        <x:v>16027</x:v>
      </x:c>
      <x:c r="E213" s="28" t="n">
        <x:f>SUMIFS('City Density Ranking'!$E$6:$E$974,'City Density Ranking'!$O$6:$O$974,B213,'City Density Ranking'!$C$6:$C$974,C213)</x:f>
        <x:v>0</x:v>
      </x:c>
      <x:c r="F213" s="28" t="n">
        <x:f>SUMIFS('City Density Ranking'!$F$6:$F$974,'City Density Ranking'!$O$6:$O$974,B213,'City Density Ranking'!$C$6:$C$974,C213)</x:f>
        <x:v>0</x:v>
      </x:c>
      <x:c r="G213" s="28" t="n">
        <x:f>SUMIFS('City Density Ranking'!$G$6:$G$974,'City Density Ranking'!$O$6:$O$974,B213,'City Density Ranking'!$C$6:$C$974,C213)</x:f>
        <x:v>0</x:v>
      </x:c>
      <x:c r="H213" s="28" t="n">
        <x:f>SUMIFS('City Density Ranking'!$H$6:$H$974,'City Density Ranking'!$O$6:$O$974,B213,'City Density Ranking'!$C$6:$C$974,C213)</x:f>
        <x:v>0</x:v>
      </x:c>
      <x:c r="I213" s="28" t="n">
        <x:f>SUMIFS('City Density Ranking'!$I$6:$I$974,'City Density Ranking'!$O$6:$O$974,B213,'City Density Ranking'!$C$6:$C$974,C213)</x:f>
        <x:v>0</x:v>
      </x:c>
      <x:c r="J213" s="28" t="n">
        <x:f>SUMIFS('City Density Ranking'!$J$6:$J$974,'City Density Ranking'!$O$6:$O$974,B213,'City Density Ranking'!$C$6:$C$974,C213)</x:f>
        <x:v>1</x:v>
      </x:c>
      <x:c r="K213" s="28" t="n">
        <x:f>SUM(E213:J213)</x:f>
        <x:v>1</x:v>
      </x:c>
      <x:c r="L213" s="204" t="n">
        <x:v>598.986962278598</x:v>
      </x:c>
      <x:c r="M213" s="205" t="n">
        <x:f>IFERROR(K213/L213,0)</x:f>
        <x:v>0.0016694854195088218</x:v>
      </x:c>
      <x:c r="N213" s="160" t="str">
        <x:v>Nampa</x:v>
      </x:c>
      <x:c r="O213" s="160" t="str">
        <x:v>Includes proxy city rows</x:v>
      </x:c>
      <x:c r="P213" s="160" t="str">
        <x:v>Aggregated from 1 city/municipality screening rows; overlapping catchments are not deduplicated.</x:v>
      </x:c>
      <x:c r="Q213" s="160" t="str">
        <x:v>Estimated county land area: geodesic polygon × 0.992 land/total calibration</x:v>
      </x:c>
    </x:row>
    <x:row r="214">
      <x:c r="A214" s="28" t="n">
        <x:v>219</x:v>
      </x:c>
      <x:c r="B214" s="28" t="str">
        <x:v>Honolulu County</x:v>
      </x:c>
      <x:c r="C214" s="28" t="str">
        <x:v>HI</x:v>
      </x:c>
      <x:c r="D214" s="28" t="str">
        <x:v>15003</x:v>
      </x:c>
      <x:c r="E214" s="28" t="n">
        <x:f>SUMIFS('City Density Ranking'!$E$6:$E$974,'City Density Ranking'!$O$6:$O$974,B214,'City Density Ranking'!$C$6:$C$974,C214)</x:f>
        <x:v>0</x:v>
      </x:c>
      <x:c r="F214" s="28" t="n">
        <x:f>SUMIFS('City Density Ranking'!$F$6:$F$974,'City Density Ranking'!$O$6:$O$974,B214,'City Density Ranking'!$C$6:$C$974,C214)</x:f>
        <x:v>0</x:v>
      </x:c>
      <x:c r="G214" s="28" t="n">
        <x:f>SUMIFS('City Density Ranking'!$G$6:$G$974,'City Density Ranking'!$O$6:$O$974,B214,'City Density Ranking'!$C$6:$C$974,C214)</x:f>
        <x:v>0</x:v>
      </x:c>
      <x:c r="H214" s="28" t="n">
        <x:f>SUMIFS('City Density Ranking'!$H$6:$H$974,'City Density Ranking'!$O$6:$O$974,B214,'City Density Ranking'!$C$6:$C$974,C214)</x:f>
        <x:v>0</x:v>
      </x:c>
      <x:c r="I214" s="28" t="n">
        <x:f>SUMIFS('City Density Ranking'!$I$6:$I$974,'City Density Ranking'!$O$6:$O$974,B214,'City Density Ranking'!$C$6:$C$974,C214)</x:f>
        <x:v>0</x:v>
      </x:c>
      <x:c r="J214" s="28" t="n">
        <x:f>SUMIFS('City Density Ranking'!$J$6:$J$974,'City Density Ranking'!$O$6:$O$974,B214,'City Density Ranking'!$C$6:$C$974,C214)</x:f>
        <x:v>1</x:v>
      </x:c>
      <x:c r="K214" s="28" t="n">
        <x:f>SUM(E214:J214)</x:f>
        <x:v>1</x:v>
      </x:c>
      <x:c r="L214" s="204" t="n">
        <x:v>600.625</x:v>
      </x:c>
      <x:c r="M214" s="205" t="n">
        <x:f>IFERROR(K214/L214,0)</x:f>
        <x:v>0.0016649323621227888</x:v>
      </x:c>
      <x:c r="N214" s="160" t="str">
        <x:v>Honolulu</x:v>
      </x:c>
      <x:c r="O214" s="160" t="str">
        <x:v>Includes proxy city rows</x:v>
      </x:c>
      <x:c r="P214" s="160" t="str">
        <x:v>Aggregated from 1 city/municipality screening rows; overlapping catchments are not deduplicated.</x:v>
      </x:c>
      <x:c r="Q214" s="160" t="str">
        <x:v>Verified Census land area (retained)</x:v>
      </x:c>
    </x:row>
    <x:row r="215">
      <x:c r="A215" s="28" t="n">
        <x:v>220</x:v>
      </x:c>
      <x:c r="B215" s="28" t="str">
        <x:v>Rutherford County</x:v>
      </x:c>
      <x:c r="C215" s="28" t="str">
        <x:v>TN</x:v>
      </x:c>
      <x:c r="D215" s="28" t="str">
        <x:v>47149</x:v>
      </x:c>
      <x:c r="E215" s="28" t="n">
        <x:f>SUMIFS('City Density Ranking'!$E$6:$E$974,'City Density Ranking'!$O$6:$O$974,B215,'City Density Ranking'!$C$6:$C$974,C215)</x:f>
        <x:v>0</x:v>
      </x:c>
      <x:c r="F215" s="28" t="n">
        <x:f>SUMIFS('City Density Ranking'!$F$6:$F$974,'City Density Ranking'!$O$6:$O$974,B215,'City Density Ranking'!$C$6:$C$974,C215)</x:f>
        <x:v>0</x:v>
      </x:c>
      <x:c r="G215" s="28" t="n">
        <x:f>SUMIFS('City Density Ranking'!$G$6:$G$974,'City Density Ranking'!$O$6:$O$974,B215,'City Density Ranking'!$C$6:$C$974,C215)</x:f>
        <x:v>0</x:v>
      </x:c>
      <x:c r="H215" s="28" t="n">
        <x:f>SUMIFS('City Density Ranking'!$H$6:$H$974,'City Density Ranking'!$O$6:$O$974,B215,'City Density Ranking'!$C$6:$C$974,C215)</x:f>
        <x:v>0</x:v>
      </x:c>
      <x:c r="I215" s="28" t="n">
        <x:f>SUMIFS('City Density Ranking'!$I$6:$I$974,'City Density Ranking'!$O$6:$O$974,B215,'City Density Ranking'!$C$6:$C$974,C215)</x:f>
        <x:v>0</x:v>
      </x:c>
      <x:c r="J215" s="28" t="n">
        <x:f>SUMIFS('City Density Ranking'!$J$6:$J$974,'City Density Ranking'!$O$6:$O$974,B215,'City Density Ranking'!$C$6:$C$974,C215)</x:f>
        <x:v>1</x:v>
      </x:c>
      <x:c r="K215" s="28" t="n">
        <x:f>SUM(E215:J215)</x:f>
        <x:v>1</x:v>
      </x:c>
      <x:c r="L215" s="204" t="n">
        <x:v>601.1759975024136</x:v>
      </x:c>
      <x:c r="M215" s="205" t="n">
        <x:f>IFERROR(K215/L215,0)</x:f>
        <x:v>0.0016634063970526122</x:v>
      </x:c>
      <x:c r="N215" s="160" t="str">
        <x:v>Murfreesboro</x:v>
      </x:c>
      <x:c r="O215" s="160" t="str">
        <x:v>Includes proxy city rows</x:v>
      </x:c>
      <x:c r="P215" s="160" t="str">
        <x:v>Aggregated from 1 city/municipality screening rows; overlapping catchments are not deduplicated.</x:v>
      </x:c>
      <x:c r="Q215" s="160" t="str">
        <x:v>Estimated county land area: geodesic polygon × 0.963 land/total calibration</x:v>
      </x:c>
    </x:row>
    <x:row r="216">
      <x:c r="A216" s="28" t="n">
        <x:v>221</x:v>
      </x:c>
      <x:c r="B216" s="28" t="str">
        <x:v>Wayne County</x:v>
      </x:c>
      <x:c r="C216" s="28" t="str">
        <x:v>MI</x:v>
      </x:c>
      <x:c r="D216" s="28" t="str">
        <x:v>26163</x:v>
      </x:c>
      <x:c r="E216" s="28" t="n">
        <x:f>SUMIFS('City Density Ranking'!$E$6:$E$974,'City Density Ranking'!$O$6:$O$974,B216,'City Density Ranking'!$C$6:$C$974,C216)</x:f>
        <x:v>0</x:v>
      </x:c>
      <x:c r="F216" s="28" t="n">
        <x:f>SUMIFS('City Density Ranking'!$F$6:$F$974,'City Density Ranking'!$O$6:$O$974,B216,'City Density Ranking'!$C$6:$C$974,C216)</x:f>
        <x:v>0</x:v>
      </x:c>
      <x:c r="G216" s="28" t="n">
        <x:f>SUMIFS('City Density Ranking'!$G$6:$G$974,'City Density Ranking'!$O$6:$O$974,B216,'City Density Ranking'!$C$6:$C$974,C216)</x:f>
        <x:v>0</x:v>
      </x:c>
      <x:c r="H216" s="28" t="n">
        <x:f>SUMIFS('City Density Ranking'!$H$6:$H$974,'City Density Ranking'!$O$6:$O$974,B216,'City Density Ranking'!$C$6:$C$974,C216)</x:f>
        <x:v>0</x:v>
      </x:c>
      <x:c r="I216" s="28" t="n">
        <x:f>SUMIFS('City Density Ranking'!$I$6:$I$974,'City Density Ranking'!$O$6:$O$974,B216,'City Density Ranking'!$C$6:$C$974,C216)</x:f>
        <x:v>0</x:v>
      </x:c>
      <x:c r="J216" s="28" t="n">
        <x:f>SUMIFS('City Density Ranking'!$J$6:$J$974,'City Density Ranking'!$O$6:$O$974,B216,'City Density Ranking'!$C$6:$C$974,C216)</x:f>
        <x:v>1</x:v>
      </x:c>
      <x:c r="K216" s="28" t="n">
        <x:f>SUM(E216:J216)</x:f>
        <x:v>1</x:v>
      </x:c>
      <x:c r="L216" s="204" t="n">
        <x:v>611.856</x:v>
      </x:c>
      <x:c r="M216" s="205" t="n">
        <x:f>IFERROR(K216/L216,0)</x:f>
        <x:v>0.001634371486101305</x:v>
      </x:c>
      <x:c r="N216" s="160" t="str">
        <x:v>Detroit</x:v>
      </x:c>
      <x:c r="O216" s="160" t="str">
        <x:v>Includes proxy city rows</x:v>
      </x:c>
      <x:c r="P216" s="160" t="str">
        <x:v>Aggregated from 1 city/municipality screening rows; overlapping catchments are not deduplicated.</x:v>
      </x:c>
      <x:c r="Q216" s="160" t="str">
        <x:v>Verified Census land area (retained)</x:v>
      </x:c>
    </x:row>
    <x:row r="217">
      <x:c r="A217" s="28" t="n">
        <x:v>222</x:v>
      </x:c>
      <x:c r="B217" s="28" t="str">
        <x:v>Peoria County</x:v>
      </x:c>
      <x:c r="C217" s="28" t="str">
        <x:v>IL</x:v>
      </x:c>
      <x:c r="D217" s="28" t="str">
        <x:v>17143</x:v>
      </x:c>
      <x:c r="E217" s="28" t="n">
        <x:f>SUMIFS('City Density Ranking'!$E$6:$E$974,'City Density Ranking'!$O$6:$O$974,B217,'City Density Ranking'!$C$6:$C$974,C217)</x:f>
        <x:v>0</x:v>
      </x:c>
      <x:c r="F217" s="28" t="n">
        <x:f>SUMIFS('City Density Ranking'!$F$6:$F$974,'City Density Ranking'!$O$6:$O$974,B217,'City Density Ranking'!$C$6:$C$974,C217)</x:f>
        <x:v>0</x:v>
      </x:c>
      <x:c r="G217" s="28" t="n">
        <x:f>SUMIFS('City Density Ranking'!$G$6:$G$974,'City Density Ranking'!$O$6:$O$974,B217,'City Density Ranking'!$C$6:$C$974,C217)</x:f>
        <x:v>0</x:v>
      </x:c>
      <x:c r="H217" s="28" t="n">
        <x:f>SUMIFS('City Density Ranking'!$H$6:$H$974,'City Density Ranking'!$O$6:$O$974,B217,'City Density Ranking'!$C$6:$C$974,C217)</x:f>
        <x:v>0</x:v>
      </x:c>
      <x:c r="I217" s="28" t="n">
        <x:f>SUMIFS('City Density Ranking'!$I$6:$I$974,'City Density Ranking'!$O$6:$O$974,B217,'City Density Ranking'!$C$6:$C$974,C217)</x:f>
        <x:v>0</x:v>
      </x:c>
      <x:c r="J217" s="28" t="n">
        <x:f>SUMIFS('City Density Ranking'!$J$6:$J$974,'City Density Ranking'!$O$6:$O$974,B217,'City Density Ranking'!$C$6:$C$974,C217)</x:f>
        <x:v>1</x:v>
      </x:c>
      <x:c r="K217" s="28" t="n">
        <x:f>SUM(E217:J217)</x:f>
        <x:v>1</x:v>
      </x:c>
      <x:c r="L217" s="204" t="n">
        <x:v>622.5314721222278</x:v>
      </x:c>
      <x:c r="M217" s="205" t="n">
        <x:f>IFERROR(K217/L217,0)</x:f>
        <x:v>0.0016063444898471897</x:v>
      </x:c>
      <x:c r="N217" s="160" t="str">
        <x:v>Peoria</x:v>
      </x:c>
      <x:c r="O217" s="160" t="str">
        <x:v>Includes proxy city rows</x:v>
      </x:c>
      <x:c r="P217" s="160" t="str">
        <x:v>Aggregated from 1 city/municipality screening rows; overlapping catchments are not deduplicated.</x:v>
      </x:c>
      <x:c r="Q217" s="160" t="str">
        <x:v>Estimated county land area: geodesic polygon × 0.987 land/total calibration</x:v>
      </x:c>
    </x:row>
    <x:row r="218">
      <x:c r="A218" s="28" t="n">
        <x:v>223</x:v>
      </x:c>
      <x:c r="B218" s="28" t="str">
        <x:v>Leon County</x:v>
      </x:c>
      <x:c r="C218" s="28" t="str">
        <x:v>FL</x:v>
      </x:c>
      <x:c r="D218" s="28" t="str">
        <x:v>12073</x:v>
      </x:c>
      <x:c r="E218" s="28" t="n">
        <x:f>SUMIFS('City Density Ranking'!$E$6:$E$974,'City Density Ranking'!$O$6:$O$974,B218,'City Density Ranking'!$C$6:$C$974,C218)</x:f>
        <x:v>0</x:v>
      </x:c>
      <x:c r="F218" s="28" t="n">
        <x:f>SUMIFS('City Density Ranking'!$F$6:$F$974,'City Density Ranking'!$O$6:$O$974,B218,'City Density Ranking'!$C$6:$C$974,C218)</x:f>
        <x:v>0</x:v>
      </x:c>
      <x:c r="G218" s="28" t="n">
        <x:f>SUMIFS('City Density Ranking'!$G$6:$G$974,'City Density Ranking'!$O$6:$O$974,B218,'City Density Ranking'!$C$6:$C$974,C218)</x:f>
        <x:v>0</x:v>
      </x:c>
      <x:c r="H218" s="28" t="n">
        <x:f>SUMIFS('City Density Ranking'!$H$6:$H$974,'City Density Ranking'!$O$6:$O$974,B218,'City Density Ranking'!$C$6:$C$974,C218)</x:f>
        <x:v>0</x:v>
      </x:c>
      <x:c r="I218" s="28" t="n">
        <x:f>SUMIFS('City Density Ranking'!$I$6:$I$974,'City Density Ranking'!$O$6:$O$974,B218,'City Density Ranking'!$C$6:$C$974,C218)</x:f>
        <x:v>0</x:v>
      </x:c>
      <x:c r="J218" s="28" t="n">
        <x:f>SUMIFS('City Density Ranking'!$J$6:$J$974,'City Density Ranking'!$O$6:$O$974,B218,'City Density Ranking'!$C$6:$C$974,C218)</x:f>
        <x:v>1</x:v>
      </x:c>
      <x:c r="K218" s="28" t="n">
        <x:f>SUM(E218:J218)</x:f>
        <x:v>1</x:v>
      </x:c>
      <x:c r="L218" s="204" t="n">
        <x:v>631.4789299139103</x:v>
      </x:c>
      <x:c r="M218" s="205" t="n">
        <x:f>IFERROR(K218/L218,0)</x:f>
        <x:v>0.0015835841112487004</x:v>
      </x:c>
      <x:c r="N218" s="160" t="str">
        <x:v>Tallahassee</x:v>
      </x:c>
      <x:c r="O218" s="160" t="str">
        <x:v>Includes proxy city rows</x:v>
      </x:c>
      <x:c r="P218" s="160" t="str">
        <x:v>Aggregated from 1 city/municipality screening rows; overlapping catchments are not deduplicated.</x:v>
      </x:c>
      <x:c r="Q218" s="160" t="str">
        <x:v>Estimated county land area: geodesic polygon × 0.900 land/total calibration</x:v>
      </x:c>
    </x:row>
    <x:row r="219">
      <x:c r="A219" s="28" t="n">
        <x:v>224</x:v>
      </x:c>
      <x:c r="B219" s="28" t="str">
        <x:v>Clark County</x:v>
      </x:c>
      <x:c r="C219" s="28" t="str">
        <x:v>WA</x:v>
      </x:c>
      <x:c r="D219" s="28" t="str">
        <x:v>53011</x:v>
      </x:c>
      <x:c r="E219" s="28" t="n">
        <x:f>SUMIFS('City Density Ranking'!$E$6:$E$974,'City Density Ranking'!$O$6:$O$974,B219,'City Density Ranking'!$C$6:$C$974,C219)</x:f>
        <x:v>0</x:v>
      </x:c>
      <x:c r="F219" s="28" t="n">
        <x:f>SUMIFS('City Density Ranking'!$F$6:$F$974,'City Density Ranking'!$O$6:$O$974,B219,'City Density Ranking'!$C$6:$C$974,C219)</x:f>
        <x:v>0</x:v>
      </x:c>
      <x:c r="G219" s="28" t="n">
        <x:f>SUMIFS('City Density Ranking'!$G$6:$G$974,'City Density Ranking'!$O$6:$O$974,B219,'City Density Ranking'!$C$6:$C$974,C219)</x:f>
        <x:v>0</x:v>
      </x:c>
      <x:c r="H219" s="28" t="n">
        <x:f>SUMIFS('City Density Ranking'!$H$6:$H$974,'City Density Ranking'!$O$6:$O$974,B219,'City Density Ranking'!$C$6:$C$974,C219)</x:f>
        <x:v>0</x:v>
      </x:c>
      <x:c r="I219" s="28" t="n">
        <x:f>SUMIFS('City Density Ranking'!$I$6:$I$974,'City Density Ranking'!$O$6:$O$974,B219,'City Density Ranking'!$C$6:$C$974,C219)</x:f>
        <x:v>0</x:v>
      </x:c>
      <x:c r="J219" s="28" t="n">
        <x:f>SUMIFS('City Density Ranking'!$J$6:$J$974,'City Density Ranking'!$O$6:$O$974,B219,'City Density Ranking'!$C$6:$C$974,C219)</x:f>
        <x:v>1</x:v>
      </x:c>
      <x:c r="K219" s="28" t="n">
        <x:f>SUM(E219:J219)</x:f>
        <x:v>1</x:v>
      </x:c>
      <x:c r="L219" s="204" t="n">
        <x:v>632.784967016096</x:v>
      </x:c>
      <x:c r="M219" s="205" t="n">
        <x:f>IFERROR(K219/L219,0)</x:f>
        <x:v>0.0015803156713970472</x:v>
      </x:c>
      <x:c r="N219" s="160" t="str">
        <x:v>Vancouver</x:v>
      </x:c>
      <x:c r="O219" s="160" t="str">
        <x:v>Includes proxy city rows</x:v>
      </x:c>
      <x:c r="P219" s="160" t="str">
        <x:v>Aggregated from 1 city/municipality screening rows; overlapping catchments are not deduplicated.</x:v>
      </x:c>
      <x:c r="Q219" s="160" t="str">
        <x:v>Estimated county land area: geodesic polygon × 0.964 land/total calibration</x:v>
      </x:c>
    </x:row>
    <x:row r="220">
      <x:c r="A220" s="28" t="n">
        <x:v>225</x:v>
      </x:c>
      <x:c r="B220" s="28" t="str">
        <x:v>Miami-Dade County</x:v>
      </x:c>
      <x:c r="C220" s="28" t="str">
        <x:v>FL</x:v>
      </x:c>
      <x:c r="D220" s="28" t="str">
        <x:v>12086</x:v>
      </x:c>
      <x:c r="E220" s="28" t="n">
        <x:f>SUMIFS('City Density Ranking'!$E$6:$E$974,'City Density Ranking'!$O$6:$O$974,B220,'City Density Ranking'!$C$6:$C$974,C220)</x:f>
        <x:v>1</x:v>
      </x:c>
      <x:c r="F220" s="28" t="n">
        <x:f>SUMIFS('City Density Ranking'!$F$6:$F$974,'City Density Ranking'!$O$6:$O$974,B220,'City Density Ranking'!$C$6:$C$974,C220)</x:f>
        <x:v>0</x:v>
      </x:c>
      <x:c r="G220" s="28" t="n">
        <x:f>SUMIFS('City Density Ranking'!$G$6:$G$974,'City Density Ranking'!$O$6:$O$974,B220,'City Density Ranking'!$C$6:$C$974,C220)</x:f>
        <x:v>0</x:v>
      </x:c>
      <x:c r="H220" s="28" t="n">
        <x:f>SUMIFS('City Density Ranking'!$H$6:$H$974,'City Density Ranking'!$O$6:$O$974,B220,'City Density Ranking'!$C$6:$C$974,C220)</x:f>
        <x:v>0</x:v>
      </x:c>
      <x:c r="I220" s="28" t="n">
        <x:f>SUMIFS('City Density Ranking'!$I$6:$I$974,'City Density Ranking'!$O$6:$O$974,B220,'City Density Ranking'!$C$6:$C$974,C220)</x:f>
        <x:v>0</x:v>
      </x:c>
      <x:c r="J220" s="28" t="n">
        <x:f>SUMIFS('City Density Ranking'!$J$6:$J$974,'City Density Ranking'!$O$6:$O$974,B220,'City Density Ranking'!$C$6:$C$974,C220)</x:f>
        <x:v>2</x:v>
      </x:c>
      <x:c r="K220" s="28" t="n">
        <x:f>SUM(E220:J220)</x:f>
        <x:v>3</x:v>
      </x:c>
      <x:c r="L220" s="204" t="n">
        <x:v>1899.909</x:v>
      </x:c>
      <x:c r="M220" s="205" t="n">
        <x:f>IFERROR(K220/L220,0)</x:f>
        <x:v>0.0015790229953118807</x:v>
      </x:c>
      <x:c r="N220" s="160" t="str">
        <x:v>Hialeah, Miami, Miami Gardens</x:v>
      </x:c>
      <x:c r="O220" s="160" t="str">
        <x:v>Includes proxy city rows</x:v>
      </x:c>
      <x:c r="P220" s="160" t="str">
        <x:v>Aggregated from 3 city/municipality screening rows; overlapping catchments are not deduplicated.</x:v>
      </x:c>
      <x:c r="Q220" s="160" t="str">
        <x:v>Verified Census land area (retained)</x:v>
      </x:c>
    </x:row>
    <x:row r="221">
      <x:c r="A221" s="28" t="n">
        <x:v>226</x:v>
      </x:c>
      <x:c r="B221" s="28" t="str">
        <x:v>Genesee County</x:v>
      </x:c>
      <x:c r="C221" s="28" t="str">
        <x:v>MI</x:v>
      </x:c>
      <x:c r="D221" s="28" t="str">
        <x:v>26049</x:v>
      </x:c>
      <x:c r="E221" s="28" t="n">
        <x:f>SUMIFS('City Density Ranking'!$E$6:$E$974,'City Density Ranking'!$O$6:$O$974,B221,'City Density Ranking'!$C$6:$C$974,C221)</x:f>
        <x:v>0</x:v>
      </x:c>
      <x:c r="F221" s="28" t="n">
        <x:f>SUMIFS('City Density Ranking'!$F$6:$F$974,'City Density Ranking'!$O$6:$O$974,B221,'City Density Ranking'!$C$6:$C$974,C221)</x:f>
        <x:v>0</x:v>
      </x:c>
      <x:c r="G221" s="28" t="n">
        <x:f>SUMIFS('City Density Ranking'!$G$6:$G$974,'City Density Ranking'!$O$6:$O$974,B221,'City Density Ranking'!$C$6:$C$974,C221)</x:f>
        <x:v>0</x:v>
      </x:c>
      <x:c r="H221" s="28" t="n">
        <x:f>SUMIFS('City Density Ranking'!$H$6:$H$974,'City Density Ranking'!$O$6:$O$974,B221,'City Density Ranking'!$C$6:$C$974,C221)</x:f>
        <x:v>0</x:v>
      </x:c>
      <x:c r="I221" s="28" t="n">
        <x:f>SUMIFS('City Density Ranking'!$I$6:$I$974,'City Density Ranking'!$O$6:$O$974,B221,'City Density Ranking'!$C$6:$C$974,C221)</x:f>
        <x:v>0</x:v>
      </x:c>
      <x:c r="J221" s="28" t="n">
        <x:f>SUMIFS('City Density Ranking'!$J$6:$J$974,'City Density Ranking'!$O$6:$O$974,B221,'City Density Ranking'!$C$6:$C$974,C221)</x:f>
        <x:v>1</x:v>
      </x:c>
      <x:c r="K221" s="28" t="n">
        <x:f>SUM(E221:J221)</x:f>
        <x:v>1</x:v>
      </x:c>
      <x:c r="L221" s="204" t="n">
        <x:v>636.94</x:v>
      </x:c>
      <x:c r="M221" s="205" t="n">
        <x:f>IFERROR(K221/L221,0)</x:f>
        <x:v>0.0015700065940276947</x:v>
      </x:c>
      <x:c r="N221" s="160" t="str">
        <x:v>Flint</x:v>
      </x:c>
      <x:c r="O221" s="160" t="str">
        <x:v>Includes proxy city rows</x:v>
      </x:c>
      <x:c r="P221" s="160" t="str">
        <x:v>Aggregated from 1 city/municipality screening rows; overlapping catchments are not deduplicated.</x:v>
      </x:c>
      <x:c r="Q221" s="160" t="str">
        <x:v>Verified Census QuickFacts land area (2020 geography)</x:v>
      </x:c>
    </x:row>
    <x:row r="222">
      <x:c r="A222" s="28" t="n">
        <x:v>227</x:v>
      </x:c>
      <x:c r="B222" s="28" t="str">
        <x:v>Cumberland County</x:v>
      </x:c>
      <x:c r="C222" s="28" t="str">
        <x:v>NC</x:v>
      </x:c>
      <x:c r="D222" s="28" t="str">
        <x:v>37051</x:v>
      </x:c>
      <x:c r="E222" s="28" t="n">
        <x:f>SUMIFS('City Density Ranking'!$E$6:$E$974,'City Density Ranking'!$O$6:$O$974,B222,'City Density Ranking'!$C$6:$C$974,C222)</x:f>
        <x:v>0</x:v>
      </x:c>
      <x:c r="F222" s="28" t="n">
        <x:f>SUMIFS('City Density Ranking'!$F$6:$F$974,'City Density Ranking'!$O$6:$O$974,B222,'City Density Ranking'!$C$6:$C$974,C222)</x:f>
        <x:v>0</x:v>
      </x:c>
      <x:c r="G222" s="28" t="n">
        <x:f>SUMIFS('City Density Ranking'!$G$6:$G$974,'City Density Ranking'!$O$6:$O$974,B222,'City Density Ranking'!$C$6:$C$974,C222)</x:f>
        <x:v>0</x:v>
      </x:c>
      <x:c r="H222" s="28" t="n">
        <x:f>SUMIFS('City Density Ranking'!$H$6:$H$974,'City Density Ranking'!$O$6:$O$974,B222,'City Density Ranking'!$C$6:$C$974,C222)</x:f>
        <x:v>0</x:v>
      </x:c>
      <x:c r="I222" s="28" t="n">
        <x:f>SUMIFS('City Density Ranking'!$I$6:$I$974,'City Density Ranking'!$O$6:$O$974,B222,'City Density Ranking'!$C$6:$C$974,C222)</x:f>
        <x:v>0</x:v>
      </x:c>
      <x:c r="J222" s="28" t="n">
        <x:f>SUMIFS('City Density Ranking'!$J$6:$J$974,'City Density Ranking'!$O$6:$O$974,B222,'City Density Ranking'!$C$6:$C$974,C222)</x:f>
        <x:v>1</x:v>
      </x:c>
      <x:c r="K222" s="28" t="n">
        <x:f>SUM(E222:J222)</x:f>
        <x:v>1</x:v>
      </x:c>
      <x:c r="L222" s="204" t="n">
        <x:v>641.0145534912986</x:v>
      </x:c>
      <x:c r="M222" s="205" t="n">
        <x:f>IFERROR(K222/L222,0)</x:f>
        <x:v>0.0015600269830902903</x:v>
      </x:c>
      <x:c r="N222" s="160" t="str">
        <x:v>Fayetteville</x:v>
      </x:c>
      <x:c r="O222" s="160" t="str">
        <x:v>Includes proxy city rows</x:v>
      </x:c>
      <x:c r="P222" s="160" t="str">
        <x:v>Aggregated from 1 city/municipality screening rows; overlapping catchments are not deduplicated.</x:v>
      </x:c>
      <x:c r="Q222" s="160" t="str">
        <x:v>Estimated county land area: geodesic polygon × 0.974 land/total calibration</x:v>
      </x:c>
    </x:row>
    <x:row r="223">
      <x:c r="A223" s="28" t="n">
        <x:v>228</x:v>
      </x:c>
      <x:c r="B223" s="28" t="str">
        <x:v>Greene County</x:v>
      </x:c>
      <x:c r="C223" s="28" t="str">
        <x:v>MO</x:v>
      </x:c>
      <x:c r="D223" s="28" t="str">
        <x:v>29077</x:v>
      </x:c>
      <x:c r="E223" s="28" t="n">
        <x:f>SUMIFS('City Density Ranking'!$E$6:$E$974,'City Density Ranking'!$O$6:$O$974,B223,'City Density Ranking'!$C$6:$C$974,C223)</x:f>
        <x:v>0</x:v>
      </x:c>
      <x:c r="F223" s="28" t="n">
        <x:f>SUMIFS('City Density Ranking'!$F$6:$F$974,'City Density Ranking'!$O$6:$O$974,B223,'City Density Ranking'!$C$6:$C$974,C223)</x:f>
        <x:v>0</x:v>
      </x:c>
      <x:c r="G223" s="28" t="n">
        <x:f>SUMIFS('City Density Ranking'!$G$6:$G$974,'City Density Ranking'!$O$6:$O$974,B223,'City Density Ranking'!$C$6:$C$974,C223)</x:f>
        <x:v>0</x:v>
      </x:c>
      <x:c r="H223" s="28" t="n">
        <x:f>SUMIFS('City Density Ranking'!$H$6:$H$974,'City Density Ranking'!$O$6:$O$974,B223,'City Density Ranking'!$C$6:$C$974,C223)</x:f>
        <x:v>0</x:v>
      </x:c>
      <x:c r="I223" s="28" t="n">
        <x:f>SUMIFS('City Density Ranking'!$I$6:$I$974,'City Density Ranking'!$O$6:$O$974,B223,'City Density Ranking'!$C$6:$C$974,C223)</x:f>
        <x:v>0</x:v>
      </x:c>
      <x:c r="J223" s="28" t="n">
        <x:f>SUMIFS('City Density Ranking'!$J$6:$J$974,'City Density Ranking'!$O$6:$O$974,B223,'City Density Ranking'!$C$6:$C$974,C223)</x:f>
        <x:v>1</x:v>
      </x:c>
      <x:c r="K223" s="28" t="n">
        <x:f>SUM(E223:J223)</x:f>
        <x:v>1</x:v>
      </x:c>
      <x:c r="L223" s="204" t="n">
        <x:v>648.7405218022946</x:v>
      </x:c>
      <x:c r="M223" s="205" t="n">
        <x:f>IFERROR(K223/L223,0)</x:f>
        <x:v>0.001541448339348151</x:v>
      </x:c>
      <x:c r="N223" s="160" t="str">
        <x:v>Springfield</x:v>
      </x:c>
      <x:c r="O223" s="160" t="str">
        <x:v>Includes proxy city rows</x:v>
      </x:c>
      <x:c r="P223" s="160" t="str">
        <x:v>Aggregated from 1 city/municipality screening rows; overlapping catchments are not deduplicated.</x:v>
      </x:c>
      <x:c r="Q223" s="160" t="str">
        <x:v>Estimated county land area: geodesic polygon × 0.957 land/total calibration</x:v>
      </x:c>
    </x:row>
    <x:row r="224">
      <x:c r="A224" s="28" t="n">
        <x:v>229</x:v>
      </x:c>
      <x:c r="B224" s="28" t="str">
        <x:v>Rensselaer County</x:v>
      </x:c>
      <x:c r="C224" s="28" t="str">
        <x:v>NY</x:v>
      </x:c>
      <x:c r="D224" s="28" t="str">
        <x:v>36083</x:v>
      </x:c>
      <x:c r="E224" s="28" t="n">
        <x:f>SUMIFS('City Density Ranking'!$E$6:$E$974,'City Density Ranking'!$O$6:$O$974,B224,'City Density Ranking'!$C$6:$C$974,C224)</x:f>
        <x:v>0</x:v>
      </x:c>
      <x:c r="F224" s="28" t="n">
        <x:f>SUMIFS('City Density Ranking'!$F$6:$F$974,'City Density Ranking'!$O$6:$O$974,B224,'City Density Ranking'!$C$6:$C$974,C224)</x:f>
        <x:v>0</x:v>
      </x:c>
      <x:c r="G224" s="28" t="n">
        <x:f>SUMIFS('City Density Ranking'!$G$6:$G$974,'City Density Ranking'!$O$6:$O$974,B224,'City Density Ranking'!$C$6:$C$974,C224)</x:f>
        <x:v>0</x:v>
      </x:c>
      <x:c r="H224" s="28" t="n">
        <x:f>SUMIFS('City Density Ranking'!$H$6:$H$974,'City Density Ranking'!$O$6:$O$974,B224,'City Density Ranking'!$C$6:$C$974,C224)</x:f>
        <x:v>0</x:v>
      </x:c>
      <x:c r="I224" s="28" t="n">
        <x:f>SUMIFS('City Density Ranking'!$I$6:$I$974,'City Density Ranking'!$O$6:$O$974,B224,'City Density Ranking'!$C$6:$C$974,C224)</x:f>
        <x:v>0</x:v>
      </x:c>
      <x:c r="J224" s="28" t="n">
        <x:f>SUMIFS('City Density Ranking'!$J$6:$J$974,'City Density Ranking'!$O$6:$O$974,B224,'City Density Ranking'!$C$6:$C$974,C224)</x:f>
        <x:v>1</x:v>
      </x:c>
      <x:c r="K224" s="28" t="n">
        <x:f>SUM(E224:J224)</x:f>
        <x:v>1</x:v>
      </x:c>
      <x:c r="L224" s="204" t="n">
        <x:v>652.46</x:v>
      </x:c>
      <x:c r="M224" s="205" t="n">
        <x:f>IFERROR(K224/L224,0)</x:f>
        <x:v>0.0015326610060386844</x:v>
      </x:c>
      <x:c r="N224" s="160" t="str">
        <x:v>Troy</x:v>
      </x:c>
      <x:c r="O224" s="160" t="str">
        <x:v>Includes proxy city rows</x:v>
      </x:c>
      <x:c r="P224" s="160" t="str">
        <x:v>Aggregated from 1 city/municipality screening rows; overlapping catchments are not deduplicated.</x:v>
      </x:c>
      <x:c r="Q224" s="160" t="str">
        <x:v>Verified Census QuickFacts land area (2020 geography)</x:v>
      </x:c>
    </x:row>
    <x:row r="225">
      <x:c r="A225" s="28" t="n">
        <x:v>230</x:v>
      </x:c>
      <x:c r="B225" s="28" t="str">
        <x:v>Allen County</x:v>
      </x:c>
      <x:c r="C225" s="28" t="str">
        <x:v>IN</x:v>
      </x:c>
      <x:c r="D225" s="28" t="str">
        <x:v>18003</x:v>
      </x:c>
      <x:c r="E225" s="28" t="n">
        <x:f>SUMIFS('City Density Ranking'!$E$6:$E$974,'City Density Ranking'!$O$6:$O$974,B225,'City Density Ranking'!$C$6:$C$974,C225)</x:f>
        <x:v>0</x:v>
      </x:c>
      <x:c r="F225" s="28" t="n">
        <x:f>SUMIFS('City Density Ranking'!$F$6:$F$974,'City Density Ranking'!$O$6:$O$974,B225,'City Density Ranking'!$C$6:$C$974,C225)</x:f>
        <x:v>0</x:v>
      </x:c>
      <x:c r="G225" s="28" t="n">
        <x:f>SUMIFS('City Density Ranking'!$G$6:$G$974,'City Density Ranking'!$O$6:$O$974,B225,'City Density Ranking'!$C$6:$C$974,C225)</x:f>
        <x:v>0</x:v>
      </x:c>
      <x:c r="H225" s="28" t="n">
        <x:f>SUMIFS('City Density Ranking'!$H$6:$H$974,'City Density Ranking'!$O$6:$O$974,B225,'City Density Ranking'!$C$6:$C$974,C225)</x:f>
        <x:v>0</x:v>
      </x:c>
      <x:c r="I225" s="28" t="n">
        <x:f>SUMIFS('City Density Ranking'!$I$6:$I$974,'City Density Ranking'!$O$6:$O$974,B225,'City Density Ranking'!$C$6:$C$974,C225)</x:f>
        <x:v>0</x:v>
      </x:c>
      <x:c r="J225" s="28" t="n">
        <x:f>SUMIFS('City Density Ranking'!$J$6:$J$974,'City Density Ranking'!$O$6:$O$974,B225,'City Density Ranking'!$C$6:$C$974,C225)</x:f>
        <x:v>1</x:v>
      </x:c>
      <x:c r="K225" s="28" t="n">
        <x:f>SUM(E225:J225)</x:f>
        <x:v>1</x:v>
      </x:c>
      <x:c r="L225" s="204" t="n">
        <x:v>657.3</x:v>
      </x:c>
      <x:c r="M225" s="205" t="n">
        <x:f>IFERROR(K225/L225,0)</x:f>
        <x:v>0.0015213753232922564</x:v>
      </x:c>
      <x:c r="N225" s="160" t="str">
        <x:v>Fort Wayne</x:v>
      </x:c>
      <x:c r="O225" s="160" t="str">
        <x:v>Includes proxy city rows</x:v>
      </x:c>
      <x:c r="P225" s="160" t="str">
        <x:v>Aggregated from 1 city/municipality screening rows; overlapping catchments are not deduplicated.</x:v>
      </x:c>
      <x:c r="Q225" s="160" t="str">
        <x:v>Verified Census land area (retained)</x:v>
      </x:c>
    </x:row>
    <x:row r="226">
      <x:c r="A226" s="28" t="n">
        <x:v>231</x:v>
      </x:c>
      <x:c r="B226" s="28" t="str">
        <x:v>Clark County</x:v>
      </x:c>
      <x:c r="C226" s="28" t="str">
        <x:v>NV</x:v>
      </x:c>
      <x:c r="D226" s="28" t="str">
        <x:v>32003</x:v>
      </x:c>
      <x:c r="E226" s="28" t="n">
        <x:f>SUMIFS('City Density Ranking'!$E$6:$E$974,'City Density Ranking'!$O$6:$O$974,B226,'City Density Ranking'!$C$6:$C$974,C226)</x:f>
        <x:v>1</x:v>
      </x:c>
      <x:c r="F226" s="28" t="n">
        <x:f>SUMIFS('City Density Ranking'!$F$6:$F$974,'City Density Ranking'!$O$6:$O$974,B226,'City Density Ranking'!$C$6:$C$974,C226)</x:f>
        <x:v>10</x:v>
      </x:c>
      <x:c r="G226" s="28" t="n">
        <x:f>SUMIFS('City Density Ranking'!$G$6:$G$974,'City Density Ranking'!$O$6:$O$974,B226,'City Density Ranking'!$C$6:$C$974,C226)</x:f>
        <x:v>0</x:v>
      </x:c>
      <x:c r="H226" s="28" t="n">
        <x:f>SUMIFS('City Density Ranking'!$H$6:$H$974,'City Density Ranking'!$O$6:$O$974,B226,'City Density Ranking'!$C$6:$C$974,C226)</x:f>
        <x:v>0</x:v>
      </x:c>
      <x:c r="I226" s="28" t="n">
        <x:f>SUMIFS('City Density Ranking'!$I$6:$I$974,'City Density Ranking'!$O$6:$O$974,B226,'City Density Ranking'!$C$6:$C$974,C226)</x:f>
        <x:v>0</x:v>
      </x:c>
      <x:c r="J226" s="28" t="n">
        <x:f>SUMIFS('City Density Ranking'!$J$6:$J$974,'City Density Ranking'!$O$6:$O$974,B226,'City Density Ranking'!$C$6:$C$974,C226)</x:f>
        <x:v>1</x:v>
      </x:c>
      <x:c r="K226" s="28" t="n">
        <x:f>SUM(E226:J226)</x:f>
        <x:v>12</x:v>
      </x:c>
      <x:c r="L226" s="204" t="n">
        <x:v>7891.661</x:v>
      </x:c>
      <x:c r="M226" s="205" t="n">
        <x:f>IFERROR(K226/L226,0)</x:f>
        <x:v>0.00152059243294916</x:v>
      </x:c>
      <x:c r="N226" s="160" t="str">
        <x:v>Henderson, Las Vegas, North Las Vegas</x:v>
      </x:c>
      <x:c r="O226" s="160" t="str">
        <x:v>Includes proxy city rows</x:v>
      </x:c>
      <x:c r="P226" s="160" t="str">
        <x:v>Aggregated from 3 city/municipality screening rows; overlapping catchments are not deduplicated.</x:v>
      </x:c>
      <x:c r="Q226" s="160" t="str">
        <x:v>Verified Census land area (retained)</x:v>
      </x:c>
    </x:row>
    <x:row r="227">
      <x:c r="A227" s="28" t="n">
        <x:v>232</x:v>
      </x:c>
      <x:c r="B227" s="28" t="str">
        <x:v>Plymouth County</x:v>
      </x:c>
      <x:c r="C227" s="28" t="str">
        <x:v>MA</x:v>
      </x:c>
      <x:c r="D227" s="28" t="str">
        <x:v>25023</x:v>
      </x:c>
      <x:c r="E227" s="28" t="n">
        <x:f>SUMIFS('City Density Ranking'!$E$6:$E$974,'City Density Ranking'!$O$6:$O$974,B227,'City Density Ranking'!$C$6:$C$974,C227)</x:f>
        <x:v>0</x:v>
      </x:c>
      <x:c r="F227" s="28" t="n">
        <x:f>SUMIFS('City Density Ranking'!$F$6:$F$974,'City Density Ranking'!$O$6:$O$974,B227,'City Density Ranking'!$C$6:$C$974,C227)</x:f>
        <x:v>0</x:v>
      </x:c>
      <x:c r="G227" s="28" t="n">
        <x:f>SUMIFS('City Density Ranking'!$G$6:$G$974,'City Density Ranking'!$O$6:$O$974,B227,'City Density Ranking'!$C$6:$C$974,C227)</x:f>
        <x:v>0</x:v>
      </x:c>
      <x:c r="H227" s="28" t="n">
        <x:f>SUMIFS('City Density Ranking'!$H$6:$H$974,'City Density Ranking'!$O$6:$O$974,B227,'City Density Ranking'!$C$6:$C$974,C227)</x:f>
        <x:v>0</x:v>
      </x:c>
      <x:c r="I227" s="28" t="n">
        <x:f>SUMIFS('City Density Ranking'!$I$6:$I$974,'City Density Ranking'!$O$6:$O$974,B227,'City Density Ranking'!$C$6:$C$974,C227)</x:f>
        <x:v>0</x:v>
      </x:c>
      <x:c r="J227" s="28" t="n">
        <x:f>SUMIFS('City Density Ranking'!$J$6:$J$974,'City Density Ranking'!$O$6:$O$974,B227,'City Density Ranking'!$C$6:$C$974,C227)</x:f>
        <x:v>1</x:v>
      </x:c>
      <x:c r="K227" s="28" t="n">
        <x:f>SUM(E227:J227)</x:f>
        <x:v>1</x:v>
      </x:c>
      <x:c r="L227" s="204" t="n">
        <x:v>658.5</x:v>
      </x:c>
      <x:c r="M227" s="205" t="n">
        <x:f>IFERROR(K227/L227,0)</x:f>
        <x:v>0.0015186028853454822</x:v>
      </x:c>
      <x:c r="N227" s="160" t="str">
        <x:v>Brockton</x:v>
      </x:c>
      <x:c r="O227" s="160" t="str">
        <x:v>Includes proxy city rows</x:v>
      </x:c>
      <x:c r="P227" s="160" t="str">
        <x:v>Aggregated from 1 city/municipality screening rows; overlapping catchments are not deduplicated.</x:v>
      </x:c>
      <x:c r="Q227" s="160" t="str">
        <x:v>Verified Census QuickFacts land area (2020 geography)</x:v>
      </x:c>
    </x:row>
    <x:row r="228">
      <x:c r="A228" s="28" t="n">
        <x:v>233</x:v>
      </x:c>
      <x:c r="B228" s="28" t="str">
        <x:v>Frederick County</x:v>
      </x:c>
      <x:c r="C228" s="28" t="str">
        <x:v>MD</x:v>
      </x:c>
      <x:c r="D228" s="28" t="str">
        <x:v>24021</x:v>
      </x:c>
      <x:c r="E228" s="28" t="n">
        <x:f>SUMIFS('City Density Ranking'!$E$6:$E$974,'City Density Ranking'!$O$6:$O$974,B228,'City Density Ranking'!$C$6:$C$974,C228)</x:f>
        <x:v>0</x:v>
      </x:c>
      <x:c r="F228" s="28" t="n">
        <x:f>SUMIFS('City Density Ranking'!$F$6:$F$974,'City Density Ranking'!$O$6:$O$974,B228,'City Density Ranking'!$C$6:$C$974,C228)</x:f>
        <x:v>0</x:v>
      </x:c>
      <x:c r="G228" s="28" t="n">
        <x:f>SUMIFS('City Density Ranking'!$G$6:$G$974,'City Density Ranking'!$O$6:$O$974,B228,'City Density Ranking'!$C$6:$C$974,C228)</x:f>
        <x:v>0</x:v>
      </x:c>
      <x:c r="H228" s="28" t="n">
        <x:f>SUMIFS('City Density Ranking'!$H$6:$H$974,'City Density Ranking'!$O$6:$O$974,B228,'City Density Ranking'!$C$6:$C$974,C228)</x:f>
        <x:v>0</x:v>
      </x:c>
      <x:c r="I228" s="28" t="n">
        <x:f>SUMIFS('City Density Ranking'!$I$6:$I$974,'City Density Ranking'!$O$6:$O$974,B228,'City Density Ranking'!$C$6:$C$974,C228)</x:f>
        <x:v>1</x:v>
      </x:c>
      <x:c r="J228" s="28" t="n">
        <x:f>SUMIFS('City Density Ranking'!$J$6:$J$974,'City Density Ranking'!$O$6:$O$974,B228,'City Density Ranking'!$C$6:$C$974,C228)</x:f>
        <x:v>0</x:v>
      </x:c>
      <x:c r="K228" s="28" t="n">
        <x:f>SUM(E228:J228)</x:f>
        <x:v>1</x:v>
      </x:c>
      <x:c r="L228" s="204" t="n">
        <x:v>660.59</x:v>
      </x:c>
      <x:c r="M228" s="205" t="n">
        <x:f>IFERROR(K228/L228,0)</x:f>
        <x:v>0.0015137982712423743</x:v>
      </x:c>
      <x:c r="N228" s="160" t="str">
        <x:v>Frederick</x:v>
      </x:c>
      <x:c r="O228" s="160" t="str">
        <x:v>Lower-bound city counts only</x:v>
      </x:c>
      <x:c r="P228" s="160" t="str">
        <x:v>Aggregated from 1 city/municipality screening rows; overlapping catchments are not deduplicated.</x:v>
      </x:c>
      <x:c r="Q228" s="160" t="str">
        <x:v>Verified Census QuickFacts land area (2020 geography)</x:v>
      </x:c>
    </x:row>
    <x:row r="229">
      <x:c r="A229" s="28" t="n">
        <x:v>234</x:v>
      </x:c>
      <x:c r="B229" s="28" t="str">
        <x:v>Boone County</x:v>
      </x:c>
      <x:c r="C229" s="28" t="str">
        <x:v>MO</x:v>
      </x:c>
      <x:c r="D229" s="28" t="str">
        <x:v>29019</x:v>
      </x:c>
      <x:c r="E229" s="28" t="n">
        <x:f>SUMIFS('City Density Ranking'!$E$6:$E$974,'City Density Ranking'!$O$6:$O$974,B229,'City Density Ranking'!$C$6:$C$974,C229)</x:f>
        <x:v>0</x:v>
      </x:c>
      <x:c r="F229" s="28" t="n">
        <x:f>SUMIFS('City Density Ranking'!$F$6:$F$974,'City Density Ranking'!$O$6:$O$974,B229,'City Density Ranking'!$C$6:$C$974,C229)</x:f>
        <x:v>0</x:v>
      </x:c>
      <x:c r="G229" s="28" t="n">
        <x:f>SUMIFS('City Density Ranking'!$G$6:$G$974,'City Density Ranking'!$O$6:$O$974,B229,'City Density Ranking'!$C$6:$C$974,C229)</x:f>
        <x:v>0</x:v>
      </x:c>
      <x:c r="H229" s="28" t="n">
        <x:f>SUMIFS('City Density Ranking'!$H$6:$H$974,'City Density Ranking'!$O$6:$O$974,B229,'City Density Ranking'!$C$6:$C$974,C229)</x:f>
        <x:v>0</x:v>
      </x:c>
      <x:c r="I229" s="28" t="n">
        <x:f>SUMIFS('City Density Ranking'!$I$6:$I$974,'City Density Ranking'!$O$6:$O$974,B229,'City Density Ranking'!$C$6:$C$974,C229)</x:f>
        <x:v>0</x:v>
      </x:c>
      <x:c r="J229" s="28" t="n">
        <x:f>SUMIFS('City Density Ranking'!$J$6:$J$974,'City Density Ranking'!$O$6:$O$974,B229,'City Density Ranking'!$C$6:$C$974,C229)</x:f>
        <x:v>1</x:v>
      </x:c>
      <x:c r="K229" s="28" t="n">
        <x:f>SUM(E229:J229)</x:f>
        <x:v>1</x:v>
      </x:c>
      <x:c r="L229" s="204" t="n">
        <x:v>661.2199419946396</x:v>
      </x:c>
      <x:c r="M229" s="205" t="n">
        <x:f>IFERROR(K229/L229,0)</x:f>
        <x:v>0.0015123560807670058</x:v>
      </x:c>
      <x:c r="N229" s="160" t="str">
        <x:v>Columbia</x:v>
      </x:c>
      <x:c r="O229" s="160" t="str">
        <x:v>Includes proxy city rows</x:v>
      </x:c>
      <x:c r="P229" s="160" t="str">
        <x:v>Aggregated from 1 city/municipality screening rows; overlapping catchments are not deduplicated.</x:v>
      </x:c>
      <x:c r="Q229" s="160" t="str">
        <x:v>Estimated county land area: geodesic polygon × 0.957 land/total calibration</x:v>
      </x:c>
    </x:row>
    <x:row r="230">
      <x:c r="A230" s="28" t="n">
        <x:v>235</x:v>
      </x:c>
      <x:c r="B230" s="28" t="str">
        <x:v>Ocean County</x:v>
      </x:c>
      <x:c r="C230" s="28" t="str">
        <x:v>NJ</x:v>
      </x:c>
      <x:c r="D230" s="28" t="str">
        <x:v>34029</x:v>
      </x:c>
      <x:c r="E230" s="28" t="n">
        <x:f>SUMIFS('City Density Ranking'!$E$6:$E$974,'City Density Ranking'!$O$6:$O$974,B230,'City Density Ranking'!$C$6:$C$974,C230)</x:f>
        <x:v>0</x:v>
      </x:c>
      <x:c r="F230" s="28" t="n">
        <x:f>SUMIFS('City Density Ranking'!$F$6:$F$974,'City Density Ranking'!$O$6:$O$974,B230,'City Density Ranking'!$C$6:$C$974,C230)</x:f>
        <x:v>0</x:v>
      </x:c>
      <x:c r="G230" s="28" t="n">
        <x:f>SUMIFS('City Density Ranking'!$G$6:$G$974,'City Density Ranking'!$O$6:$O$974,B230,'City Density Ranking'!$C$6:$C$974,C230)</x:f>
        <x:v>0</x:v>
      </x:c>
      <x:c r="H230" s="28" t="n">
        <x:f>SUMIFS('City Density Ranking'!$H$6:$H$974,'City Density Ranking'!$O$6:$O$974,B230,'City Density Ranking'!$C$6:$C$974,C230)</x:f>
        <x:v>0</x:v>
      </x:c>
      <x:c r="I230" s="28" t="n">
        <x:f>SUMIFS('City Density Ranking'!$I$6:$I$974,'City Density Ranking'!$O$6:$O$974,B230,'City Density Ranking'!$C$6:$C$974,C230)</x:f>
        <x:v>0</x:v>
      </x:c>
      <x:c r="J230" s="28" t="n">
        <x:f>SUMIFS('City Density Ranking'!$J$6:$J$974,'City Density Ranking'!$O$6:$O$974,B230,'City Density Ranking'!$C$6:$C$974,C230)</x:f>
        <x:v>1</x:v>
      </x:c>
      <x:c r="K230" s="28" t="n">
        <x:f>SUM(E230:J230)</x:f>
        <x:v>1</x:v>
      </x:c>
      <x:c r="L230" s="204" t="n">
        <x:v>670.166885116479</x:v>
      </x:c>
      <x:c r="M230" s="205" t="n">
        <x:f>IFERROR(K230/L230,0)</x:f>
        <x:v>0.0014921656414374968</x:v>
      </x:c>
      <x:c r="N230" s="160" t="str">
        <x:v>Lakewood</x:v>
      </x:c>
      <x:c r="O230" s="160" t="str">
        <x:v>Includes proxy city rows</x:v>
      </x:c>
      <x:c r="P230" s="160" t="str">
        <x:v>Aggregated from 1 city/municipality screening rows; overlapping catchments are not deduplicated.</x:v>
      </x:c>
      <x:c r="Q230" s="160" t="str">
        <x:v>Estimated county land area: geodesic polygon × 0.885 land/total calibration</x:v>
      </x:c>
    </x:row>
    <x:row r="231">
      <x:c r="A231" s="28" t="n">
        <x:v>236</x:v>
      </x:c>
      <x:c r="B231" s="28" t="str">
        <x:v>Washington County</x:v>
      </x:c>
      <x:c r="C231" s="28" t="str">
        <x:v>OR</x:v>
      </x:c>
      <x:c r="D231" s="28" t="str">
        <x:v>41067</x:v>
      </x:c>
      <x:c r="E231" s="28" t="n">
        <x:f>SUMIFS('City Density Ranking'!$E$6:$E$974,'City Density Ranking'!$O$6:$O$974,B231,'City Density Ranking'!$C$6:$C$974,C231)</x:f>
        <x:v>0</x:v>
      </x:c>
      <x:c r="F231" s="28" t="n">
        <x:f>SUMIFS('City Density Ranking'!$F$6:$F$974,'City Density Ranking'!$O$6:$O$974,B231,'City Density Ranking'!$C$6:$C$974,C231)</x:f>
        <x:v>0</x:v>
      </x:c>
      <x:c r="G231" s="28" t="n">
        <x:f>SUMIFS('City Density Ranking'!$G$6:$G$974,'City Density Ranking'!$O$6:$O$974,B231,'City Density Ranking'!$C$6:$C$974,C231)</x:f>
        <x:v>0</x:v>
      </x:c>
      <x:c r="H231" s="28" t="n">
        <x:f>SUMIFS('City Density Ranking'!$H$6:$H$974,'City Density Ranking'!$O$6:$O$974,B231,'City Density Ranking'!$C$6:$C$974,C231)</x:f>
        <x:v>0</x:v>
      </x:c>
      <x:c r="I231" s="28" t="n">
        <x:f>SUMIFS('City Density Ranking'!$I$6:$I$974,'City Density Ranking'!$O$6:$O$974,B231,'City Density Ranking'!$C$6:$C$974,C231)</x:f>
        <x:v>0</x:v>
      </x:c>
      <x:c r="J231" s="28" t="n">
        <x:f>SUMIFS('City Density Ranking'!$J$6:$J$974,'City Density Ranking'!$O$6:$O$974,B231,'City Density Ranking'!$C$6:$C$974,C231)</x:f>
        <x:v>1</x:v>
      </x:c>
      <x:c r="K231" s="28" t="n">
        <x:f>SUM(E231:J231)</x:f>
        <x:v>1</x:v>
      </x:c>
      <x:c r="L231" s="204" t="n">
        <x:v>672.7137431663616</x:v>
      </x:c>
      <x:c r="M231" s="205" t="n">
        <x:f>IFERROR(K231/L231,0)</x:f>
        <x:v>0.0014865163825747807</x:v>
      </x:c>
      <x:c r="N231" s="160" t="str">
        <x:v>Hillsboro</x:v>
      </x:c>
      <x:c r="O231" s="160" t="str">
        <x:v>Includes proxy city rows</x:v>
      </x:c>
      <x:c r="P231" s="160" t="str">
        <x:v>Aggregated from 1 city/municipality screening rows; overlapping catchments are not deduplicated.</x:v>
      </x:c>
      <x:c r="Q231" s="160" t="str">
        <x:v>Estimated county land area: geodesic polygon × 0.926 land/total calibration</x:v>
      </x:c>
    </x:row>
    <x:row r="232">
      <x:c r="A232" s="28" t="n">
        <x:v>237</x:v>
      </x:c>
      <x:c r="B232" s="28" t="str">
        <x:v>Caddo Parish</x:v>
      </x:c>
      <x:c r="C232" s="28" t="str">
        <x:v>LA</x:v>
      </x:c>
      <x:c r="D232" s="28" t="str">
        <x:v>22017</x:v>
      </x:c>
      <x:c r="E232" s="28" t="n">
        <x:f>SUMIFS('City Density Ranking'!$E$6:$E$974,'City Density Ranking'!$O$6:$O$974,B232,'City Density Ranking'!$C$6:$C$974,C232)</x:f>
        <x:v>0</x:v>
      </x:c>
      <x:c r="F232" s="28" t="n">
        <x:f>SUMIFS('City Density Ranking'!$F$6:$F$974,'City Density Ranking'!$O$6:$O$974,B232,'City Density Ranking'!$C$6:$C$974,C232)</x:f>
        <x:v>0</x:v>
      </x:c>
      <x:c r="G232" s="28" t="n">
        <x:f>SUMIFS('City Density Ranking'!$G$6:$G$974,'City Density Ranking'!$O$6:$O$974,B232,'City Density Ranking'!$C$6:$C$974,C232)</x:f>
        <x:v>0</x:v>
      </x:c>
      <x:c r="H232" s="28" t="n">
        <x:f>SUMIFS('City Density Ranking'!$H$6:$H$974,'City Density Ranking'!$O$6:$O$974,B232,'City Density Ranking'!$C$6:$C$974,C232)</x:f>
        <x:v>0</x:v>
      </x:c>
      <x:c r="I232" s="28" t="n">
        <x:f>SUMIFS('City Density Ranking'!$I$6:$I$974,'City Density Ranking'!$O$6:$O$974,B232,'City Density Ranking'!$C$6:$C$974,C232)</x:f>
        <x:v>0</x:v>
      </x:c>
      <x:c r="J232" s="28" t="n">
        <x:f>SUMIFS('City Density Ranking'!$J$6:$J$974,'City Density Ranking'!$O$6:$O$974,B232,'City Density Ranking'!$C$6:$C$974,C232)</x:f>
        <x:v>1</x:v>
      </x:c>
      <x:c r="K232" s="28" t="n">
        <x:f>SUM(E232:J232)</x:f>
        <x:v>1</x:v>
      </x:c>
      <x:c r="L232" s="204" t="n">
        <x:v>680.4299330619682</x:v>
      </x:c>
      <x:c r="M232" s="205" t="n">
        <x:f>IFERROR(K232/L232,0)</x:f>
        <x:v>0.0014696590367504127</x:v>
      </x:c>
      <x:c r="N232" s="160" t="str">
        <x:v>Shreveport</x:v>
      </x:c>
      <x:c r="O232" s="160" t="str">
        <x:v>Includes proxy city rows</x:v>
      </x:c>
      <x:c r="P232" s="160" t="str">
        <x:v>Aggregated from 1 city/municipality screening rows; overlapping catchments are not deduplicated.</x:v>
      </x:c>
      <x:c r="Q232" s="160" t="str">
        <x:v>Estimated county land area: geodesic polygon × 0.727 land/total calibration</x:v>
      </x:c>
    </x:row>
    <x:row r="233">
      <x:c r="A233" s="28" t="n">
        <x:v>238</x:v>
      </x:c>
      <x:c r="B233" s="28" t="str">
        <x:v>Licking County</x:v>
      </x:c>
      <x:c r="C233" s="28" t="str">
        <x:v>OH</x:v>
      </x:c>
      <x:c r="D233" s="28" t="str">
        <x:v>39089</x:v>
      </x:c>
      <x:c r="E233" s="28" t="n">
        <x:f>SUMIFS('City Density Ranking'!$E$6:$E$974,'City Density Ranking'!$O$6:$O$974,B233,'City Density Ranking'!$C$6:$C$974,C233)</x:f>
        <x:v>0</x:v>
      </x:c>
      <x:c r="F233" s="28" t="n">
        <x:f>SUMIFS('City Density Ranking'!$F$6:$F$974,'City Density Ranking'!$O$6:$O$974,B233,'City Density Ranking'!$C$6:$C$974,C233)</x:f>
        <x:v>0</x:v>
      </x:c>
      <x:c r="G233" s="28" t="n">
        <x:f>SUMIFS('City Density Ranking'!$G$6:$G$974,'City Density Ranking'!$O$6:$O$974,B233,'City Density Ranking'!$C$6:$C$974,C233)</x:f>
        <x:v>0</x:v>
      </x:c>
      <x:c r="H233" s="28" t="n">
        <x:f>SUMIFS('City Density Ranking'!$H$6:$H$974,'City Density Ranking'!$O$6:$O$974,B233,'City Density Ranking'!$C$6:$C$974,C233)</x:f>
        <x:v>0</x:v>
      </x:c>
      <x:c r="I233" s="28" t="n">
        <x:f>SUMIFS('City Density Ranking'!$I$6:$I$974,'City Density Ranking'!$O$6:$O$974,B233,'City Density Ranking'!$C$6:$C$974,C233)</x:f>
        <x:v>0</x:v>
      </x:c>
      <x:c r="J233" s="28" t="n">
        <x:f>SUMIFS('City Density Ranking'!$J$6:$J$974,'City Density Ranking'!$O$6:$O$974,B233,'City Density Ranking'!$C$6:$C$974,C233)</x:f>
        <x:v>1</x:v>
      </x:c>
      <x:c r="K233" s="28" t="n">
        <x:f>SUM(E233:J233)</x:f>
        <x:v>1</x:v>
      </x:c>
      <x:c r="L233" s="204" t="n">
        <x:v>682.43</x:v>
      </x:c>
      <x:c r="M233" s="205" t="n">
        <x:f>IFERROR(K233/L233,0)</x:f>
        <x:v>0.0014653517576894335</x:v>
      </x:c>
      <x:c r="N233" s="160" t="str">
        <x:v>Newark</x:v>
      </x:c>
      <x:c r="O233" s="160" t="str">
        <x:v>Includes proxy city rows</x:v>
      </x:c>
      <x:c r="P233" s="160" t="str">
        <x:v>Aggregated from 1 city/municipality screening rows; overlapping catchments are not deduplicated.</x:v>
      </x:c>
      <x:c r="Q233" s="160" t="str">
        <x:v>Verified Census QuickFacts land area (2020 geography)</x:v>
      </x:c>
    </x:row>
    <x:row r="234">
      <x:c r="A234" s="28" t="n">
        <x:v>239</x:v>
      </x:c>
      <x:c r="B234" s="28" t="str">
        <x:v>Washtenaw County</x:v>
      </x:c>
      <x:c r="C234" s="28" t="str">
        <x:v>MI</x:v>
      </x:c>
      <x:c r="D234" s="28" t="str">
        <x:v>26161</x:v>
      </x:c>
      <x:c r="E234" s="28" t="n">
        <x:f>SUMIFS('City Density Ranking'!$E$6:$E$974,'City Density Ranking'!$O$6:$O$974,B234,'City Density Ranking'!$C$6:$C$974,C234)</x:f>
        <x:v>0</x:v>
      </x:c>
      <x:c r="F234" s="28" t="n">
        <x:f>SUMIFS('City Density Ranking'!$F$6:$F$974,'City Density Ranking'!$O$6:$O$974,B234,'City Density Ranking'!$C$6:$C$974,C234)</x:f>
        <x:v>0</x:v>
      </x:c>
      <x:c r="G234" s="28" t="n">
        <x:f>SUMIFS('City Density Ranking'!$G$6:$G$974,'City Density Ranking'!$O$6:$O$974,B234,'City Density Ranking'!$C$6:$C$974,C234)</x:f>
        <x:v>0</x:v>
      </x:c>
      <x:c r="H234" s="28" t="n">
        <x:f>SUMIFS('City Density Ranking'!$H$6:$H$974,'City Density Ranking'!$O$6:$O$974,B234,'City Density Ranking'!$C$6:$C$974,C234)</x:f>
        <x:v>0</x:v>
      </x:c>
      <x:c r="I234" s="28" t="n">
        <x:f>SUMIFS('City Density Ranking'!$I$6:$I$974,'City Density Ranking'!$O$6:$O$974,B234,'City Density Ranking'!$C$6:$C$974,C234)</x:f>
        <x:v>0</x:v>
      </x:c>
      <x:c r="J234" s="28" t="n">
        <x:f>SUMIFS('City Density Ranking'!$J$6:$J$974,'City Density Ranking'!$O$6:$O$974,B234,'City Density Ranking'!$C$6:$C$974,C234)</x:f>
        <x:v>1</x:v>
      </x:c>
      <x:c r="K234" s="28" t="n">
        <x:f>SUM(E234:J234)</x:f>
        <x:v>1</x:v>
      </x:c>
      <x:c r="L234" s="204" t="n">
        <x:v>696.4206515039982</x:v>
      </x:c>
      <x:c r="M234" s="205" t="n">
        <x:f>IFERROR(K234/L234,0)</x:f>
        <x:v>0.0014359137653950787</x:v>
      </x:c>
      <x:c r="N234" s="160" t="str">
        <x:v>Ann Arbor</x:v>
      </x:c>
      <x:c r="O234" s="160" t="str">
        <x:v>Includes proxy city rows</x:v>
      </x:c>
      <x:c r="P234" s="160" t="str">
        <x:v>Aggregated from 1 city/municipality screening rows; overlapping catchments are not deduplicated.</x:v>
      </x:c>
      <x:c r="Q234" s="160" t="str">
        <x:v>Estimated county land area: geodesic polygon × 0.964 land/total calibration</x:v>
      </x:c>
    </x:row>
    <x:row r="235">
      <x:c r="A235" s="28" t="n">
        <x:v>240</x:v>
      </x:c>
      <x:c r="B235" s="28" t="str">
        <x:v>Linn County</x:v>
      </x:c>
      <x:c r="C235" s="28" t="str">
        <x:v>IA</x:v>
      </x:c>
      <x:c r="D235" s="28" t="str">
        <x:v>19113</x:v>
      </x:c>
      <x:c r="E235" s="28" t="n">
        <x:f>SUMIFS('City Density Ranking'!$E$6:$E$974,'City Density Ranking'!$O$6:$O$974,B235,'City Density Ranking'!$C$6:$C$974,C235)</x:f>
        <x:v>0</x:v>
      </x:c>
      <x:c r="F235" s="28" t="n">
        <x:f>SUMIFS('City Density Ranking'!$F$6:$F$974,'City Density Ranking'!$O$6:$O$974,B235,'City Density Ranking'!$C$6:$C$974,C235)</x:f>
        <x:v>0</x:v>
      </x:c>
      <x:c r="G235" s="28" t="n">
        <x:f>SUMIFS('City Density Ranking'!$G$6:$G$974,'City Density Ranking'!$O$6:$O$974,B235,'City Density Ranking'!$C$6:$C$974,C235)</x:f>
        <x:v>0</x:v>
      </x:c>
      <x:c r="H235" s="28" t="n">
        <x:f>SUMIFS('City Density Ranking'!$H$6:$H$974,'City Density Ranking'!$O$6:$O$974,B235,'City Density Ranking'!$C$6:$C$974,C235)</x:f>
        <x:v>0</x:v>
      </x:c>
      <x:c r="I235" s="28" t="n">
        <x:f>SUMIFS('City Density Ranking'!$I$6:$I$974,'City Density Ranking'!$O$6:$O$974,B235,'City Density Ranking'!$C$6:$C$974,C235)</x:f>
        <x:v>0</x:v>
      </x:c>
      <x:c r="J235" s="28" t="n">
        <x:f>SUMIFS('City Density Ranking'!$J$6:$J$974,'City Density Ranking'!$O$6:$O$974,B235,'City Density Ranking'!$C$6:$C$974,C235)</x:f>
        <x:v>1</x:v>
      </x:c>
      <x:c r="K235" s="28" t="n">
        <x:f>SUM(E235:J235)</x:f>
        <x:v>1</x:v>
      </x:c>
      <x:c r="L235" s="204" t="n">
        <x:v>704.3298666304945</x:v>
      </x:c>
      <x:c r="M235" s="205" t="n">
        <x:f>IFERROR(K235/L235,0)</x:f>
        <x:v>0.001419789288198139</x:v>
      </x:c>
      <x:c r="N235" s="160" t="str">
        <x:v>Cedar Rapids</x:v>
      </x:c>
      <x:c r="O235" s="160" t="str">
        <x:v>Includes proxy city rows</x:v>
      </x:c>
      <x:c r="P235" s="160" t="str">
        <x:v>Aggregated from 1 city/municipality screening rows; overlapping catchments are not deduplicated.</x:v>
      </x:c>
      <x:c r="Q235" s="160" t="str">
        <x:v>Estimated county land area: geodesic polygon × 0.972 land/total calibration</x:v>
      </x:c>
    </x:row>
    <x:row r="236">
      <x:c r="A236" s="28" t="n">
        <x:v>241</x:v>
      </x:c>
      <x:c r="B236" s="28" t="str">
        <x:v>King County</x:v>
      </x:c>
      <x:c r="C236" s="28" t="str">
        <x:v>WA</x:v>
      </x:c>
      <x:c r="D236" s="28" t="str">
        <x:v>53033</x:v>
      </x:c>
      <x:c r="E236" s="28" t="n">
        <x:f>SUMIFS('City Density Ranking'!$E$6:$E$974,'City Density Ranking'!$O$6:$O$974,B236,'City Density Ranking'!$C$6:$C$974,C236)</x:f>
        <x:v>0</x:v>
      </x:c>
      <x:c r="F236" s="28" t="n">
        <x:f>SUMIFS('City Density Ranking'!$F$6:$F$974,'City Density Ranking'!$O$6:$O$974,B236,'City Density Ranking'!$C$6:$C$974,C236)</x:f>
        <x:v>0</x:v>
      </x:c>
      <x:c r="G236" s="28" t="n">
        <x:f>SUMIFS('City Density Ranking'!$G$6:$G$974,'City Density Ranking'!$O$6:$O$974,B236,'City Density Ranking'!$C$6:$C$974,C236)</x:f>
        <x:v>0</x:v>
      </x:c>
      <x:c r="H236" s="28" t="n">
        <x:f>SUMIFS('City Density Ranking'!$H$6:$H$974,'City Density Ranking'!$O$6:$O$974,B236,'City Density Ranking'!$C$6:$C$974,C236)</x:f>
        <x:v>0</x:v>
      </x:c>
      <x:c r="I236" s="28" t="n">
        <x:f>SUMIFS('City Density Ranking'!$I$6:$I$974,'City Density Ranking'!$O$6:$O$974,B236,'City Density Ranking'!$C$6:$C$974,C236)</x:f>
        <x:v>0</x:v>
      </x:c>
      <x:c r="J236" s="28" t="n">
        <x:f>SUMIFS('City Density Ranking'!$J$6:$J$974,'City Density Ranking'!$O$6:$O$974,B236,'City Density Ranking'!$C$6:$C$974,C236)</x:f>
        <x:v>3</x:v>
      </x:c>
      <x:c r="K236" s="28" t="n">
        <x:f>SUM(E236:J236)</x:f>
        <x:v>3</x:v>
      </x:c>
      <x:c r="L236" s="204" t="n">
        <x:v>2115.584</x:v>
      </x:c>
      <x:c r="M236" s="205" t="n">
        <x:f>IFERROR(K236/L236,0)</x:f>
        <x:v>0.0014180481606969992</x:v>
      </x:c>
      <x:c r="N236" s="160" t="str">
        <x:v>Bellevue, Kent, Seattle</x:v>
      </x:c>
      <x:c r="O236" s="160" t="str">
        <x:v>Includes proxy city rows</x:v>
      </x:c>
      <x:c r="P236" s="160" t="str">
        <x:v>Aggregated from 3 city/municipality screening rows; overlapping catchments are not deduplicated.</x:v>
      </x:c>
      <x:c r="Q236" s="160" t="str">
        <x:v>Verified Census land area (retained)</x:v>
      </x:c>
    </x:row>
    <x:row r="237">
      <x:c r="A237" s="28" t="n">
        <x:v>242</x:v>
      </x:c>
      <x:c r="B237" s="28" t="str">
        <x:v>Calhoun County</x:v>
      </x:c>
      <x:c r="C237" s="28" t="str">
        <x:v>MI</x:v>
      </x:c>
      <x:c r="D237" s="28" t="str">
        <x:v>26025</x:v>
      </x:c>
      <x:c r="E237" s="28" t="n">
        <x:f>SUMIFS('City Density Ranking'!$E$6:$E$974,'City Density Ranking'!$O$6:$O$974,B237,'City Density Ranking'!$C$6:$C$974,C237)</x:f>
        <x:v>0</x:v>
      </x:c>
      <x:c r="F237" s="28" t="n">
        <x:f>SUMIFS('City Density Ranking'!$F$6:$F$974,'City Density Ranking'!$O$6:$O$974,B237,'City Density Ranking'!$C$6:$C$974,C237)</x:f>
        <x:v>0</x:v>
      </x:c>
      <x:c r="G237" s="28" t="n">
        <x:f>SUMIFS('City Density Ranking'!$G$6:$G$974,'City Density Ranking'!$O$6:$O$974,B237,'City Density Ranking'!$C$6:$C$974,C237)</x:f>
        <x:v>0</x:v>
      </x:c>
      <x:c r="H237" s="28" t="n">
        <x:f>SUMIFS('City Density Ranking'!$H$6:$H$974,'City Density Ranking'!$O$6:$O$974,B237,'City Density Ranking'!$C$6:$C$974,C237)</x:f>
        <x:v>0</x:v>
      </x:c>
      <x:c r="I237" s="28" t="n">
        <x:f>SUMIFS('City Density Ranking'!$I$6:$I$974,'City Density Ranking'!$O$6:$O$974,B237,'City Density Ranking'!$C$6:$C$974,C237)</x:f>
        <x:v>0</x:v>
      </x:c>
      <x:c r="J237" s="28" t="n">
        <x:f>SUMIFS('City Density Ranking'!$J$6:$J$974,'City Density Ranking'!$O$6:$O$974,B237,'City Density Ranking'!$C$6:$C$974,C237)</x:f>
        <x:v>1</x:v>
      </x:c>
      <x:c r="K237" s="28" t="n">
        <x:f>SUM(E237:J237)</x:f>
        <x:v>1</x:v>
      </x:c>
      <x:c r="L237" s="204" t="n">
        <x:v>706.26</x:v>
      </x:c>
      <x:c r="M237" s="205" t="n">
        <x:f>IFERROR(K237/L237,0)</x:f>
        <x:v>0.001415909155268598</x:v>
      </x:c>
      <x:c r="N237" s="160" t="str">
        <x:v>Battle Creek</x:v>
      </x:c>
      <x:c r="O237" s="160" t="str">
        <x:v>Includes proxy city rows</x:v>
      </x:c>
      <x:c r="P237" s="160" t="str">
        <x:v>Aggregated from 1 city/municipality screening rows; overlapping catchments are not deduplicated.</x:v>
      </x:c>
      <x:c r="Q237" s="160" t="str">
        <x:v>Verified Census QuickFacts 2020 land area</x:v>
      </x:c>
    </x:row>
    <x:row r="238">
      <x:c r="A238" s="28" t="n">
        <x:v>243</x:v>
      </x:c>
      <x:c r="B238" s="28" t="str">
        <x:v>Oklahoma County</x:v>
      </x:c>
      <x:c r="C238" s="28" t="str">
        <x:v>OK</x:v>
      </x:c>
      <x:c r="D238" s="28" t="str">
        <x:v>40109</x:v>
      </x:c>
      <x:c r="E238" s="28" t="n">
        <x:f>SUMIFS('City Density Ranking'!$E$6:$E$974,'City Density Ranking'!$O$6:$O$974,B238,'City Density Ranking'!$C$6:$C$974,C238)</x:f>
        <x:v>0</x:v>
      </x:c>
      <x:c r="F238" s="28" t="n">
        <x:f>SUMIFS('City Density Ranking'!$F$6:$F$974,'City Density Ranking'!$O$6:$O$974,B238,'City Density Ranking'!$C$6:$C$974,C238)</x:f>
        <x:v>0</x:v>
      </x:c>
      <x:c r="G238" s="28" t="n">
        <x:f>SUMIFS('City Density Ranking'!$G$6:$G$974,'City Density Ranking'!$O$6:$O$974,B238,'City Density Ranking'!$C$6:$C$974,C238)</x:f>
        <x:v>0</x:v>
      </x:c>
      <x:c r="H238" s="28" t="n">
        <x:f>SUMIFS('City Density Ranking'!$H$6:$H$974,'City Density Ranking'!$O$6:$O$974,B238,'City Density Ranking'!$C$6:$C$974,C238)</x:f>
        <x:v>0</x:v>
      </x:c>
      <x:c r="I238" s="28" t="n">
        <x:f>SUMIFS('City Density Ranking'!$I$6:$I$974,'City Density Ranking'!$O$6:$O$974,B238,'City Density Ranking'!$C$6:$C$974,C238)</x:f>
        <x:v>0</x:v>
      </x:c>
      <x:c r="J238" s="28" t="n">
        <x:f>SUMIFS('City Density Ranking'!$J$6:$J$974,'City Density Ranking'!$O$6:$O$974,B238,'City Density Ranking'!$C$6:$C$974,C238)</x:f>
        <x:v>1</x:v>
      </x:c>
      <x:c r="K238" s="28" t="n">
        <x:f>SUM(E238:J238)</x:f>
        <x:v>1</x:v>
      </x:c>
      <x:c r="L238" s="204" t="n">
        <x:v>708.897</x:v>
      </x:c>
      <x:c r="M238" s="205" t="n">
        <x:f>IFERROR(K238/L238,0)</x:f>
        <x:v>0.0014106421666335164</x:v>
      </x:c>
      <x:c r="N238" s="160" t="str">
        <x:v>Oklahoma City</x:v>
      </x:c>
      <x:c r="O238" s="160" t="str">
        <x:v>Includes proxy city rows</x:v>
      </x:c>
      <x:c r="P238" s="160" t="str">
        <x:v>Aggregated from 1 city/municipality screening rows; overlapping catchments are not deduplicated.</x:v>
      </x:c>
      <x:c r="Q238" s="160" t="str">
        <x:v>Verified Census land area (retained)</x:v>
      </x:c>
    </x:row>
    <x:row r="239">
      <x:c r="A239" s="28" t="n">
        <x:v>244</x:v>
      </x:c>
      <x:c r="B239" s="28" t="str">
        <x:v>Hartford County</x:v>
      </x:c>
      <x:c r="C239" s="28" t="str">
        <x:v>CT</x:v>
      </x:c>
      <x:c r="D239" s="28" t="str">
        <x:v>09003</x:v>
      </x:c>
      <x:c r="E239" s="28" t="n">
        <x:f>SUMIFS('City Density Ranking'!$E$6:$E$974,'City Density Ranking'!$O$6:$O$974,B239,'City Density Ranking'!$C$6:$C$974,C239)</x:f>
        <x:v>0</x:v>
      </x:c>
      <x:c r="F239" s="28" t="n">
        <x:f>SUMIFS('City Density Ranking'!$F$6:$F$974,'City Density Ranking'!$O$6:$O$974,B239,'City Density Ranking'!$C$6:$C$974,C239)</x:f>
        <x:v>0</x:v>
      </x:c>
      <x:c r="G239" s="28" t="n">
        <x:f>SUMIFS('City Density Ranking'!$G$6:$G$974,'City Density Ranking'!$O$6:$O$974,B239,'City Density Ranking'!$C$6:$C$974,C239)</x:f>
        <x:v>0</x:v>
      </x:c>
      <x:c r="H239" s="28" t="n">
        <x:f>SUMIFS('City Density Ranking'!$H$6:$H$974,'City Density Ranking'!$O$6:$O$974,B239,'City Density Ranking'!$C$6:$C$974,C239)</x:f>
        <x:v>0</x:v>
      </x:c>
      <x:c r="I239" s="28" t="n">
        <x:f>SUMIFS('City Density Ranking'!$I$6:$I$974,'City Density Ranking'!$O$6:$O$974,B239,'City Density Ranking'!$C$6:$C$974,C239)</x:f>
        <x:v>0</x:v>
      </x:c>
      <x:c r="J239" s="28" t="n">
        <x:f>SUMIFS('City Density Ranking'!$J$6:$J$974,'City Density Ranking'!$O$6:$O$974,B239,'City Density Ranking'!$C$6:$C$974,C239)</x:f>
        <x:v>1</x:v>
      </x:c>
      <x:c r="K239" s="28" t="n">
        <x:f>SUM(E239:J239)</x:f>
        <x:v>1</x:v>
      </x:c>
      <x:c r="L239" s="204" t="n">
        <x:v>729.6149365697264</x:v>
      </x:c>
      <x:c r="M239" s="205" t="n">
        <x:f>IFERROR(K239/L239,0)</x:f>
        <x:v>0.0013705859760786763</x:v>
      </x:c>
      <x:c r="N239" s="160" t="str">
        <x:v>Hartford</x:v>
      </x:c>
      <x:c r="O239" s="160" t="str">
        <x:v>Includes proxy city rows</x:v>
      </x:c>
      <x:c r="P239" s="160" t="str">
        <x:v>Aggregated from 1 city/municipality screening rows; overlapping catchments are not deduplicated.</x:v>
      </x:c>
      <x:c r="Q239" s="160" t="str">
        <x:v>Estimated county land area: geodesic polygon × 0.972 land/total calibration</x:v>
      </x:c>
    </x:row>
    <x:row r="240">
      <x:c r="A240" s="28" t="n">
        <x:v>245</x:v>
      </x:c>
      <x:c r="B240" s="28" t="str">
        <x:v>Allegheny County</x:v>
      </x:c>
      <x:c r="C240" s="28" t="str">
        <x:v>PA</x:v>
      </x:c>
      <x:c r="D240" s="28" t="str">
        <x:v>42003</x:v>
      </x:c>
      <x:c r="E240" s="28" t="n">
        <x:f>SUMIFS('City Density Ranking'!$E$6:$E$974,'City Density Ranking'!$O$6:$O$974,B240,'City Density Ranking'!$C$6:$C$974,C240)</x:f>
        <x:v>0</x:v>
      </x:c>
      <x:c r="F240" s="28" t="n">
        <x:f>SUMIFS('City Density Ranking'!$F$6:$F$974,'City Density Ranking'!$O$6:$O$974,B240,'City Density Ranking'!$C$6:$C$974,C240)</x:f>
        <x:v>0</x:v>
      </x:c>
      <x:c r="G240" s="28" t="n">
        <x:f>SUMIFS('City Density Ranking'!$G$6:$G$974,'City Density Ranking'!$O$6:$O$974,B240,'City Density Ranking'!$C$6:$C$974,C240)</x:f>
        <x:v>0</x:v>
      </x:c>
      <x:c r="H240" s="28" t="n">
        <x:f>SUMIFS('City Density Ranking'!$H$6:$H$974,'City Density Ranking'!$O$6:$O$974,B240,'City Density Ranking'!$C$6:$C$974,C240)</x:f>
        <x:v>0</x:v>
      </x:c>
      <x:c r="I240" s="28" t="n">
        <x:f>SUMIFS('City Density Ranking'!$I$6:$I$974,'City Density Ranking'!$O$6:$O$974,B240,'City Density Ranking'!$C$6:$C$974,C240)</x:f>
        <x:v>0</x:v>
      </x:c>
      <x:c r="J240" s="28" t="n">
        <x:f>SUMIFS('City Density Ranking'!$J$6:$J$974,'City Density Ranking'!$O$6:$O$974,B240,'City Density Ranking'!$C$6:$C$974,C240)</x:f>
        <x:v>1</x:v>
      </x:c>
      <x:c r="K240" s="28" t="n">
        <x:f>SUM(E240:J240)</x:f>
        <x:v>1</x:v>
      </x:c>
      <x:c r="L240" s="204" t="n">
        <x:v>729.954</x:v>
      </x:c>
      <x:c r="M240" s="205" t="n">
        <x:f>IFERROR(K240/L240,0)</x:f>
        <x:v>0.0013699493392734339</x:v>
      </x:c>
      <x:c r="N240" s="160" t="str">
        <x:v>Pittsburgh</x:v>
      </x:c>
      <x:c r="O240" s="160" t="str">
        <x:v>Includes proxy city rows</x:v>
      </x:c>
      <x:c r="P240" s="160" t="str">
        <x:v>Aggregated from 1 city/municipality screening rows; overlapping catchments are not deduplicated.</x:v>
      </x:c>
      <x:c r="Q240" s="160" t="str">
        <x:v>Verified Census land area (retained)</x:v>
      </x:c>
    </x:row>
    <x:row r="241">
      <x:c r="A241" s="28" t="n">
        <x:v>246</x:v>
      </x:c>
      <x:c r="B241" s="28" t="str">
        <x:v>Richland County</x:v>
      </x:c>
      <x:c r="C241" s="28" t="str">
        <x:v>SC</x:v>
      </x:c>
      <x:c r="D241" s="28" t="str">
        <x:v>45079</x:v>
      </x:c>
      <x:c r="E241" s="28" t="n">
        <x:f>SUMIFS('City Density Ranking'!$E$6:$E$974,'City Density Ranking'!$O$6:$O$974,B241,'City Density Ranking'!$C$6:$C$974,C241)</x:f>
        <x:v>0</x:v>
      </x:c>
      <x:c r="F241" s="28" t="n">
        <x:f>SUMIFS('City Density Ranking'!$F$6:$F$974,'City Density Ranking'!$O$6:$O$974,B241,'City Density Ranking'!$C$6:$C$974,C241)</x:f>
        <x:v>0</x:v>
      </x:c>
      <x:c r="G241" s="28" t="n">
        <x:f>SUMIFS('City Density Ranking'!$G$6:$G$974,'City Density Ranking'!$O$6:$O$974,B241,'City Density Ranking'!$C$6:$C$974,C241)</x:f>
        <x:v>0</x:v>
      </x:c>
      <x:c r="H241" s="28" t="n">
        <x:f>SUMIFS('City Density Ranking'!$H$6:$H$974,'City Density Ranking'!$O$6:$O$974,B241,'City Density Ranking'!$C$6:$C$974,C241)</x:f>
        <x:v>0</x:v>
      </x:c>
      <x:c r="I241" s="28" t="n">
        <x:f>SUMIFS('City Density Ranking'!$I$6:$I$974,'City Density Ranking'!$O$6:$O$974,B241,'City Density Ranking'!$C$6:$C$974,C241)</x:f>
        <x:v>0</x:v>
      </x:c>
      <x:c r="J241" s="28" t="n">
        <x:f>SUMIFS('City Density Ranking'!$J$6:$J$974,'City Density Ranking'!$O$6:$O$974,B241,'City Density Ranking'!$C$6:$C$974,C241)</x:f>
        <x:v>1</x:v>
      </x:c>
      <x:c r="K241" s="28" t="n">
        <x:f>SUM(E241:J241)</x:f>
        <x:v>1</x:v>
      </x:c>
      <x:c r="L241" s="204" t="n">
        <x:v>750.2752050051201</x:v>
      </x:c>
      <x:c r="M241" s="205" t="n">
        <x:f>IFERROR(K241/L241,0)</x:f>
        <x:v>0.001332844259451671</x:v>
      </x:c>
      <x:c r="N241" s="160" t="str">
        <x:v>Columbia</x:v>
      </x:c>
      <x:c r="O241" s="160" t="str">
        <x:v>Includes proxy city rows</x:v>
      </x:c>
      <x:c r="P241" s="160" t="str">
        <x:v>Aggregated from 1 city/municipality screening rows; overlapping catchments are not deduplicated.</x:v>
      </x:c>
      <x:c r="Q241" s="160" t="str">
        <x:v>Estimated county land area: geodesic polygon × 0.972 land/total calibration</x:v>
      </x:c>
    </x:row>
    <x:row r="242">
      <x:c r="A242" s="28" t="n">
        <x:v>247</x:v>
      </x:c>
      <x:c r="B242" s="28" t="str">
        <x:v>Shelby County</x:v>
      </x:c>
      <x:c r="C242" s="28" t="str">
        <x:v>TN</x:v>
      </x:c>
      <x:c r="D242" s="28" t="str">
        <x:v>47157</x:v>
      </x:c>
      <x:c r="E242" s="28" t="n">
        <x:f>SUMIFS('City Density Ranking'!$E$6:$E$974,'City Density Ranking'!$O$6:$O$974,B242,'City Density Ranking'!$C$6:$C$974,C242)</x:f>
        <x:v>1</x:v>
      </x:c>
      <x:c r="F242" s="28" t="n">
        <x:f>SUMIFS('City Density Ranking'!$F$6:$F$974,'City Density Ranking'!$O$6:$O$974,B242,'City Density Ranking'!$C$6:$C$974,C242)</x:f>
        <x:v>0</x:v>
      </x:c>
      <x:c r="G242" s="28" t="n">
        <x:f>SUMIFS('City Density Ranking'!$G$6:$G$974,'City Density Ranking'!$O$6:$O$974,B242,'City Density Ranking'!$C$6:$C$974,C242)</x:f>
        <x:v>0</x:v>
      </x:c>
      <x:c r="H242" s="28" t="n">
        <x:f>SUMIFS('City Density Ranking'!$H$6:$H$974,'City Density Ranking'!$O$6:$O$974,B242,'City Density Ranking'!$C$6:$C$974,C242)</x:f>
        <x:v>0</x:v>
      </x:c>
      <x:c r="I242" s="28" t="n">
        <x:f>SUMIFS('City Density Ranking'!$I$6:$I$974,'City Density Ranking'!$O$6:$O$974,B242,'City Density Ranking'!$C$6:$C$974,C242)</x:f>
        <x:v>0</x:v>
      </x:c>
      <x:c r="J242" s="28" t="n">
        <x:f>SUMIFS('City Density Ranking'!$J$6:$J$974,'City Density Ranking'!$O$6:$O$974,B242,'City Density Ranking'!$C$6:$C$974,C242)</x:f>
        <x:v>0</x:v>
      </x:c>
      <x:c r="K242" s="28" t="n">
        <x:f>SUM(E242:J242)</x:f>
        <x:v>1</x:v>
      </x:c>
      <x:c r="L242" s="204" t="n">
        <x:v>760.554</x:v>
      </x:c>
      <x:c r="M242" s="205" t="n">
        <x:f>IFERROR(K242/L242,0)</x:f>
        <x:v>0.001314831031064198</x:v>
      </x:c>
      <x:c r="N242" s="160" t="str">
        <x:v>Memphis</x:v>
      </x:c>
      <x:c r="O242" s="160" t="str">
        <x:v>Lower-bound city counts only</x:v>
      </x:c>
      <x:c r="P242" s="160" t="str">
        <x:v>Aggregated from 1 city/municipality screening rows; overlapping catchments are not deduplicated.</x:v>
      </x:c>
      <x:c r="Q242" s="160" t="str">
        <x:v>Verified Census land area (retained)</x:v>
      </x:c>
    </x:row>
    <x:row r="243">
      <x:c r="A243" s="28" t="n">
        <x:v>248</x:v>
      </x:c>
      <x:c r="B243" s="28" t="str">
        <x:v>Hidalgo County</x:v>
      </x:c>
      <x:c r="C243" s="28" t="str">
        <x:v>TX</x:v>
      </x:c>
      <x:c r="D243" s="28" t="str">
        <x:v>48215</x:v>
      </x:c>
      <x:c r="E243" s="28" t="n">
        <x:f>SUMIFS('City Density Ranking'!$E$6:$E$974,'City Density Ranking'!$O$6:$O$974,B243,'City Density Ranking'!$C$6:$C$974,C243)</x:f>
        <x:v>0</x:v>
      </x:c>
      <x:c r="F243" s="28" t="n">
        <x:f>SUMIFS('City Density Ranking'!$F$6:$F$974,'City Density Ranking'!$O$6:$O$974,B243,'City Density Ranking'!$C$6:$C$974,C243)</x:f>
        <x:v>0</x:v>
      </x:c>
      <x:c r="G243" s="28" t="n">
        <x:f>SUMIFS('City Density Ranking'!$G$6:$G$974,'City Density Ranking'!$O$6:$O$974,B243,'City Density Ranking'!$C$6:$C$974,C243)</x:f>
        <x:v>0</x:v>
      </x:c>
      <x:c r="H243" s="28" t="n">
        <x:f>SUMIFS('City Density Ranking'!$H$6:$H$974,'City Density Ranking'!$O$6:$O$974,B243,'City Density Ranking'!$C$6:$C$974,C243)</x:f>
        <x:v>0</x:v>
      </x:c>
      <x:c r="I243" s="28" t="n">
        <x:f>SUMIFS('City Density Ranking'!$I$6:$I$974,'City Density Ranking'!$O$6:$O$974,B243,'City Density Ranking'!$C$6:$C$974,C243)</x:f>
        <x:v>0</x:v>
      </x:c>
      <x:c r="J243" s="28" t="n">
        <x:f>SUMIFS('City Density Ranking'!$J$6:$J$974,'City Density Ranking'!$O$6:$O$974,B243,'City Density Ranking'!$C$6:$C$974,C243)</x:f>
        <x:v>2</x:v>
      </x:c>
      <x:c r="K243" s="28" t="n">
        <x:f>SUM(E243:J243)</x:f>
        <x:v>2</x:v>
      </x:c>
      <x:c r="L243" s="204" t="n">
        <x:v>1539.709547173673</x:v>
      </x:c>
      <x:c r="M243" s="205" t="n">
        <x:f>IFERROR(K243/L243,0)</x:f>
        <x:v>0.0012989462874158618</x:v>
      </x:c>
      <x:c r="N243" s="160" t="str">
        <x:v>Edinburg, McAllen</x:v>
      </x:c>
      <x:c r="O243" s="160" t="str">
        <x:v>Includes proxy city rows</x:v>
      </x:c>
      <x:c r="P243" s="160" t="str">
        <x:v>Aggregated from 2 city/municipality screening rows; overlapping catchments are not deduplicated.</x:v>
      </x:c>
      <x:c r="Q243" s="160" t="str">
        <x:v>Estimated county land area: geodesic polygon × 0.972 land/total calibration</x:v>
      </x:c>
    </x:row>
    <x:row r="244">
      <x:c r="A244" s="28" t="n">
        <x:v>249</x:v>
      </x:c>
      <x:c r="B244" s="28" t="str">
        <x:v>Pulaski County</x:v>
      </x:c>
      <x:c r="C244" s="28" t="str">
        <x:v>AR</x:v>
      </x:c>
      <x:c r="D244" s="28" t="str">
        <x:v>05119</x:v>
      </x:c>
      <x:c r="E244" s="28" t="n">
        <x:f>SUMIFS('City Density Ranking'!$E$6:$E$974,'City Density Ranking'!$O$6:$O$974,B244,'City Density Ranking'!$C$6:$C$974,C244)</x:f>
        <x:v>0</x:v>
      </x:c>
      <x:c r="F244" s="28" t="n">
        <x:f>SUMIFS('City Density Ranking'!$F$6:$F$974,'City Density Ranking'!$O$6:$O$974,B244,'City Density Ranking'!$C$6:$C$974,C244)</x:f>
        <x:v>0</x:v>
      </x:c>
      <x:c r="G244" s="28" t="n">
        <x:f>SUMIFS('City Density Ranking'!$G$6:$G$974,'City Density Ranking'!$O$6:$O$974,B244,'City Density Ranking'!$C$6:$C$974,C244)</x:f>
        <x:v>0</x:v>
      </x:c>
      <x:c r="H244" s="28" t="n">
        <x:f>SUMIFS('City Density Ranking'!$H$6:$H$974,'City Density Ranking'!$O$6:$O$974,B244,'City Density Ranking'!$C$6:$C$974,C244)</x:f>
        <x:v>0</x:v>
      </x:c>
      <x:c r="I244" s="28" t="n">
        <x:f>SUMIFS('City Density Ranking'!$I$6:$I$974,'City Density Ranking'!$O$6:$O$974,B244,'City Density Ranking'!$C$6:$C$974,C244)</x:f>
        <x:v>0</x:v>
      </x:c>
      <x:c r="J244" s="28" t="n">
        <x:f>SUMIFS('City Density Ranking'!$J$6:$J$974,'City Density Ranking'!$O$6:$O$974,B244,'City Density Ranking'!$C$6:$C$974,C244)</x:f>
        <x:v>1</x:v>
      </x:c>
      <x:c r="K244" s="28" t="n">
        <x:f>SUM(E244:J244)</x:f>
        <x:v>1</x:v>
      </x:c>
      <x:c r="L244" s="204" t="n">
        <x:v>785.1605689061838</x:v>
      </x:c>
      <x:c r="M244" s="205" t="n">
        <x:f>IFERROR(K244/L244,0)</x:f>
        <x:v>0.001273624834972433</x:v>
      </x:c>
      <x:c r="N244" s="160" t="str">
        <x:v>Little Rock</x:v>
      </x:c>
      <x:c r="O244" s="160" t="str">
        <x:v>Includes proxy city rows</x:v>
      </x:c>
      <x:c r="P244" s="160" t="str">
        <x:v>Aggregated from 1 city/municipality screening rows; overlapping catchments are not deduplicated.</x:v>
      </x:c>
      <x:c r="Q244" s="160" t="str">
        <x:v>Estimated county land area: geodesic polygon × 0.972 land/total calibration</x:v>
      </x:c>
    </x:row>
    <x:row r="245">
      <x:c r="A245" s="28" t="n">
        <x:v>250</x:v>
      </x:c>
      <x:c r="B245" s="28" t="str">
        <x:v>Montgomery County</x:v>
      </x:c>
      <x:c r="C245" s="28" t="str">
        <x:v>AL</x:v>
      </x:c>
      <x:c r="D245" s="28" t="str">
        <x:v>01101</x:v>
      </x:c>
      <x:c r="E245" s="28" t="n">
        <x:f>SUMIFS('City Density Ranking'!$E$6:$E$974,'City Density Ranking'!$O$6:$O$974,B245,'City Density Ranking'!$C$6:$C$974,C245)</x:f>
        <x:v>0</x:v>
      </x:c>
      <x:c r="F245" s="28" t="n">
        <x:f>SUMIFS('City Density Ranking'!$F$6:$F$974,'City Density Ranking'!$O$6:$O$974,B245,'City Density Ranking'!$C$6:$C$974,C245)</x:f>
        <x:v>0</x:v>
      </x:c>
      <x:c r="G245" s="28" t="n">
        <x:f>SUMIFS('City Density Ranking'!$G$6:$G$974,'City Density Ranking'!$O$6:$O$974,B245,'City Density Ranking'!$C$6:$C$974,C245)</x:f>
        <x:v>0</x:v>
      </x:c>
      <x:c r="H245" s="28" t="n">
        <x:f>SUMIFS('City Density Ranking'!$H$6:$H$974,'City Density Ranking'!$O$6:$O$974,B245,'City Density Ranking'!$C$6:$C$974,C245)</x:f>
        <x:v>0</x:v>
      </x:c>
      <x:c r="I245" s="28" t="n">
        <x:f>SUMIFS('City Density Ranking'!$I$6:$I$974,'City Density Ranking'!$O$6:$O$974,B245,'City Density Ranking'!$C$6:$C$974,C245)</x:f>
        <x:v>0</x:v>
      </x:c>
      <x:c r="J245" s="28" t="n">
        <x:f>SUMIFS('City Density Ranking'!$J$6:$J$974,'City Density Ranking'!$O$6:$O$974,B245,'City Density Ranking'!$C$6:$C$974,C245)</x:f>
        <x:v>1</x:v>
      </x:c>
      <x:c r="K245" s="28" t="n">
        <x:f>SUM(E245:J245)</x:f>
        <x:v>1</x:v>
      </x:c>
      <x:c r="L245" s="204" t="n">
        <x:v>791.0975934472375</x:v>
      </x:c>
      <x:c r="M245" s="205" t="n">
        <x:f>IFERROR(K245/L245,0)</x:f>
        <x:v>0.0012640665428426629</x:v>
      </x:c>
      <x:c r="N245" s="160" t="str">
        <x:v>Montgomery</x:v>
      </x:c>
      <x:c r="O245" s="160" t="str">
        <x:v>Includes proxy city rows</x:v>
      </x:c>
      <x:c r="P245" s="160" t="str">
        <x:v>Aggregated from 1 city/municipality screening rows; overlapping catchments are not deduplicated.</x:v>
      </x:c>
      <x:c r="Q245" s="160" t="str">
        <x:v>Estimated county land area: geodesic polygon × 0.989 land/total calibration</x:v>
      </x:c>
    </x:row>
    <x:row r="246">
      <x:c r="A246" s="28" t="n">
        <x:v>251</x:v>
      </x:c>
      <x:c r="B246" s="28" t="str">
        <x:v>Minnehaha County</x:v>
      </x:c>
      <x:c r="C246" s="28" t="str">
        <x:v>SD</x:v>
      </x:c>
      <x:c r="D246" s="28" t="str">
        <x:v>46099</x:v>
      </x:c>
      <x:c r="E246" s="28" t="n">
        <x:f>SUMIFS('City Density Ranking'!$E$6:$E$974,'City Density Ranking'!$O$6:$O$974,B246,'City Density Ranking'!$C$6:$C$974,C246)</x:f>
        <x:v>0</x:v>
      </x:c>
      <x:c r="F246" s="28" t="n">
        <x:f>SUMIFS('City Density Ranking'!$F$6:$F$974,'City Density Ranking'!$O$6:$O$974,B246,'City Density Ranking'!$C$6:$C$974,C246)</x:f>
        <x:v>0</x:v>
      </x:c>
      <x:c r="G246" s="28" t="n">
        <x:f>SUMIFS('City Density Ranking'!$G$6:$G$974,'City Density Ranking'!$O$6:$O$974,B246,'City Density Ranking'!$C$6:$C$974,C246)</x:f>
        <x:v>0</x:v>
      </x:c>
      <x:c r="H246" s="28" t="n">
        <x:f>SUMIFS('City Density Ranking'!$H$6:$H$974,'City Density Ranking'!$O$6:$O$974,B246,'City Density Ranking'!$C$6:$C$974,C246)</x:f>
        <x:v>0</x:v>
      </x:c>
      <x:c r="I246" s="28" t="n">
        <x:f>SUMIFS('City Density Ranking'!$I$6:$I$974,'City Density Ranking'!$O$6:$O$974,B246,'City Density Ranking'!$C$6:$C$974,C246)</x:f>
        <x:v>0</x:v>
      </x:c>
      <x:c r="J246" s="28" t="n">
        <x:f>SUMIFS('City Density Ranking'!$J$6:$J$974,'City Density Ranking'!$O$6:$O$974,B246,'City Density Ranking'!$C$6:$C$974,C246)</x:f>
        <x:v>1</x:v>
      </x:c>
      <x:c r="K246" s="28" t="n">
        <x:f>SUM(E246:J246)</x:f>
        <x:v>1</x:v>
      </x:c>
      <x:c r="L246" s="204" t="n">
        <x:v>791.1189653705478</x:v>
      </x:c>
      <x:c r="M246" s="205" t="n">
        <x:f>IFERROR(K246/L246,0)</x:f>
        <x:v>0.0012640323943335318</x:v>
      </x:c>
      <x:c r="N246" s="160" t="str">
        <x:v>Sioux Falls</x:v>
      </x:c>
      <x:c r="O246" s="160" t="str">
        <x:v>Includes proxy city rows</x:v>
      </x:c>
      <x:c r="P246" s="160" t="str">
        <x:v>Aggregated from 1 city/municipality screening rows; overlapping catchments are not deduplicated.</x:v>
      </x:c>
      <x:c r="Q246" s="160" t="str">
        <x:v>Estimated county land area: geodesic polygon × 0.972 land/total calibration</x:v>
      </x:c>
    </x:row>
    <x:row r="247">
      <x:c r="A247" s="28" t="n">
        <x:v>252</x:v>
      </x:c>
      <x:c r="B247" s="28" t="str">
        <x:v>Onondaga County</x:v>
      </x:c>
      <x:c r="C247" s="28" t="str">
        <x:v>NY</x:v>
      </x:c>
      <x:c r="D247" s="28" t="str">
        <x:v>36067</x:v>
      </x:c>
      <x:c r="E247" s="28" t="n">
        <x:f>SUMIFS('City Density Ranking'!$E$6:$E$974,'City Density Ranking'!$O$6:$O$974,B247,'City Density Ranking'!$C$6:$C$974,C247)</x:f>
        <x:v>0</x:v>
      </x:c>
      <x:c r="F247" s="28" t="n">
        <x:f>SUMIFS('City Density Ranking'!$F$6:$F$974,'City Density Ranking'!$O$6:$O$974,B247,'City Density Ranking'!$C$6:$C$974,C247)</x:f>
        <x:v>0</x:v>
      </x:c>
      <x:c r="G247" s="28" t="n">
        <x:f>SUMIFS('City Density Ranking'!$G$6:$G$974,'City Density Ranking'!$O$6:$O$974,B247,'City Density Ranking'!$C$6:$C$974,C247)</x:f>
        <x:v>0</x:v>
      </x:c>
      <x:c r="H247" s="28" t="n">
        <x:f>SUMIFS('City Density Ranking'!$H$6:$H$974,'City Density Ranking'!$O$6:$O$974,B247,'City Density Ranking'!$C$6:$C$974,C247)</x:f>
        <x:v>0</x:v>
      </x:c>
      <x:c r="I247" s="28" t="n">
        <x:f>SUMIFS('City Density Ranking'!$I$6:$I$974,'City Density Ranking'!$O$6:$O$974,B247,'City Density Ranking'!$C$6:$C$974,C247)</x:f>
        <x:v>0</x:v>
      </x:c>
      <x:c r="J247" s="28" t="n">
        <x:f>SUMIFS('City Density Ranking'!$J$6:$J$974,'City Density Ranking'!$O$6:$O$974,B247,'City Density Ranking'!$C$6:$C$974,C247)</x:f>
        <x:v>1</x:v>
      </x:c>
      <x:c r="K247" s="28" t="n">
        <x:f>SUM(E247:J247)</x:f>
        <x:v>1</x:v>
      </x:c>
      <x:c r="L247" s="204" t="n">
        <x:v>793.4099085510569</x:v>
      </x:c>
      <x:c r="M247" s="205" t="n">
        <x:f>IFERROR(K247/L247,0)</x:f>
        <x:v>0.0012603825452926628</x:v>
      </x:c>
      <x:c r="N247" s="160" t="str">
        <x:v>Syracuse</x:v>
      </x:c>
      <x:c r="O247" s="160" t="str">
        <x:v>Includes proxy city rows</x:v>
      </x:c>
      <x:c r="P247" s="160" t="str">
        <x:v>Aggregated from 1 city/municipality screening rows; overlapping catchments are not deduplicated.</x:v>
      </x:c>
      <x:c r="Q247" s="160" t="str">
        <x:v>Estimated county land area: geodesic polygon × 0.985 land/total calibration</x:v>
      </x:c>
    </x:row>
    <x:row r="248">
      <x:c r="A248" t="n">
        <x:v>253</x:v>
      </x:c>
      <x:c r="B248" t="str">
        <x:v>Erie County</x:v>
      </x:c>
      <x:c r="C248" t="str">
        <x:v>PA</x:v>
      </x:c>
      <x:c r="D248" t="str">
        <x:v>42049</x:v>
      </x:c>
      <x:c r="E248" t="n">
        <x:f>SUMIFS('City Density Ranking'!$E$6:$E$974,'City Density Ranking'!$O$6:$O$974,B248,'City Density Ranking'!$C$6:$C$974,C248)</x:f>
        <x:v>0</x:v>
      </x:c>
      <x:c r="F248" t="n">
        <x:f>SUMIFS('City Density Ranking'!$F$6:$F$974,'City Density Ranking'!$O$6:$O$974,B248,'City Density Ranking'!$C$6:$C$974,C248)</x:f>
        <x:v>0</x:v>
      </x:c>
      <x:c r="G248" t="n">
        <x:f>SUMIFS('City Density Ranking'!$G$6:$G$974,'City Density Ranking'!$O$6:$O$974,B248,'City Density Ranking'!$C$6:$C$974,C248)</x:f>
        <x:v>0</x:v>
      </x:c>
      <x:c r="H248" t="n">
        <x:f>SUMIFS('City Density Ranking'!$H$6:$H$974,'City Density Ranking'!$O$6:$O$974,B248,'City Density Ranking'!$C$6:$C$974,C248)</x:f>
        <x:v>0</x:v>
      </x:c>
      <x:c r="I248" t="n">
        <x:f>SUMIFS('City Density Ranking'!$I$6:$I$974,'City Density Ranking'!$O$6:$O$974,B248,'City Density Ranking'!$C$6:$C$974,C248)</x:f>
        <x:v>0</x:v>
      </x:c>
      <x:c r="J248" t="n">
        <x:f>SUMIFS('City Density Ranking'!$J$6:$J$974,'City Density Ranking'!$O$6:$O$974,B248,'City Density Ranking'!$C$6:$C$974,C248)</x:f>
        <x:v>1</x:v>
      </x:c>
      <x:c r="K248" t="n">
        <x:f>SUM(E248:J248)</x:f>
        <x:v>1</x:v>
      </x:c>
      <x:c r="L248" s="161" t="n">
        <x:v>798.91</x:v>
      </x:c>
      <x:c r="M248" s="163" t="n">
        <x:f>IFERROR(K248/L248,0)</x:f>
        <x:v>0.001251705448673818</x:v>
      </x:c>
      <x:c r="N248" s="160" t="str">
        <x:v>Erie</x:v>
      </x:c>
      <x:c r="O248" s="160" t="str">
        <x:v>Includes proxy city rows</x:v>
      </x:c>
      <x:c r="P248" s="160" t="str">
        <x:v>Aggregated from 1 city/municipality screening rows; overlapping catchments are not deduplicated.</x:v>
      </x:c>
      <x:c r="Q248" s="160" t="str">
        <x:v>Verified Census QuickFacts land area (2020 geography)</x:v>
      </x:c>
    </x:row>
    <x:row r="249">
      <x:c r="A249" t="n">
        <x:v>254</x:v>
      </x:c>
      <x:c r="B249" t="str">
        <x:v>Madison County</x:v>
      </x:c>
      <x:c r="C249" t="str">
        <x:v>AL</x:v>
      </x:c>
      <x:c r="D249" t="str">
        <x:v>01089</x:v>
      </x:c>
      <x:c r="E249" t="n">
        <x:f>SUMIFS('City Density Ranking'!$E$6:$E$974,'City Density Ranking'!$O$6:$O$974,B249,'City Density Ranking'!$C$6:$C$974,C249)</x:f>
        <x:v>0</x:v>
      </x:c>
      <x:c r="F249" t="n">
        <x:f>SUMIFS('City Density Ranking'!$F$6:$F$974,'City Density Ranking'!$O$6:$O$974,B249,'City Density Ranking'!$C$6:$C$974,C249)</x:f>
        <x:v>0</x:v>
      </x:c>
      <x:c r="G249" t="n">
        <x:f>SUMIFS('City Density Ranking'!$G$6:$G$974,'City Density Ranking'!$O$6:$O$974,B249,'City Density Ranking'!$C$6:$C$974,C249)</x:f>
        <x:v>0</x:v>
      </x:c>
      <x:c r="H249" t="n">
        <x:f>SUMIFS('City Density Ranking'!$H$6:$H$974,'City Density Ranking'!$O$6:$O$974,B249,'City Density Ranking'!$C$6:$C$974,C249)</x:f>
        <x:v>0</x:v>
      </x:c>
      <x:c r="I249" t="n">
        <x:f>SUMIFS('City Density Ranking'!$I$6:$I$974,'City Density Ranking'!$O$6:$O$974,B249,'City Density Ranking'!$C$6:$C$974,C249)</x:f>
        <x:v>0</x:v>
      </x:c>
      <x:c r="J249" t="n">
        <x:f>SUMIFS('City Density Ranking'!$J$6:$J$974,'City Density Ranking'!$O$6:$O$974,B249,'City Density Ranking'!$C$6:$C$974,C249)</x:f>
        <x:v>1</x:v>
      </x:c>
      <x:c r="K249" t="n">
        <x:f>SUM(E249:J249)</x:f>
        <x:v>1</x:v>
      </x:c>
      <x:c r="L249" s="161" t="n">
        <x:v>803.7990610919065</x:v>
      </x:c>
      <x:c r="M249" s="163" t="n">
        <x:f>IFERROR(K249/L249,0)</x:f>
        <x:v>0.0012440920230008328</x:v>
      </x:c>
      <x:c r="N249" s="160" t="str">
        <x:v>Huntsville</x:v>
      </x:c>
      <x:c r="O249" s="160" t="str">
        <x:v>Includes proxy city rows</x:v>
      </x:c>
      <x:c r="P249" s="160" t="str">
        <x:v>Aggregated from 1 city/municipality screening rows; overlapping catchments are not deduplicated.</x:v>
      </x:c>
      <x:c r="Q249" s="160" t="str">
        <x:v>Estimated county land area: geodesic polygon × 0.989 land/total calibration</x:v>
      </x:c>
    </x:row>
    <x:row r="250">
      <x:c r="A250" t="n">
        <x:v>255</x:v>
      </x:c>
      <x:c r="B250" t="str">
        <x:v>Lee County</x:v>
      </x:c>
      <x:c r="C250" t="str">
        <x:v>FL</x:v>
      </x:c>
      <x:c r="D250" t="str">
        <x:v>12071</x:v>
      </x:c>
      <x:c r="E250" t="n">
        <x:f>SUMIFS('City Density Ranking'!$E$6:$E$974,'City Density Ranking'!$O$6:$O$974,B250,'City Density Ranking'!$C$6:$C$974,C250)</x:f>
        <x:v>0</x:v>
      </x:c>
      <x:c r="F250" t="n">
        <x:f>SUMIFS('City Density Ranking'!$F$6:$F$974,'City Density Ranking'!$O$6:$O$974,B250,'City Density Ranking'!$C$6:$C$974,C250)</x:f>
        <x:v>0</x:v>
      </x:c>
      <x:c r="G250" t="n">
        <x:f>SUMIFS('City Density Ranking'!$G$6:$G$974,'City Density Ranking'!$O$6:$O$974,B250,'City Density Ranking'!$C$6:$C$974,C250)</x:f>
        <x:v>0</x:v>
      </x:c>
      <x:c r="H250" t="n">
        <x:f>SUMIFS('City Density Ranking'!$H$6:$H$974,'City Density Ranking'!$O$6:$O$974,B250,'City Density Ranking'!$C$6:$C$974,C250)</x:f>
        <x:v>0</x:v>
      </x:c>
      <x:c r="I250" t="n">
        <x:f>SUMIFS('City Density Ranking'!$I$6:$I$974,'City Density Ranking'!$O$6:$O$974,B250,'City Density Ranking'!$C$6:$C$974,C250)</x:f>
        <x:v>0</x:v>
      </x:c>
      <x:c r="J250" t="n">
        <x:f>SUMIFS('City Density Ranking'!$J$6:$J$974,'City Density Ranking'!$O$6:$O$974,B250,'City Density Ranking'!$C$6:$C$974,C250)</x:f>
        <x:v>1</x:v>
      </x:c>
      <x:c r="K250" t="n">
        <x:f>SUM(E250:J250)</x:f>
        <x:v>1</x:v>
      </x:c>
      <x:c r="L250" s="161" t="n">
        <x:v>805.1584978902681</x:v>
      </x:c>
      <x:c r="M250" s="163" t="n">
        <x:f>IFERROR(K250/L250,0)</x:f>
        <x:v>0.0012419914869187484</x:v>
      </x:c>
      <x:c r="N250" s="160" t="str">
        <x:v>Cape Coral</x:v>
      </x:c>
      <x:c r="O250" s="160" t="str">
        <x:v>Includes proxy city rows</x:v>
      </x:c>
      <x:c r="P250" s="160" t="str">
        <x:v>Aggregated from 1 city/municipality screening rows; overlapping catchments are not deduplicated.</x:v>
      </x:c>
      <x:c r="Q250" s="160" t="str">
        <x:v>Estimated county land area: geodesic polygon × 0.900 land/total calibration</x:v>
      </x:c>
    </x:row>
    <x:row r="251">
      <x:c r="A251" t="n">
        <x:v>256</x:v>
      </x:c>
      <x:c r="B251" t="str">
        <x:v>Cumberland County</x:v>
      </x:c>
      <x:c r="C251" t="str">
        <x:v>ME</x:v>
      </x:c>
      <x:c r="D251" t="str">
        <x:v>23005</x:v>
      </x:c>
      <x:c r="E251" t="n">
        <x:f>SUMIFS('City Density Ranking'!$E$6:$E$974,'City Density Ranking'!$O$6:$O$974,B251,'City Density Ranking'!$C$6:$C$974,C251)</x:f>
        <x:v>1</x:v>
      </x:c>
      <x:c r="F251" t="n">
        <x:f>SUMIFS('City Density Ranking'!$F$6:$F$974,'City Density Ranking'!$O$6:$O$974,B251,'City Density Ranking'!$C$6:$C$974,C251)</x:f>
        <x:v>0</x:v>
      </x:c>
      <x:c r="G251" t="n">
        <x:f>SUMIFS('City Density Ranking'!$G$6:$G$974,'City Density Ranking'!$O$6:$O$974,B251,'City Density Ranking'!$C$6:$C$974,C251)</x:f>
        <x:v>0</x:v>
      </x:c>
      <x:c r="H251" t="n">
        <x:f>SUMIFS('City Density Ranking'!$H$6:$H$974,'City Density Ranking'!$O$6:$O$974,B251,'City Density Ranking'!$C$6:$C$974,C251)</x:f>
        <x:v>0</x:v>
      </x:c>
      <x:c r="I251" t="n">
        <x:f>SUMIFS('City Density Ranking'!$I$6:$I$974,'City Density Ranking'!$O$6:$O$974,B251,'City Density Ranking'!$C$6:$C$974,C251)</x:f>
        <x:v>0</x:v>
      </x:c>
      <x:c r="J251" t="n">
        <x:f>SUMIFS('City Density Ranking'!$J$6:$J$974,'City Density Ranking'!$O$6:$O$974,B251,'City Density Ranking'!$C$6:$C$974,C251)</x:f>
        <x:v>0</x:v>
      </x:c>
      <x:c r="K251" t="n">
        <x:f>SUM(E251:J251)</x:f>
        <x:v>1</x:v>
      </x:c>
      <x:c r="L251" s="161" t="n">
        <x:v>836.22</x:v>
      </x:c>
      <x:c r="M251" s="163" t="n">
        <x:f>IFERROR(K251/L251,0)</x:f>
        <x:v>0.0011958575494487097</x:v>
      </x:c>
      <x:c r="N251" s="160" t="str">
        <x:v>Portland</x:v>
      </x:c>
      <x:c r="O251" s="160" t="str">
        <x:v>Lower-bound city counts only</x:v>
      </x:c>
      <x:c r="P251" s="160" t="str">
        <x:v>Aggregated from 1 city/municipality screening rows; overlapping catchments are not deduplicated.</x:v>
      </x:c>
      <x:c r="Q251" s="160" t="str">
        <x:v>Verified Census QuickFacts land area (2020 geography)</x:v>
      </x:c>
    </x:row>
    <x:row r="252">
      <x:c r="A252" t="n">
        <x:v>257</x:v>
      </x:c>
      <x:c r="B252" t="str">
        <x:v>Lancaster County</x:v>
      </x:c>
      <x:c r="C252" t="str">
        <x:v>NE</x:v>
      </x:c>
      <x:c r="D252" t="str">
        <x:v>31109</x:v>
      </x:c>
      <x:c r="E252" t="n">
        <x:f>SUMIFS('City Density Ranking'!$E$6:$E$974,'City Density Ranking'!$O$6:$O$974,B252,'City Density Ranking'!$C$6:$C$974,C252)</x:f>
        <x:v>0</x:v>
      </x:c>
      <x:c r="F252" t="n">
        <x:f>SUMIFS('City Density Ranking'!$F$6:$F$974,'City Density Ranking'!$O$6:$O$974,B252,'City Density Ranking'!$C$6:$C$974,C252)</x:f>
        <x:v>0</x:v>
      </x:c>
      <x:c r="G252" t="n">
        <x:f>SUMIFS('City Density Ranking'!$G$6:$G$974,'City Density Ranking'!$O$6:$O$974,B252,'City Density Ranking'!$C$6:$C$974,C252)</x:f>
        <x:v>0</x:v>
      </x:c>
      <x:c r="H252" t="n">
        <x:f>SUMIFS('City Density Ranking'!$H$6:$H$974,'City Density Ranking'!$O$6:$O$974,B252,'City Density Ranking'!$C$6:$C$974,C252)</x:f>
        <x:v>0</x:v>
      </x:c>
      <x:c r="I252" t="n">
        <x:f>SUMIFS('City Density Ranking'!$I$6:$I$974,'City Density Ranking'!$O$6:$O$974,B252,'City Density Ranking'!$C$6:$C$974,C252)</x:f>
        <x:v>0</x:v>
      </x:c>
      <x:c r="J252" t="n">
        <x:f>SUMIFS('City Density Ranking'!$J$6:$J$974,'City Density Ranking'!$O$6:$O$974,B252,'City Density Ranking'!$C$6:$C$974,C252)</x:f>
        <x:v>1</x:v>
      </x:c>
      <x:c r="K252" t="n">
        <x:f>SUM(E252:J252)</x:f>
        <x:v>1</x:v>
      </x:c>
      <x:c r="L252" s="161" t="n">
        <x:v>837.561</x:v>
      </x:c>
      <x:c r="M252" s="163" t="n">
        <x:f>IFERROR(K252/L252,0)</x:f>
        <x:v>0.0011939428889358506</x:v>
      </x:c>
      <x:c r="N252" s="160" t="str">
        <x:v>Lincoln</x:v>
      </x:c>
      <x:c r="O252" s="160" t="str">
        <x:v>Includes proxy city rows</x:v>
      </x:c>
      <x:c r="P252" s="160" t="str">
        <x:v>Aggregated from 1 city/municipality screening rows; overlapping catchments are not deduplicated.</x:v>
      </x:c>
      <x:c r="Q252" s="160" t="str">
        <x:v>Verified Census land area (retained)</x:v>
      </x:c>
    </x:row>
    <x:row r="253">
      <x:c r="A253" t="n">
        <x:v>258</x:v>
      </x:c>
      <x:c r="B253" t="str">
        <x:v>Will County</x:v>
      </x:c>
      <x:c r="C253" t="str">
        <x:v>IL</x:v>
      </x:c>
      <x:c r="D253" t="str">
        <x:v>17197</x:v>
      </x:c>
      <x:c r="E253" t="n">
        <x:f>SUMIFS('City Density Ranking'!$E$6:$E$974,'City Density Ranking'!$O$6:$O$974,B253,'City Density Ranking'!$C$6:$C$974,C253)</x:f>
        <x:v>0</x:v>
      </x:c>
      <x:c r="F253" t="n">
        <x:f>SUMIFS('City Density Ranking'!$F$6:$F$974,'City Density Ranking'!$O$6:$O$974,B253,'City Density Ranking'!$C$6:$C$974,C253)</x:f>
        <x:v>0</x:v>
      </x:c>
      <x:c r="G253" t="n">
        <x:f>SUMIFS('City Density Ranking'!$G$6:$G$974,'City Density Ranking'!$O$6:$O$974,B253,'City Density Ranking'!$C$6:$C$974,C253)</x:f>
        <x:v>0</x:v>
      </x:c>
      <x:c r="H253" t="n">
        <x:f>SUMIFS('City Density Ranking'!$H$6:$H$974,'City Density Ranking'!$O$6:$O$974,B253,'City Density Ranking'!$C$6:$C$974,C253)</x:f>
        <x:v>0</x:v>
      </x:c>
      <x:c r="I253" t="n">
        <x:f>SUMIFS('City Density Ranking'!$I$6:$I$974,'City Density Ranking'!$O$6:$O$974,B253,'City Density Ranking'!$C$6:$C$974,C253)</x:f>
        <x:v>0</x:v>
      </x:c>
      <x:c r="J253" t="n">
        <x:f>SUMIFS('City Density Ranking'!$J$6:$J$974,'City Density Ranking'!$O$6:$O$974,B253,'City Density Ranking'!$C$6:$C$974,C253)</x:f>
        <x:v>1</x:v>
      </x:c>
      <x:c r="K253" t="n">
        <x:f>SUM(E253:J253)</x:f>
        <x:v>1</x:v>
      </x:c>
      <x:c r="L253" s="161" t="n">
        <x:v>838.5956485379925</x:v>
      </x:c>
      <x:c r="M253" s="163" t="n">
        <x:f>IFERROR(K253/L253,0)</x:f>
        <x:v>0.0011924698175376893</x:v>
      </x:c>
      <x:c r="N253" s="160" t="str">
        <x:v>Joliet</x:v>
      </x:c>
      <x:c r="O253" s="160" t="str">
        <x:v>Includes proxy city rows</x:v>
      </x:c>
      <x:c r="P253" s="160" t="str">
        <x:v>Aggregated from 1 city/municipality screening rows; overlapping catchments are not deduplicated.</x:v>
      </x:c>
      <x:c r="Q253" s="160" t="str">
        <x:v>Estimated county land area: geodesic polygon × 0.987 land/total calibration</x:v>
      </x:c>
    </x:row>
    <x:row r="254">
      <x:c r="A254" t="n">
        <x:v>259</x:v>
      </x:c>
      <x:c r="B254" t="str">
        <x:v>Nueces County</x:v>
      </x:c>
      <x:c r="C254" t="str">
        <x:v>TX</x:v>
      </x:c>
      <x:c r="D254" t="str">
        <x:v>48355</x:v>
      </x:c>
      <x:c r="E254" t="n">
        <x:f>SUMIFS('City Density Ranking'!$E$6:$E$974,'City Density Ranking'!$O$6:$O$974,B254,'City Density Ranking'!$C$6:$C$974,C254)</x:f>
        <x:v>0</x:v>
      </x:c>
      <x:c r="F254" t="n">
        <x:f>SUMIFS('City Density Ranking'!$F$6:$F$974,'City Density Ranking'!$O$6:$O$974,B254,'City Density Ranking'!$C$6:$C$974,C254)</x:f>
        <x:v>0</x:v>
      </x:c>
      <x:c r="G254" t="n">
        <x:f>SUMIFS('City Density Ranking'!$G$6:$G$974,'City Density Ranking'!$O$6:$O$974,B254,'City Density Ranking'!$C$6:$C$974,C254)</x:f>
        <x:v>0</x:v>
      </x:c>
      <x:c r="H254" t="n">
        <x:f>SUMIFS('City Density Ranking'!$H$6:$H$974,'City Density Ranking'!$O$6:$O$974,B254,'City Density Ranking'!$C$6:$C$974,C254)</x:f>
        <x:v>0</x:v>
      </x:c>
      <x:c r="I254" t="n">
        <x:f>SUMIFS('City Density Ranking'!$I$6:$I$974,'City Density Ranking'!$O$6:$O$974,B254,'City Density Ranking'!$C$6:$C$974,C254)</x:f>
        <x:v>0</x:v>
      </x:c>
      <x:c r="J254" t="n">
        <x:f>SUMIFS('City Density Ranking'!$J$6:$J$974,'City Density Ranking'!$O$6:$O$974,B254,'City Density Ranking'!$C$6:$C$974,C254)</x:f>
        <x:v>1</x:v>
      </x:c>
      <x:c r="K254" t="n">
        <x:f>SUM(E254:J254)</x:f>
        <x:v>1</x:v>
      </x:c>
      <x:c r="L254" s="161" t="n">
        <x:v>839.065</x:v>
      </x:c>
      <x:c r="M254" s="163" t="n">
        <x:f>IFERROR(K254/L254,0)</x:f>
        <x:v>0.0011918027804758869</x:v>
      </x:c>
      <x:c r="N254" s="160" t="str">
        <x:v>Corpus Christi</x:v>
      </x:c>
      <x:c r="O254" s="160" t="str">
        <x:v>Includes proxy city rows</x:v>
      </x:c>
      <x:c r="P254" s="160" t="str">
        <x:v>Aggregated from 1 city/municipality screening rows; overlapping catchments are not deduplicated.</x:v>
      </x:c>
      <x:c r="Q254" s="160" t="str">
        <x:v>Verified Census land area (retained)</x:v>
      </x:c>
    </x:row>
    <x:row r="255">
      <x:c r="A255" t="n">
        <x:v>260</x:v>
      </x:c>
      <x:c r="B255" t="str">
        <x:v>Kent County</x:v>
      </x:c>
      <x:c r="C255" t="str">
        <x:v>MI</x:v>
      </x:c>
      <x:c r="D255" t="str">
        <x:v>26081</x:v>
      </x:c>
      <x:c r="E255" t="n">
        <x:f>SUMIFS('City Density Ranking'!$E$6:$E$974,'City Density Ranking'!$O$6:$O$974,B255,'City Density Ranking'!$C$6:$C$974,C255)</x:f>
        <x:v>0</x:v>
      </x:c>
      <x:c r="F255" t="n">
        <x:f>SUMIFS('City Density Ranking'!$F$6:$F$974,'City Density Ranking'!$O$6:$O$974,B255,'City Density Ranking'!$C$6:$C$974,C255)</x:f>
        <x:v>0</x:v>
      </x:c>
      <x:c r="G255" t="n">
        <x:f>SUMIFS('City Density Ranking'!$G$6:$G$974,'City Density Ranking'!$O$6:$O$974,B255,'City Density Ranking'!$C$6:$C$974,C255)</x:f>
        <x:v>0</x:v>
      </x:c>
      <x:c r="H255" t="n">
        <x:f>SUMIFS('City Density Ranking'!$H$6:$H$974,'City Density Ranking'!$O$6:$O$974,B255,'City Density Ranking'!$C$6:$C$974,C255)</x:f>
        <x:v>0</x:v>
      </x:c>
      <x:c r="I255" t="n">
        <x:f>SUMIFS('City Density Ranking'!$I$6:$I$974,'City Density Ranking'!$O$6:$O$974,B255,'City Density Ranking'!$C$6:$C$974,C255)</x:f>
        <x:v>0</x:v>
      </x:c>
      <x:c r="J255" t="n">
        <x:f>SUMIFS('City Density Ranking'!$J$6:$J$974,'City Density Ranking'!$O$6:$O$974,B255,'City Density Ranking'!$C$6:$C$974,C255)</x:f>
        <x:v>1</x:v>
      </x:c>
      <x:c r="K255" t="n">
        <x:f>SUM(E255:J255)</x:f>
        <x:v>1</x:v>
      </x:c>
      <x:c r="L255" s="161" t="n">
        <x:v>840.5733690626423</x:v>
      </x:c>
      <x:c r="M255" s="163" t="n">
        <x:f>IFERROR(K255/L255,0)</x:f>
        <x:v>0.0011896641468848114</x:v>
      </x:c>
      <x:c r="N255" s="160" t="str">
        <x:v>Grand Rapids</x:v>
      </x:c>
      <x:c r="O255" s="160" t="str">
        <x:v>Includes proxy city rows</x:v>
      </x:c>
      <x:c r="P255" s="160" t="str">
        <x:v>Aggregated from 1 city/municipality screening rows; overlapping catchments are not deduplicated.</x:v>
      </x:c>
      <x:c r="Q255" s="160" t="str">
        <x:v>Estimated county land area: geodesic polygon × 0.964 land/total calibration</x:v>
      </x:c>
    </x:row>
    <x:row r="256">
      <x:c r="A256" t="n">
        <x:v>261</x:v>
      </x:c>
      <x:c r="B256" t="str">
        <x:v>Hinds County</x:v>
      </x:c>
      <x:c r="C256" t="str">
        <x:v>MS</x:v>
      </x:c>
      <x:c r="D256" t="str">
        <x:v>28049</x:v>
      </x:c>
      <x:c r="E256" t="n">
        <x:f>SUMIFS('City Density Ranking'!$E$6:$E$974,'City Density Ranking'!$O$6:$O$974,B256,'City Density Ranking'!$C$6:$C$974,C256)</x:f>
        <x:v>0</x:v>
      </x:c>
      <x:c r="F256" t="n">
        <x:f>SUMIFS('City Density Ranking'!$F$6:$F$974,'City Density Ranking'!$O$6:$O$974,B256,'City Density Ranking'!$C$6:$C$974,C256)</x:f>
        <x:v>0</x:v>
      </x:c>
      <x:c r="G256" t="n">
        <x:f>SUMIFS('City Density Ranking'!$G$6:$G$974,'City Density Ranking'!$O$6:$O$974,B256,'City Density Ranking'!$C$6:$C$974,C256)</x:f>
        <x:v>0</x:v>
      </x:c>
      <x:c r="H256" t="n">
        <x:f>SUMIFS('City Density Ranking'!$H$6:$H$974,'City Density Ranking'!$O$6:$O$974,B256,'City Density Ranking'!$C$6:$C$974,C256)</x:f>
        <x:v>0</x:v>
      </x:c>
      <x:c r="I256" t="n">
        <x:f>SUMIFS('City Density Ranking'!$I$6:$I$974,'City Density Ranking'!$O$6:$O$974,B256,'City Density Ranking'!$C$6:$C$974,C256)</x:f>
        <x:v>0</x:v>
      </x:c>
      <x:c r="J256" t="n">
        <x:f>SUMIFS('City Density Ranking'!$J$6:$J$974,'City Density Ranking'!$O$6:$O$974,B256,'City Density Ranking'!$C$6:$C$974,C256)</x:f>
        <x:v>1</x:v>
      </x:c>
      <x:c r="K256" t="n">
        <x:f>SUM(E256:J256)</x:f>
        <x:v>1</x:v>
      </x:c>
      <x:c r="L256" s="161" t="n">
        <x:v>852.794261158701</x:v>
      </x:c>
      <x:c r="M256" s="163" t="n">
        <x:f>IFERROR(K256/L256,0)</x:f>
        <x:v>0.0011726157709378683</x:v>
      </x:c>
      <x:c r="N256" s="160" t="str">
        <x:v>Jackson</x:v>
      </x:c>
      <x:c r="O256" s="160" t="str">
        <x:v>Includes proxy city rows</x:v>
      </x:c>
      <x:c r="P256" s="160" t="str">
        <x:v>Aggregated from 1 city/municipality screening rows; overlapping catchments are not deduplicated.</x:v>
      </x:c>
      <x:c r="Q256" s="160" t="str">
        <x:v>Estimated county land area: geodesic polygon × 0.972 land/total calibration</x:v>
      </x:c>
    </x:row>
    <x:row r="257">
      <x:c r="A257" t="n">
        <x:v>262</x:v>
      </x:c>
      <x:c r="B257" t="str">
        <x:v>Berks County</x:v>
      </x:c>
      <x:c r="C257" t="str">
        <x:v>PA</x:v>
      </x:c>
      <x:c r="D257" t="str">
        <x:v>42011</x:v>
      </x:c>
      <x:c r="E257" t="n">
        <x:f>SUMIFS('City Density Ranking'!$E$6:$E$974,'City Density Ranking'!$O$6:$O$974,B257,'City Density Ranking'!$C$6:$C$974,C257)</x:f>
        <x:v>0</x:v>
      </x:c>
      <x:c r="F257" t="n">
        <x:f>SUMIFS('City Density Ranking'!$F$6:$F$974,'City Density Ranking'!$O$6:$O$974,B257,'City Density Ranking'!$C$6:$C$974,C257)</x:f>
        <x:v>0</x:v>
      </x:c>
      <x:c r="G257" t="n">
        <x:f>SUMIFS('City Density Ranking'!$G$6:$G$974,'City Density Ranking'!$O$6:$O$974,B257,'City Density Ranking'!$C$6:$C$974,C257)</x:f>
        <x:v>0</x:v>
      </x:c>
      <x:c r="H257" t="n">
        <x:f>SUMIFS('City Density Ranking'!$H$6:$H$974,'City Density Ranking'!$O$6:$O$974,B257,'City Density Ranking'!$C$6:$C$974,C257)</x:f>
        <x:v>0</x:v>
      </x:c>
      <x:c r="I257" t="n">
        <x:f>SUMIFS('City Density Ranking'!$I$6:$I$974,'City Density Ranking'!$O$6:$O$974,B257,'City Density Ranking'!$C$6:$C$974,C257)</x:f>
        <x:v>0</x:v>
      </x:c>
      <x:c r="J257" t="n">
        <x:f>SUMIFS('City Density Ranking'!$J$6:$J$974,'City Density Ranking'!$O$6:$O$974,B257,'City Density Ranking'!$C$6:$C$974,C257)</x:f>
        <x:v>1</x:v>
      </x:c>
      <x:c r="K257" t="n">
        <x:f>SUM(E257:J257)</x:f>
        <x:v>1</x:v>
      </x:c>
      <x:c r="L257" s="161" t="n">
        <x:v>856.4</x:v>
      </x:c>
      <x:c r="M257" s="163" t="n">
        <x:f>IFERROR(K257/L257,0)</x:f>
        <x:v>0.0011676786548341896</x:v>
      </x:c>
      <x:c r="N257" s="160" t="str">
        <x:v>Reading</x:v>
      </x:c>
      <x:c r="O257" s="160" t="str">
        <x:v>Includes proxy city rows</x:v>
      </x:c>
      <x:c r="P257" s="160" t="str">
        <x:v>Aggregated from 1 city/municipality screening rows; overlapping catchments are not deduplicated.</x:v>
      </x:c>
      <x:c r="Q257" s="160" t="str">
        <x:v>Verified Census QuickFacts land area (2020 geography)</x:v>
      </x:c>
    </x:row>
    <x:row r="258">
      <x:c r="A258" t="n">
        <x:v>263</x:v>
      </x:c>
      <x:c r="B258" t="str">
        <x:v>Sangamon County</x:v>
      </x:c>
      <x:c r="C258" t="str">
        <x:v>IL</x:v>
      </x:c>
      <x:c r="D258" t="str">
        <x:v>17167</x:v>
      </x:c>
      <x:c r="E258" t="n">
        <x:f>SUMIFS('City Density Ranking'!$E$6:$E$974,'City Density Ranking'!$O$6:$O$974,B258,'City Density Ranking'!$C$6:$C$974,C258)</x:f>
        <x:v>0</x:v>
      </x:c>
      <x:c r="F258" t="n">
        <x:f>SUMIFS('City Density Ranking'!$F$6:$F$974,'City Density Ranking'!$O$6:$O$974,B258,'City Density Ranking'!$C$6:$C$974,C258)</x:f>
        <x:v>0</x:v>
      </x:c>
      <x:c r="G258" t="n">
        <x:f>SUMIFS('City Density Ranking'!$G$6:$G$974,'City Density Ranking'!$O$6:$O$974,B258,'City Density Ranking'!$C$6:$C$974,C258)</x:f>
        <x:v>0</x:v>
      </x:c>
      <x:c r="H258" t="n">
        <x:f>SUMIFS('City Density Ranking'!$H$6:$H$974,'City Density Ranking'!$O$6:$O$974,B258,'City Density Ranking'!$C$6:$C$974,C258)</x:f>
        <x:v>0</x:v>
      </x:c>
      <x:c r="I258" t="n">
        <x:f>SUMIFS('City Density Ranking'!$I$6:$I$974,'City Density Ranking'!$O$6:$O$974,B258,'City Density Ranking'!$C$6:$C$974,C258)</x:f>
        <x:v>0</x:v>
      </x:c>
      <x:c r="J258" t="n">
        <x:f>SUMIFS('City Density Ranking'!$J$6:$J$974,'City Density Ranking'!$O$6:$O$974,B258,'City Density Ranking'!$C$6:$C$974,C258)</x:f>
        <x:v>1</x:v>
      </x:c>
      <x:c r="K258" t="n">
        <x:f>SUM(E258:J258)</x:f>
        <x:v>1</x:v>
      </x:c>
      <x:c r="L258" s="161" t="n">
        <x:v>865.7812587438335</x:v>
      </x:c>
      <x:c r="M258" s="163" t="n">
        <x:f>IFERROR(K258/L258,0)</x:f>
        <x:v>0.0011550261568966105</x:v>
      </x:c>
      <x:c r="N258" s="160" t="str">
        <x:v>Springfield</x:v>
      </x:c>
      <x:c r="O258" s="160" t="str">
        <x:v>Includes proxy city rows</x:v>
      </x:c>
      <x:c r="P258" s="160" t="str">
        <x:v>Aggregated from 1 city/municipality screening rows; overlapping catchments are not deduplicated.</x:v>
      </x:c>
      <x:c r="Q258" s="160" t="str">
        <x:v>Estimated county land area: geodesic polygon × 0.987 land/total calibration</x:v>
      </x:c>
    </x:row>
    <x:row r="259" s="44" customFormat="1">
      <x:c r="A259" t="n">
        <x:v>264</x:v>
      </x:c>
      <x:c r="B259" t="str">
        <x:v>Hillsborough County</x:v>
      </x:c>
      <x:c r="C259" t="str">
        <x:v>NH</x:v>
      </x:c>
      <x:c r="D259" t="str">
        <x:v>33011</x:v>
      </x:c>
      <x:c r="E259" t="n">
        <x:f>SUMIFS('City Density Ranking'!$E$6:$E$974,'City Density Ranking'!$O$6:$O$974,B259,'City Density Ranking'!$C$6:$C$974,C259)</x:f>
        <x:v>0</x:v>
      </x:c>
      <x:c r="F259" t="n">
        <x:f>SUMIFS('City Density Ranking'!$F$6:$F$974,'City Density Ranking'!$O$6:$O$974,B259,'City Density Ranking'!$C$6:$C$974,C259)</x:f>
        <x:v>0</x:v>
      </x:c>
      <x:c r="G259" t="n">
        <x:f>SUMIFS('City Density Ranking'!$G$6:$G$974,'City Density Ranking'!$O$6:$O$974,B259,'City Density Ranking'!$C$6:$C$974,C259)</x:f>
        <x:v>0</x:v>
      </x:c>
      <x:c r="H259" t="n">
        <x:f>SUMIFS('City Density Ranking'!$H$6:$H$974,'City Density Ranking'!$O$6:$O$974,B259,'City Density Ranking'!$C$6:$C$974,C259)</x:f>
        <x:v>0</x:v>
      </x:c>
      <x:c r="I259" t="n">
        <x:f>SUMIFS('City Density Ranking'!$I$6:$I$974,'City Density Ranking'!$O$6:$O$974,B259,'City Density Ranking'!$C$6:$C$974,C259)</x:f>
        <x:v>0</x:v>
      </x:c>
      <x:c r="J259" t="n">
        <x:f>SUMIFS('City Density Ranking'!$J$6:$J$974,'City Density Ranking'!$O$6:$O$974,B259,'City Density Ranking'!$C$6:$C$974,C259)</x:f>
        <x:v>1</x:v>
      </x:c>
      <x:c r="K259" t="n">
        <x:f>SUM(E259:J259)</x:f>
        <x:v>1</x:v>
      </x:c>
      <x:c r="L259" s="161" t="n">
        <x:v>867.260958624448</x:v>
      </x:c>
      <x:c r="M259" s="163" t="n">
        <x:f>IFERROR(K259/L259,0)</x:f>
        <x:v>0.0011530554789253833</x:v>
      </x:c>
      <x:c r="N259" s="160" t="str">
        <x:v>Manchester</x:v>
      </x:c>
      <x:c r="O259" s="160" t="str">
        <x:v>Includes proxy city rows</x:v>
      </x:c>
      <x:c r="P259" s="160" t="str">
        <x:v>Aggregated from 1 city/municipality screening rows; overlapping catchments are not deduplicated.</x:v>
      </x:c>
      <x:c r="Q259" s="160" t="str">
        <x:v>Estimated county land area: geodesic polygon × 0.972 land/total calibration</x:v>
      </x:c>
    </x:row>
    <x:row r="260" s="44" customFormat="1">
      <x:c r="A260" s="1" t="n">
        <x:v>265</x:v>
      </x:c>
      <x:c r="B260" s="1" t="str">
        <x:v>Alachua County</x:v>
      </x:c>
      <x:c r="C260" s="1" t="str">
        <x:v>FL</x:v>
      </x:c>
      <x:c r="D260" s="1" t="str">
        <x:v>12001</x:v>
      </x:c>
      <x:c r="E260" s="1" t="n">
        <x:f>SUMIFS('City Density Ranking'!$E$6:$E$974,'City Density Ranking'!$O$6:$O$974,B260,'City Density Ranking'!$C$6:$C$974,C260)</x:f>
        <x:v>0</x:v>
      </x:c>
      <x:c r="F260" s="1" t="n">
        <x:f>SUMIFS('City Density Ranking'!$F$6:$F$974,'City Density Ranking'!$O$6:$O$974,B260,'City Density Ranking'!$C$6:$C$974,C260)</x:f>
        <x:v>0</x:v>
      </x:c>
      <x:c r="G260" s="1" t="n">
        <x:f>SUMIFS('City Density Ranking'!$G$6:$G$974,'City Density Ranking'!$O$6:$O$974,B260,'City Density Ranking'!$C$6:$C$974,C260)</x:f>
        <x:v>0</x:v>
      </x:c>
      <x:c r="H260" s="1" t="n">
        <x:f>SUMIFS('City Density Ranking'!$H$6:$H$974,'City Density Ranking'!$O$6:$O$974,B260,'City Density Ranking'!$C$6:$C$974,C260)</x:f>
        <x:v>0</x:v>
      </x:c>
      <x:c r="I260" s="1" t="n">
        <x:f>SUMIFS('City Density Ranking'!$I$6:$I$974,'City Density Ranking'!$O$6:$O$974,B260,'City Density Ranking'!$C$6:$C$974,C260)</x:f>
        <x:v>0</x:v>
      </x:c>
      <x:c r="J260" s="1" t="n">
        <x:f>SUMIFS('City Density Ranking'!$J$6:$J$974,'City Density Ranking'!$O$6:$O$974,B260,'City Density Ranking'!$C$6:$C$974,C260)</x:f>
        <x:v>1</x:v>
      </x:c>
      <x:c r="K260" s="1" t="n">
        <x:f>SUM(E260:J260)</x:f>
        <x:v>1</x:v>
      </x:c>
      <x:c r="L260" s="161" t="n">
        <x:v>871.9772109733914</x:v>
      </x:c>
      <x:c r="M260" s="163" t="n">
        <x:f>IFERROR(K260/L260,0)</x:f>
        <x:v>0.0011468189620273406</x:v>
      </x:c>
      <x:c r="N260" s="160" t="str">
        <x:v>Gainesville</x:v>
      </x:c>
      <x:c r="O260" s="160" t="str">
        <x:v>Includes proxy city rows</x:v>
      </x:c>
      <x:c r="P260" s="160" t="str">
        <x:v>Aggregated from 1 city/municipality screening rows; overlapping catchments are not deduplicated.</x:v>
      </x:c>
      <x:c r="Q260" s="160" t="str">
        <x:v>Estimated county land area: geodesic polygon × 0.900 land/total calibration</x:v>
      </x:c>
    </x:row>
    <x:row r="261" s="44" customFormat="1">
      <x:c r="A261" s="1" t="n">
        <x:v>266</x:v>
      </x:c>
      <x:c r="B261" s="1" t="str">
        <x:v>Ector County</x:v>
      </x:c>
      <x:c r="C261" s="1" t="str">
        <x:v>TX</x:v>
      </x:c>
      <x:c r="D261" s="1" t="str">
        <x:v>48135</x:v>
      </x:c>
      <x:c r="E261" s="1" t="n">
        <x:f>SUMIFS('City Density Ranking'!$E$6:$E$974,'City Density Ranking'!$O$6:$O$974,B261,'City Density Ranking'!$C$6:$C$974,C261)</x:f>
        <x:v>0</x:v>
      </x:c>
      <x:c r="F261" s="1" t="n">
        <x:f>SUMIFS('City Density Ranking'!$F$6:$F$974,'City Density Ranking'!$O$6:$O$974,B261,'City Density Ranking'!$C$6:$C$974,C261)</x:f>
        <x:v>0</x:v>
      </x:c>
      <x:c r="G261" s="1" t="n">
        <x:f>SUMIFS('City Density Ranking'!$G$6:$G$974,'City Density Ranking'!$O$6:$O$974,B261,'City Density Ranking'!$C$6:$C$974,C261)</x:f>
        <x:v>0</x:v>
      </x:c>
      <x:c r="H261" s="1" t="n">
        <x:f>SUMIFS('City Density Ranking'!$H$6:$H$974,'City Density Ranking'!$O$6:$O$974,B261,'City Density Ranking'!$C$6:$C$974,C261)</x:f>
        <x:v>0</x:v>
      </x:c>
      <x:c r="I261" s="1" t="n">
        <x:f>SUMIFS('City Density Ranking'!$I$6:$I$974,'City Density Ranking'!$O$6:$O$974,B261,'City Density Ranking'!$C$6:$C$974,C261)</x:f>
        <x:v>0</x:v>
      </x:c>
      <x:c r="J261" s="1" t="n">
        <x:f>SUMIFS('City Density Ranking'!$J$6:$J$974,'City Density Ranking'!$O$6:$O$974,B261,'City Density Ranking'!$C$6:$C$974,C261)</x:f>
        <x:v>1</x:v>
      </x:c>
      <x:c r="K261" s="1" t="n">
        <x:f>SUM(E261:J261)</x:f>
        <x:v>1</x:v>
      </x:c>
      <x:c r="L261" s="161" t="n">
        <x:v>875.8518064276055</x:v>
      </x:c>
      <x:c r="M261" s="163" t="n">
        <x:f>IFERROR(K261/L261,0)</x:f>
        <x:v>0.0011417456613793673</x:v>
      </x:c>
      <x:c r="N261" s="160" t="str">
        <x:v>Odessa</x:v>
      </x:c>
      <x:c r="O261" s="160" t="str">
        <x:v>Includes proxy city rows</x:v>
      </x:c>
      <x:c r="P261" s="160" t="str">
        <x:v>Aggregated from 1 city/municipality screening rows; overlapping catchments are not deduplicated.</x:v>
      </x:c>
      <x:c r="Q261" s="160" t="str">
        <x:v>Estimated county land area: geodesic polygon × 0.972 land/total calibration</x:v>
      </x:c>
    </x:row>
    <x:row r="262" s="44" customFormat="1">
      <x:c r="A262" s="1" t="n">
        <x:v>267</x:v>
      </x:c>
      <x:c r="B262" s="1" t="str">
        <x:v>Midland County</x:v>
      </x:c>
      <x:c r="C262" s="1" t="str">
        <x:v>TX</x:v>
      </x:c>
      <x:c r="D262" s="1" t="str">
        <x:v>48329</x:v>
      </x:c>
      <x:c r="E262" s="1" t="n">
        <x:f>SUMIFS('City Density Ranking'!$E$6:$E$974,'City Density Ranking'!$O$6:$O$974,B262,'City Density Ranking'!$C$6:$C$974,C262)</x:f>
        <x:v>0</x:v>
      </x:c>
      <x:c r="F262" s="1" t="n">
        <x:f>SUMIFS('City Density Ranking'!$F$6:$F$974,'City Density Ranking'!$O$6:$O$974,B262,'City Density Ranking'!$C$6:$C$974,C262)</x:f>
        <x:v>0</x:v>
      </x:c>
      <x:c r="G262" s="1" t="n">
        <x:f>SUMIFS('City Density Ranking'!$G$6:$G$974,'City Density Ranking'!$O$6:$O$974,B262,'City Density Ranking'!$C$6:$C$974,C262)</x:f>
        <x:v>0</x:v>
      </x:c>
      <x:c r="H262" s="1" t="n">
        <x:f>SUMIFS('City Density Ranking'!$H$6:$H$974,'City Density Ranking'!$O$6:$O$974,B262,'City Density Ranking'!$C$6:$C$974,C262)</x:f>
        <x:v>0</x:v>
      </x:c>
      <x:c r="I262" s="1" t="n">
        <x:f>SUMIFS('City Density Ranking'!$I$6:$I$974,'City Density Ranking'!$O$6:$O$974,B262,'City Density Ranking'!$C$6:$C$974,C262)</x:f>
        <x:v>0</x:v>
      </x:c>
      <x:c r="J262" s="1" t="n">
        <x:f>SUMIFS('City Density Ranking'!$J$6:$J$974,'City Density Ranking'!$O$6:$O$974,B262,'City Density Ranking'!$C$6:$C$974,C262)</x:f>
        <x:v>1</x:v>
      </x:c>
      <x:c r="K262" s="1" t="n">
        <x:f>SUM(E262:J262)</x:f>
        <x:v>1</x:v>
      </x:c>
      <x:c r="L262" s="161" t="n">
        <x:v>876.4124167454481</x:v>
      </x:c>
      <x:c r="M262" s="163" t="n">
        <x:f>IFERROR(K262/L262,0)</x:f>
        <x:v>0.0011410153266808948</x:v>
      </x:c>
      <x:c r="N262" s="160" t="str">
        <x:v>Midland</x:v>
      </x:c>
      <x:c r="O262" s="160" t="str">
        <x:v>Includes proxy city rows</x:v>
      </x:c>
      <x:c r="P262" s="160" t="str">
        <x:v>Aggregated from 1 city/municipality screening rows; overlapping catchments are not deduplicated.</x:v>
      </x:c>
      <x:c r="Q262" s="160" t="str">
        <x:v>Estimated county land area: geodesic polygon × 0.972 land/total calibration</x:v>
      </x:c>
    </x:row>
    <x:row r="263" s="44" customFormat="1">
      <x:c r="A263" s="1" t="n">
        <x:v>268</x:v>
      </x:c>
      <x:c r="B263" s="1" t="str">
        <x:v>Taylor County</x:v>
      </x:c>
      <x:c r="C263" s="1" t="str">
        <x:v>TX</x:v>
      </x:c>
      <x:c r="D263" s="1" t="str">
        <x:v>48441</x:v>
      </x:c>
      <x:c r="E263" s="1" t="n">
        <x:f>SUMIFS('City Density Ranking'!$E$6:$E$974,'City Density Ranking'!$O$6:$O$974,B263,'City Density Ranking'!$C$6:$C$974,C263)</x:f>
        <x:v>0</x:v>
      </x:c>
      <x:c r="F263" s="1" t="n">
        <x:f>SUMIFS('City Density Ranking'!$F$6:$F$974,'City Density Ranking'!$O$6:$O$974,B263,'City Density Ranking'!$C$6:$C$974,C263)</x:f>
        <x:v>0</x:v>
      </x:c>
      <x:c r="G263" s="1" t="n">
        <x:f>SUMIFS('City Density Ranking'!$G$6:$G$974,'City Density Ranking'!$O$6:$O$974,B263,'City Density Ranking'!$C$6:$C$974,C263)</x:f>
        <x:v>0</x:v>
      </x:c>
      <x:c r="H263" s="1" t="n">
        <x:f>SUMIFS('City Density Ranking'!$H$6:$H$974,'City Density Ranking'!$O$6:$O$974,B263,'City Density Ranking'!$C$6:$C$974,C263)</x:f>
        <x:v>0</x:v>
      </x:c>
      <x:c r="I263" s="1" t="n">
        <x:f>SUMIFS('City Density Ranking'!$I$6:$I$974,'City Density Ranking'!$O$6:$O$974,B263,'City Density Ranking'!$C$6:$C$974,C263)</x:f>
        <x:v>0</x:v>
      </x:c>
      <x:c r="J263" s="1" t="n">
        <x:f>SUMIFS('City Density Ranking'!$J$6:$J$974,'City Density Ranking'!$O$6:$O$974,B263,'City Density Ranking'!$C$6:$C$974,C263)</x:f>
        <x:v>1</x:v>
      </x:c>
      <x:c r="K263" s="1" t="n">
        <x:f>SUM(E263:J263)</x:f>
        <x:v>1</x:v>
      </x:c>
      <x:c r="L263" s="161" t="n">
        <x:v>893.2126227267951</x:v>
      </x:c>
      <x:c r="M263" s="163" t="n">
        <x:f>IFERROR(K263/L263,0)</x:f>
        <x:v>0.0011195542635158973</x:v>
      </x:c>
      <x:c r="N263" s="160" t="str">
        <x:v>Abilene</x:v>
      </x:c>
      <x:c r="O263" s="160" t="str">
        <x:v>Includes proxy city rows</x:v>
      </x:c>
      <x:c r="P263" s="160" t="str">
        <x:v>Aggregated from 1 city/municipality screening rows; overlapping catchments are not deduplicated.</x:v>
      </x:c>
      <x:c r="Q263" s="160" t="str">
        <x:v>Estimated county land area: geodesic polygon × 0.972 land/total calibration</x:v>
      </x:c>
    </x:row>
    <x:row r="264" s="44" customFormat="1">
      <x:c r="A264" s="1" t="n">
        <x:v>269</x:v>
      </x:c>
      <x:c r="B264" s="1" t="str">
        <x:v>Lubbock County</x:v>
      </x:c>
      <x:c r="C264" s="1" t="str">
        <x:v>TX</x:v>
      </x:c>
      <x:c r="D264" s="1" t="str">
        <x:v>48303</x:v>
      </x:c>
      <x:c r="E264" s="1" t="n">
        <x:f>SUMIFS('City Density Ranking'!$E$6:$E$974,'City Density Ranking'!$O$6:$O$974,B264,'City Density Ranking'!$C$6:$C$974,C264)</x:f>
        <x:v>0</x:v>
      </x:c>
      <x:c r="F264" s="1" t="n">
        <x:f>SUMIFS('City Density Ranking'!$F$6:$F$974,'City Density Ranking'!$O$6:$O$974,B264,'City Density Ranking'!$C$6:$C$974,C264)</x:f>
        <x:v>0</x:v>
      </x:c>
      <x:c r="G264" s="1" t="n">
        <x:f>SUMIFS('City Density Ranking'!$G$6:$G$974,'City Density Ranking'!$O$6:$O$974,B264,'City Density Ranking'!$C$6:$C$974,C264)</x:f>
        <x:v>0</x:v>
      </x:c>
      <x:c r="H264" s="1" t="n">
        <x:f>SUMIFS('City Density Ranking'!$H$6:$H$974,'City Density Ranking'!$O$6:$O$974,B264,'City Density Ranking'!$C$6:$C$974,C264)</x:f>
        <x:v>0</x:v>
      </x:c>
      <x:c r="I264" s="1" t="n">
        <x:f>SUMIFS('City Density Ranking'!$I$6:$I$974,'City Density Ranking'!$O$6:$O$974,B264,'City Density Ranking'!$C$6:$C$974,C264)</x:f>
        <x:v>0</x:v>
      </x:c>
      <x:c r="J264" s="1" t="n">
        <x:f>SUMIFS('City Density Ranking'!$J$6:$J$974,'City Density Ranking'!$O$6:$O$974,B264,'City Density Ranking'!$C$6:$C$974,C264)</x:f>
        <x:v>1</x:v>
      </x:c>
      <x:c r="K264" s="1" t="n">
        <x:f>SUM(E264:J264)</x:f>
        <x:v>1</x:v>
      </x:c>
      <x:c r="L264" s="161" t="n">
        <x:v>895.602</x:v>
      </x:c>
      <x:c r="M264" s="163" t="n">
        <x:f>IFERROR(K264/L264,0)</x:f>
        <x:v>0.0011165674038244667</x:v>
      </x:c>
      <x:c r="N264" s="160" t="str">
        <x:v>Lubbock</x:v>
      </x:c>
      <x:c r="O264" s="160" t="str">
        <x:v>Includes proxy city rows</x:v>
      </x:c>
      <x:c r="P264" s="160" t="str">
        <x:v>Aggregated from 1 city/municipality screening rows; overlapping catchments are not deduplicated.</x:v>
      </x:c>
      <x:c r="Q264" s="160" t="str">
        <x:v>Verified Census land area (retained)</x:v>
      </x:c>
    </x:row>
    <x:row r="265">
      <x:c r="A265" t="n">
        <x:v>270</x:v>
      </x:c>
      <x:c r="B265" t="str">
        <x:v>Potter County</x:v>
      </x:c>
      <x:c r="C265" t="str">
        <x:v>TX</x:v>
      </x:c>
      <x:c r="D265" t="str">
        <x:v>48375</x:v>
      </x:c>
      <x:c r="E265" t="n">
        <x:f>SUMIFS('City Density Ranking'!$E$6:$E$974,'City Density Ranking'!$O$6:$O$974,B265,'City Density Ranking'!$C$6:$C$974,C265)</x:f>
        <x:v>0</x:v>
      </x:c>
      <x:c r="F265" t="n">
        <x:f>SUMIFS('City Density Ranking'!$F$6:$F$974,'City Density Ranking'!$O$6:$O$974,B265,'City Density Ranking'!$C$6:$C$974,C265)</x:f>
        <x:v>0</x:v>
      </x:c>
      <x:c r="G265" t="n">
        <x:f>SUMIFS('City Density Ranking'!$G$6:$G$974,'City Density Ranking'!$O$6:$O$974,B265,'City Density Ranking'!$C$6:$C$974,C265)</x:f>
        <x:v>0</x:v>
      </x:c>
      <x:c r="H265" t="n">
        <x:f>SUMIFS('City Density Ranking'!$H$6:$H$974,'City Density Ranking'!$O$6:$O$974,B265,'City Density Ranking'!$C$6:$C$974,C265)</x:f>
        <x:v>0</x:v>
      </x:c>
      <x:c r="I265" t="n">
        <x:f>SUMIFS('City Density Ranking'!$I$6:$I$974,'City Density Ranking'!$O$6:$O$974,B265,'City Density Ranking'!$C$6:$C$974,C265)</x:f>
        <x:v>0</x:v>
      </x:c>
      <x:c r="J265" t="n">
        <x:f>SUMIFS('City Density Ranking'!$J$6:$J$974,'City Density Ranking'!$O$6:$O$974,B265,'City Density Ranking'!$C$6:$C$974,C265)</x:f>
        <x:v>1</x:v>
      </x:c>
      <x:c r="K265" t="n">
        <x:f>SUM(E265:J265)</x:f>
        <x:v>1</x:v>
      </x:c>
      <x:c r="L265" s="161" t="n">
        <x:v>895.8235565574591</x:v>
      </x:c>
      <x:c r="M265" s="163" t="n">
        <x:f>IFERROR(K265/L265,0)</x:f>
        <x:v>0.001116291252535129</x:v>
      </x:c>
      <x:c r="N265" s="160" t="str">
        <x:v>Amarillo</x:v>
      </x:c>
      <x:c r="O265" s="160" t="str">
        <x:v>Includes proxy city rows</x:v>
      </x:c>
      <x:c r="P265" s="160" t="str">
        <x:v>Aggregated from 1 city/municipality screening rows; overlapping catchments are not deduplicated.</x:v>
      </x:c>
      <x:c r="Q265" s="160" t="str">
        <x:v>Estimated county land area: geodesic polygon × 0.972 land/total calibration</x:v>
      </x:c>
    </x:row>
    <x:row r="266">
      <x:c r="A266" t="n">
        <x:v>271</x:v>
      </x:c>
      <x:c r="B266" t="str">
        <x:v>Smith County</x:v>
      </x:c>
      <x:c r="C266" t="str">
        <x:v>TX</x:v>
      </x:c>
      <x:c r="D266" t="str">
        <x:v>48423</x:v>
      </x:c>
      <x:c r="E266" t="n">
        <x:f>SUMIFS('City Density Ranking'!$E$6:$E$974,'City Density Ranking'!$O$6:$O$974,B266,'City Density Ranking'!$C$6:$C$974,C266)</x:f>
        <x:v>0</x:v>
      </x:c>
      <x:c r="F266" t="n">
        <x:f>SUMIFS('City Density Ranking'!$F$6:$F$974,'City Density Ranking'!$O$6:$O$974,B266,'City Density Ranking'!$C$6:$C$974,C266)</x:f>
        <x:v>0</x:v>
      </x:c>
      <x:c r="G266" t="n">
        <x:f>SUMIFS('City Density Ranking'!$G$6:$G$974,'City Density Ranking'!$O$6:$O$974,B266,'City Density Ranking'!$C$6:$C$974,C266)</x:f>
        <x:v>0</x:v>
      </x:c>
      <x:c r="H266" t="n">
        <x:f>SUMIFS('City Density Ranking'!$H$6:$H$974,'City Density Ranking'!$O$6:$O$974,B266,'City Density Ranking'!$C$6:$C$974,C266)</x:f>
        <x:v>0</x:v>
      </x:c>
      <x:c r="I266" t="n">
        <x:f>SUMIFS('City Density Ranking'!$I$6:$I$974,'City Density Ranking'!$O$6:$O$974,B266,'City Density Ranking'!$C$6:$C$974,C266)</x:f>
        <x:v>0</x:v>
      </x:c>
      <x:c r="J266" t="n">
        <x:f>SUMIFS('City Density Ranking'!$J$6:$J$974,'City Density Ranking'!$O$6:$O$974,B266,'City Density Ranking'!$C$6:$C$974,C266)</x:f>
        <x:v>1</x:v>
      </x:c>
      <x:c r="K266" t="n">
        <x:f>SUM(E266:J266)</x:f>
        <x:v>1</x:v>
      </x:c>
      <x:c r="L266" s="161" t="n">
        <x:v>922.841592402087</x:v>
      </x:c>
      <x:c r="M266" s="163" t="n">
        <x:f>IFERROR(K266/L266,0)</x:f>
        <x:v>0.0010836095904575296</x:v>
      </x:c>
      <x:c r="N266" s="160" t="str">
        <x:v>Tyler</x:v>
      </x:c>
      <x:c r="O266" s="160" t="str">
        <x:v>Includes proxy city rows</x:v>
      </x:c>
      <x:c r="P266" s="160" t="str">
        <x:v>Aggregated from 1 city/municipality screening rows; overlapping catchments are not deduplicated.</x:v>
      </x:c>
      <x:c r="Q266" s="160" t="str">
        <x:v>Estimated county land area: geodesic polygon × 0.972 land/total calibration</x:v>
      </x:c>
    </x:row>
    <x:row r="267">
      <x:c r="A267" t="n">
        <x:v>272</x:v>
      </x:c>
      <x:c r="B267" t="str">
        <x:v>Lancaster County</x:v>
      </x:c>
      <x:c r="C267" t="str">
        <x:v>PA</x:v>
      </x:c>
      <x:c r="D267" t="str">
        <x:v>42071</x:v>
      </x:c>
      <x:c r="E267" t="n">
        <x:f>SUMIFS('City Density Ranking'!$E$6:$E$974,'City Density Ranking'!$O$6:$O$974,B267,'City Density Ranking'!$C$6:$C$974,C267)</x:f>
        <x:v>0</x:v>
      </x:c>
      <x:c r="F267" t="n">
        <x:f>SUMIFS('City Density Ranking'!$F$6:$F$974,'City Density Ranking'!$O$6:$O$974,B267,'City Density Ranking'!$C$6:$C$974,C267)</x:f>
        <x:v>0</x:v>
      </x:c>
      <x:c r="G267" t="n">
        <x:f>SUMIFS('City Density Ranking'!$G$6:$G$974,'City Density Ranking'!$O$6:$O$974,B267,'City Density Ranking'!$C$6:$C$974,C267)</x:f>
        <x:v>0</x:v>
      </x:c>
      <x:c r="H267" t="n">
        <x:f>SUMIFS('City Density Ranking'!$H$6:$H$974,'City Density Ranking'!$O$6:$O$974,B267,'City Density Ranking'!$C$6:$C$974,C267)</x:f>
        <x:v>0</x:v>
      </x:c>
      <x:c r="I267" t="n">
        <x:f>SUMIFS('City Density Ranking'!$I$6:$I$974,'City Density Ranking'!$O$6:$O$974,B267,'City Density Ranking'!$C$6:$C$974,C267)</x:f>
        <x:v>0</x:v>
      </x:c>
      <x:c r="J267" t="n">
        <x:f>SUMIFS('City Density Ranking'!$J$6:$J$974,'City Density Ranking'!$O$6:$O$974,B267,'City Density Ranking'!$C$6:$C$974,C267)</x:f>
        <x:v>1</x:v>
      </x:c>
      <x:c r="K267" t="n">
        <x:f>SUM(E267:J267)</x:f>
        <x:v>1</x:v>
      </x:c>
      <x:c r="L267" s="161" t="n">
        <x:v>943.92</x:v>
      </x:c>
      <x:c r="M267" s="163" t="n">
        <x:f>IFERROR(K267/L267,0)</x:f>
        <x:v>0.001059411814560556</x:v>
      </x:c>
      <x:c r="N267" s="160" t="str">
        <x:v>Lancaster</x:v>
      </x:c>
      <x:c r="O267" s="160" t="str">
        <x:v>Includes proxy city rows</x:v>
      </x:c>
      <x:c r="P267" s="160" t="str">
        <x:v>Aggregated from 1 city/municipality screening rows; overlapping catchments are not deduplicated.</x:v>
      </x:c>
      <x:c r="Q267" s="160" t="str">
        <x:v>Verified Census QuickFacts land area (2020 geography)</x:v>
      </x:c>
    </x:row>
    <x:row r="268">
      <x:c r="A268" t="n">
        <x:v>273</x:v>
      </x:c>
      <x:c r="B268" t="str">
        <x:v>Jefferson County</x:v>
      </x:c>
      <x:c r="C268" t="str">
        <x:v>TX</x:v>
      </x:c>
      <x:c r="D268" t="str">
        <x:v>48245</x:v>
      </x:c>
      <x:c r="E268" t="n">
        <x:f>SUMIFS('City Density Ranking'!$E$6:$E$974,'City Density Ranking'!$O$6:$O$974,B268,'City Density Ranking'!$C$6:$C$974,C268)</x:f>
        <x:v>0</x:v>
      </x:c>
      <x:c r="F268" t="n">
        <x:f>SUMIFS('City Density Ranking'!$F$6:$F$974,'City Density Ranking'!$O$6:$O$974,B268,'City Density Ranking'!$C$6:$C$974,C268)</x:f>
        <x:v>0</x:v>
      </x:c>
      <x:c r="G268" t="n">
        <x:f>SUMIFS('City Density Ranking'!$G$6:$G$974,'City Density Ranking'!$O$6:$O$974,B268,'City Density Ranking'!$C$6:$C$974,C268)</x:f>
        <x:v>0</x:v>
      </x:c>
      <x:c r="H268" t="n">
        <x:f>SUMIFS('City Density Ranking'!$H$6:$H$974,'City Density Ranking'!$O$6:$O$974,B268,'City Density Ranking'!$C$6:$C$974,C268)</x:f>
        <x:v>0</x:v>
      </x:c>
      <x:c r="I268" t="n">
        <x:f>SUMIFS('City Density Ranking'!$I$6:$I$974,'City Density Ranking'!$O$6:$O$974,B268,'City Density Ranking'!$C$6:$C$974,C268)</x:f>
        <x:v>0</x:v>
      </x:c>
      <x:c r="J268" t="n">
        <x:f>SUMIFS('City Density Ranking'!$J$6:$J$974,'City Density Ranking'!$O$6:$O$974,B268,'City Density Ranking'!$C$6:$C$974,C268)</x:f>
        <x:v>1</x:v>
      </x:c>
      <x:c r="K268" t="n">
        <x:f>SUM(E268:J268)</x:f>
        <x:v>1</x:v>
      </x:c>
      <x:c r="L268" s="161" t="n">
        <x:v>961.7140951975806</x:v>
      </x:c>
      <x:c r="M268" s="163" t="n">
        <x:f>IFERROR(K268/L268,0)</x:f>
        <x:v>0.0010398100693268448</x:v>
      </x:c>
      <x:c r="N268" s="160" t="str">
        <x:v>Beaumont</x:v>
      </x:c>
      <x:c r="O268" s="160" t="str">
        <x:v>Includes proxy city rows</x:v>
      </x:c>
      <x:c r="P268" s="160" t="str">
        <x:v>Aggregated from 1 city/municipality screening rows; overlapping catchments are not deduplicated.</x:v>
      </x:c>
      <x:c r="Q268" s="160" t="str">
        <x:v>Estimated county land area: geodesic polygon × 0.972 land/total calibration</x:v>
      </x:c>
    </x:row>
    <x:row r="269">
      <x:c r="A269" t="n">
        <x:v>274</x:v>
      </x:c>
      <x:c r="B269" t="str">
        <x:v>Sedgwick County</x:v>
      </x:c>
      <x:c r="C269" t="str">
        <x:v>KS</x:v>
      </x:c>
      <x:c r="D269" t="str">
        <x:v>20173</x:v>
      </x:c>
      <x:c r="E269" t="n">
        <x:f>SUMIFS('City Density Ranking'!$E$6:$E$974,'City Density Ranking'!$O$6:$O$974,B269,'City Density Ranking'!$C$6:$C$974,C269)</x:f>
        <x:v>0</x:v>
      </x:c>
      <x:c r="F269" t="n">
        <x:f>SUMIFS('City Density Ranking'!$F$6:$F$974,'City Density Ranking'!$O$6:$O$974,B269,'City Density Ranking'!$C$6:$C$974,C269)</x:f>
        <x:v>0</x:v>
      </x:c>
      <x:c r="G269" t="n">
        <x:f>SUMIFS('City Density Ranking'!$G$6:$G$974,'City Density Ranking'!$O$6:$O$974,B269,'City Density Ranking'!$C$6:$C$974,C269)</x:f>
        <x:v>0</x:v>
      </x:c>
      <x:c r="H269" t="n">
        <x:f>SUMIFS('City Density Ranking'!$H$6:$H$974,'City Density Ranking'!$O$6:$O$974,B269,'City Density Ranking'!$C$6:$C$974,C269)</x:f>
        <x:v>0</x:v>
      </x:c>
      <x:c r="I269" t="n">
        <x:f>SUMIFS('City Density Ranking'!$I$6:$I$974,'City Density Ranking'!$O$6:$O$974,B269,'City Density Ranking'!$C$6:$C$974,C269)</x:f>
        <x:v>0</x:v>
      </x:c>
      <x:c r="J269" t="n">
        <x:f>SUMIFS('City Density Ranking'!$J$6:$J$974,'City Density Ranking'!$O$6:$O$974,B269,'City Density Ranking'!$C$6:$C$974,C269)</x:f>
        <x:v>1</x:v>
      </x:c>
      <x:c r="K269" t="n">
        <x:f>SUM(E269:J269)</x:f>
        <x:v>1</x:v>
      </x:c>
      <x:c r="L269" s="161" t="n">
        <x:v>996.936</x:v>
      </x:c>
      <x:c r="M269" s="163" t="n">
        <x:f>IFERROR(K269/L269,0)</x:f>
        <x:v>0.0010030734169495334</x:v>
      </x:c>
      <x:c r="N269" s="160" t="str">
        <x:v>Wichita</x:v>
      </x:c>
      <x:c r="O269" s="160" t="str">
        <x:v>Includes proxy city rows</x:v>
      </x:c>
      <x:c r="P269" s="160" t="str">
        <x:v>Aggregated from 1 city/municipality screening rows; overlapping catchments are not deduplicated.</x:v>
      </x:c>
      <x:c r="Q269" s="160" t="str">
        <x:v>Verified Census land area (retained)</x:v>
      </x:c>
    </x:row>
    <x:row r="270">
      <x:c r="A270" t="n">
        <x:v>275</x:v>
      </x:c>
      <x:c r="B270" t="str">
        <x:v>McLennan County</x:v>
      </x:c>
      <x:c r="C270" t="str">
        <x:v>TX</x:v>
      </x:c>
      <x:c r="D270" t="str">
        <x:v>48309</x:v>
      </x:c>
      <x:c r="E270" t="n">
        <x:f>SUMIFS('City Density Ranking'!$E$6:$E$974,'City Density Ranking'!$O$6:$O$974,B270,'City Density Ranking'!$C$6:$C$974,C270)</x:f>
        <x:v>0</x:v>
      </x:c>
      <x:c r="F270" t="n">
        <x:f>SUMIFS('City Density Ranking'!$F$6:$F$974,'City Density Ranking'!$O$6:$O$974,B270,'City Density Ranking'!$C$6:$C$974,C270)</x:f>
        <x:v>0</x:v>
      </x:c>
      <x:c r="G270" t="n">
        <x:f>SUMIFS('City Density Ranking'!$G$6:$G$974,'City Density Ranking'!$O$6:$O$974,B270,'City Density Ranking'!$C$6:$C$974,C270)</x:f>
        <x:v>0</x:v>
      </x:c>
      <x:c r="H270" t="n">
        <x:f>SUMIFS('City Density Ranking'!$H$6:$H$974,'City Density Ranking'!$O$6:$O$974,B270,'City Density Ranking'!$C$6:$C$974,C270)</x:f>
        <x:v>0</x:v>
      </x:c>
      <x:c r="I270" t="n">
        <x:f>SUMIFS('City Density Ranking'!$I$6:$I$974,'City Density Ranking'!$O$6:$O$974,B270,'City Density Ranking'!$C$6:$C$974,C270)</x:f>
        <x:v>0</x:v>
      </x:c>
      <x:c r="J270" t="n">
        <x:f>SUMIFS('City Density Ranking'!$J$6:$J$974,'City Density Ranking'!$O$6:$O$974,B270,'City Density Ranking'!$C$6:$C$974,C270)</x:f>
        <x:v>1</x:v>
      </x:c>
      <x:c r="K270" t="n">
        <x:f>SUM(E270:J270)</x:f>
        <x:v>1</x:v>
      </x:c>
      <x:c r="L270" s="161" t="n">
        <x:v>1030.200101383027</x:v>
      </x:c>
      <x:c r="M270" s="163" t="n">
        <x:f>IFERROR(K270/L270,0)</x:f>
        <x:v>0.0009706852082983841</x:v>
      </x:c>
      <x:c r="N270" s="160" t="str">
        <x:v>Waco</x:v>
      </x:c>
      <x:c r="O270" s="160" t="str">
        <x:v>Includes proxy city rows</x:v>
      </x:c>
      <x:c r="P270" s="160" t="str">
        <x:v>Aggregated from 1 city/municipality screening rows; overlapping catchments are not deduplicated.</x:v>
      </x:c>
      <x:c r="Q270" s="160" t="str">
        <x:v>Estimated county land area: geodesic polygon × 0.972 land/total calibration</x:v>
      </x:c>
    </x:row>
    <x:row r="271">
      <x:c r="A271" t="n">
        <x:v>276</x:v>
      </x:c>
      <x:c r="B271" t="str">
        <x:v>Erie County</x:v>
      </x:c>
      <x:c r="C271" t="str">
        <x:v>NY</x:v>
      </x:c>
      <x:c r="D271" t="str">
        <x:v>36029</x:v>
      </x:c>
      <x:c r="E271" t="n">
        <x:f>SUMIFS('City Density Ranking'!$E$6:$E$974,'City Density Ranking'!$O$6:$O$974,B271,'City Density Ranking'!$C$6:$C$974,C271)</x:f>
        <x:v>0</x:v>
      </x:c>
      <x:c r="F271" t="n">
        <x:f>SUMIFS('City Density Ranking'!$F$6:$F$974,'City Density Ranking'!$O$6:$O$974,B271,'City Density Ranking'!$C$6:$C$974,C271)</x:f>
        <x:v>0</x:v>
      </x:c>
      <x:c r="G271" t="n">
        <x:f>SUMIFS('City Density Ranking'!$G$6:$G$974,'City Density Ranking'!$O$6:$O$974,B271,'City Density Ranking'!$C$6:$C$974,C271)</x:f>
        <x:v>0</x:v>
      </x:c>
      <x:c r="H271" t="n">
        <x:f>SUMIFS('City Density Ranking'!$H$6:$H$974,'City Density Ranking'!$O$6:$O$974,B271,'City Density Ranking'!$C$6:$C$974,C271)</x:f>
        <x:v>0</x:v>
      </x:c>
      <x:c r="I271" t="n">
        <x:f>SUMIFS('City Density Ranking'!$I$6:$I$974,'City Density Ranking'!$O$6:$O$974,B271,'City Density Ranking'!$C$6:$C$974,C271)</x:f>
        <x:v>0</x:v>
      </x:c>
      <x:c r="J271" t="n">
        <x:f>SUMIFS('City Density Ranking'!$J$6:$J$974,'City Density Ranking'!$O$6:$O$974,B271,'City Density Ranking'!$C$6:$C$974,C271)</x:f>
        <x:v>1</x:v>
      </x:c>
      <x:c r="K271" t="n">
        <x:f>SUM(E271:J271)</x:f>
        <x:v>1</x:v>
      </x:c>
      <x:c r="L271" s="161" t="n">
        <x:v>1042.731</x:v>
      </x:c>
      <x:c r="M271" s="163" t="n">
        <x:f>IFERROR(K271/L271,0)</x:f>
        <x:v>0.0009590201116107606</x:v>
      </x:c>
      <x:c r="N271" s="160" t="str">
        <x:v>Buffalo</x:v>
      </x:c>
      <x:c r="O271" s="160" t="str">
        <x:v>Includes proxy city rows</x:v>
      </x:c>
      <x:c r="P271" s="160" t="str">
        <x:v>Aggregated from 1 city/municipality screening rows; overlapping catchments are not deduplicated.</x:v>
      </x:c>
      <x:c r="Q271" s="160" t="str">
        <x:v>Verified Census land area (retained)</x:v>
      </x:c>
    </x:row>
    <x:row r="272">
      <x:c r="A272" t="n">
        <x:v>277</x:v>
      </x:c>
      <x:c r="B272" t="str">
        <x:v>Montgomery County</x:v>
      </x:c>
      <x:c r="C272" t="str">
        <x:v>TX</x:v>
      </x:c>
      <x:c r="D272" t="str">
        <x:v>48339</x:v>
      </x:c>
      <x:c r="E272" t="n">
        <x:f>SUMIFS('City Density Ranking'!$E$6:$E$974,'City Density Ranking'!$O$6:$O$974,B272,'City Density Ranking'!$C$6:$C$974,C272)</x:f>
        <x:v>0</x:v>
      </x:c>
      <x:c r="F272" t="n">
        <x:f>SUMIFS('City Density Ranking'!$F$6:$F$974,'City Density Ranking'!$O$6:$O$974,B272,'City Density Ranking'!$C$6:$C$974,C272)</x:f>
        <x:v>0</x:v>
      </x:c>
      <x:c r="G272" t="n">
        <x:f>SUMIFS('City Density Ranking'!$G$6:$G$974,'City Density Ranking'!$O$6:$O$974,B272,'City Density Ranking'!$C$6:$C$974,C272)</x:f>
        <x:v>0</x:v>
      </x:c>
      <x:c r="H272" t="n">
        <x:f>SUMIFS('City Density Ranking'!$H$6:$H$974,'City Density Ranking'!$O$6:$O$974,B272,'City Density Ranking'!$C$6:$C$974,C272)</x:f>
        <x:v>0</x:v>
      </x:c>
      <x:c r="I272" t="n">
        <x:f>SUMIFS('City Density Ranking'!$I$6:$I$974,'City Density Ranking'!$O$6:$O$974,B272,'City Density Ranking'!$C$6:$C$974,C272)</x:f>
        <x:v>0</x:v>
      </x:c>
      <x:c r="J272" t="n">
        <x:f>SUMIFS('City Density Ranking'!$J$6:$J$974,'City Density Ranking'!$O$6:$O$974,B272,'City Density Ranking'!$C$6:$C$974,C272)</x:f>
        <x:v>1</x:v>
      </x:c>
      <x:c r="K272" t="n">
        <x:f>SUM(E272:J272)</x:f>
        <x:v>1</x:v>
      </x:c>
      <x:c r="L272" s="161" t="n">
        <x:v>1046.43136704836</x:v>
      </x:c>
      <x:c r="M272" s="163" t="n">
        <x:f>IFERROR(K272/L272,0)</x:f>
        <x:v>0.0009556288462765335</x:v>
      </x:c>
      <x:c r="N272" s="160" t="str">
        <x:v>Conroe</x:v>
      </x:c>
      <x:c r="O272" s="160" t="str">
        <x:v>Includes proxy city rows</x:v>
      </x:c>
      <x:c r="P272" s="160" t="str">
        <x:v>Aggregated from 1 city/municipality screening rows; overlapping catchments are not deduplicated.</x:v>
      </x:c>
      <x:c r="Q272" s="160" t="str">
        <x:v>Estimated county land area: geodesic polygon × 0.972 land/total calibration</x:v>
      </x:c>
    </x:row>
    <x:row r="273">
      <x:c r="A273" t="n">
        <x:v>278</x:v>
      </x:c>
      <x:c r="B273" t="str">
        <x:v>Bell County</x:v>
      </x:c>
      <x:c r="C273" t="str">
        <x:v>TX</x:v>
      </x:c>
      <x:c r="D273" t="str">
        <x:v>48027</x:v>
      </x:c>
      <x:c r="E273" t="n">
        <x:f>SUMIFS('City Density Ranking'!$E$6:$E$974,'City Density Ranking'!$O$6:$O$974,B273,'City Density Ranking'!$C$6:$C$974,C273)</x:f>
        <x:v>0</x:v>
      </x:c>
      <x:c r="F273" t="n">
        <x:f>SUMIFS('City Density Ranking'!$F$6:$F$974,'City Density Ranking'!$O$6:$O$974,B273,'City Density Ranking'!$C$6:$C$974,C273)</x:f>
        <x:v>0</x:v>
      </x:c>
      <x:c r="G273" t="n">
        <x:f>SUMIFS('City Density Ranking'!$G$6:$G$974,'City Density Ranking'!$O$6:$O$974,B273,'City Density Ranking'!$C$6:$C$974,C273)</x:f>
        <x:v>0</x:v>
      </x:c>
      <x:c r="H273" t="n">
        <x:f>SUMIFS('City Density Ranking'!$H$6:$H$974,'City Density Ranking'!$O$6:$O$974,B273,'City Density Ranking'!$C$6:$C$974,C273)</x:f>
        <x:v>0</x:v>
      </x:c>
      <x:c r="I273" t="n">
        <x:f>SUMIFS('City Density Ranking'!$I$6:$I$974,'City Density Ranking'!$O$6:$O$974,B273,'City Density Ranking'!$C$6:$C$974,C273)</x:f>
        <x:v>0</x:v>
      </x:c>
      <x:c r="J273" t="n">
        <x:f>SUMIFS('City Density Ranking'!$J$6:$J$974,'City Density Ranking'!$O$6:$O$974,B273,'City Density Ranking'!$C$6:$C$974,C273)</x:f>
        <x:v>1</x:v>
      </x:c>
      <x:c r="K273" t="n">
        <x:f>SUM(E273:J273)</x:f>
        <x:v>1</x:v>
      </x:c>
      <x:c r="L273" s="161" t="n">
        <x:v>1057.014211026266</x:v>
      </x:c>
      <x:c r="M273" s="163" t="n">
        <x:f>IFERROR(K273/L273,0)</x:f>
        <x:v>0.0009460610742679512</x:v>
      </x:c>
      <x:c r="N273" s="160" t="str">
        <x:v>Killeen</x:v>
      </x:c>
      <x:c r="O273" s="160" t="str">
        <x:v>Includes proxy city rows</x:v>
      </x:c>
      <x:c r="P273" s="160" t="str">
        <x:v>Aggregated from 1 city/municipality screening rows; overlapping catchments are not deduplicated.</x:v>
      </x:c>
      <x:c r="Q273" s="160" t="str">
        <x:v>Estimated county land area: geodesic polygon × 0.972 land/total calibration</x:v>
      </x:c>
    </x:row>
    <x:row r="274">
      <x:c r="A274" t="n">
        <x:v>279</x:v>
      </x:c>
      <x:c r="B274" t="str">
        <x:v>Williamson County</x:v>
      </x:c>
      <x:c r="C274" t="str">
        <x:v>TX</x:v>
      </x:c>
      <x:c r="D274" t="str">
        <x:v>48491</x:v>
      </x:c>
      <x:c r="E274" t="n">
        <x:f>SUMIFS('City Density Ranking'!$E$6:$E$974,'City Density Ranking'!$O$6:$O$974,B274,'City Density Ranking'!$C$6:$C$974,C274)</x:f>
        <x:v>0</x:v>
      </x:c>
      <x:c r="F274" t="n">
        <x:f>SUMIFS('City Density Ranking'!$F$6:$F$974,'City Density Ranking'!$O$6:$O$974,B274,'City Density Ranking'!$C$6:$C$974,C274)</x:f>
        <x:v>0</x:v>
      </x:c>
      <x:c r="G274" t="n">
        <x:f>SUMIFS('City Density Ranking'!$G$6:$G$974,'City Density Ranking'!$O$6:$O$974,B274,'City Density Ranking'!$C$6:$C$974,C274)</x:f>
        <x:v>0</x:v>
      </x:c>
      <x:c r="H274" t="n">
        <x:f>SUMIFS('City Density Ranking'!$H$6:$H$974,'City Density Ranking'!$O$6:$O$974,B274,'City Density Ranking'!$C$6:$C$974,C274)</x:f>
        <x:v>0</x:v>
      </x:c>
      <x:c r="I274" t="n">
        <x:f>SUMIFS('City Density Ranking'!$I$6:$I$974,'City Density Ranking'!$O$6:$O$974,B274,'City Density Ranking'!$C$6:$C$974,C274)</x:f>
        <x:v>0</x:v>
      </x:c>
      <x:c r="J274" t="n">
        <x:f>SUMIFS('City Density Ranking'!$J$6:$J$974,'City Density Ranking'!$O$6:$O$974,B274,'City Density Ranking'!$C$6:$C$974,C274)</x:f>
        <x:v>1</x:v>
      </x:c>
      <x:c r="K274" t="n">
        <x:f>SUM(E274:J274)</x:f>
        <x:v>1</x:v>
      </x:c>
      <x:c r="L274" s="161" t="n">
        <x:v>1102.281963675232</x:v>
      </x:c>
      <x:c r="M274" s="163" t="n">
        <x:f>IFERROR(K274/L274,0)</x:f>
        <x:v>0.0009072088929640079</x:v>
      </x:c>
      <x:c r="N274" s="160" t="str">
        <x:v>Round Rock</x:v>
      </x:c>
      <x:c r="O274" s="160" t="str">
        <x:v>Includes proxy city rows</x:v>
      </x:c>
      <x:c r="P274" s="160" t="str">
        <x:v>Aggregated from 1 city/municipality screening rows; overlapping catchments are not deduplicated.</x:v>
      </x:c>
      <x:c r="Q274" s="160" t="str">
        <x:v>Estimated county land area: geodesic polygon × 0.972 land/total calibration</x:v>
      </x:c>
    </x:row>
    <x:row r="275">
      <x:c r="A275" t="n">
        <x:v>280</x:v>
      </x:c>
      <x:c r="B275" t="str">
        <x:v>Marion County</x:v>
      </x:c>
      <x:c r="C275" t="str">
        <x:v>OR</x:v>
      </x:c>
      <x:c r="D275" t="str">
        <x:v>41047</x:v>
      </x:c>
      <x:c r="E275" t="n">
        <x:f>SUMIFS('City Density Ranking'!$E$6:$E$974,'City Density Ranking'!$O$6:$O$974,B275,'City Density Ranking'!$C$6:$C$974,C275)</x:f>
        <x:v>0</x:v>
      </x:c>
      <x:c r="F275" t="n">
        <x:f>SUMIFS('City Density Ranking'!$F$6:$F$974,'City Density Ranking'!$O$6:$O$974,B275,'City Density Ranking'!$C$6:$C$974,C275)</x:f>
        <x:v>0</x:v>
      </x:c>
      <x:c r="G275" t="n">
        <x:f>SUMIFS('City Density Ranking'!$G$6:$G$974,'City Density Ranking'!$O$6:$O$974,B275,'City Density Ranking'!$C$6:$C$974,C275)</x:f>
        <x:v>0</x:v>
      </x:c>
      <x:c r="H275" t="n">
        <x:f>SUMIFS('City Density Ranking'!$H$6:$H$974,'City Density Ranking'!$O$6:$O$974,B275,'City Density Ranking'!$C$6:$C$974,C275)</x:f>
        <x:v>0</x:v>
      </x:c>
      <x:c r="I275" t="n">
        <x:f>SUMIFS('City Density Ranking'!$I$6:$I$974,'City Density Ranking'!$O$6:$O$974,B275,'City Density Ranking'!$C$6:$C$974,C275)</x:f>
        <x:v>0</x:v>
      </x:c>
      <x:c r="J275" t="n">
        <x:f>SUMIFS('City Density Ranking'!$J$6:$J$974,'City Density Ranking'!$O$6:$O$974,B275,'City Density Ranking'!$C$6:$C$974,C275)</x:f>
        <x:v>1</x:v>
      </x:c>
      <x:c r="K275" t="n">
        <x:f>SUM(E275:J275)</x:f>
        <x:v>1</x:v>
      </x:c>
      <x:c r="L275" s="161" t="n">
        <x:v>1104.388066743024</x:v>
      </x:c>
      <x:c r="M275" s="163" t="n">
        <x:f>IFERROR(K275/L275,0)</x:f>
        <x:v>0.0009054788168339439</x:v>
      </x:c>
      <x:c r="N275" s="160" t="str">
        <x:v>Salem</x:v>
      </x:c>
      <x:c r="O275" s="160" t="str">
        <x:v>Includes proxy city rows</x:v>
      </x:c>
      <x:c r="P275" s="160" t="str">
        <x:v>Aggregated from 1 city/municipality screening rows; overlapping catchments are not deduplicated.</x:v>
      </x:c>
      <x:c r="Q275" s="160" t="str">
        <x:v>Estimated county land area: geodesic polygon × 0.926 land/total calibration</x:v>
      </x:c>
    </x:row>
    <x:row r="276">
      <x:c r="A276" t="n">
        <x:v>281</x:v>
      </x:c>
      <x:c r="B276" t="str">
        <x:v>Jefferson County</x:v>
      </x:c>
      <x:c r="C276" t="str">
        <x:v>AL</x:v>
      </x:c>
      <x:c r="D276" t="str">
        <x:v>01073</x:v>
      </x:c>
      <x:c r="E276" t="n">
        <x:f>SUMIFS('City Density Ranking'!$E$6:$E$974,'City Density Ranking'!$O$6:$O$974,B276,'City Density Ranking'!$C$6:$C$974,C276)</x:f>
        <x:v>1</x:v>
      </x:c>
      <x:c r="F276" t="n">
        <x:f>SUMIFS('City Density Ranking'!$F$6:$F$974,'City Density Ranking'!$O$6:$O$974,B276,'City Density Ranking'!$C$6:$C$974,C276)</x:f>
        <x:v>0</x:v>
      </x:c>
      <x:c r="G276" t="n">
        <x:f>SUMIFS('City Density Ranking'!$G$6:$G$974,'City Density Ranking'!$O$6:$O$974,B276,'City Density Ranking'!$C$6:$C$974,C276)</x:f>
        <x:v>0</x:v>
      </x:c>
      <x:c r="H276" t="n">
        <x:f>SUMIFS('City Density Ranking'!$H$6:$H$974,'City Density Ranking'!$O$6:$O$974,B276,'City Density Ranking'!$C$6:$C$974,C276)</x:f>
        <x:v>0</x:v>
      </x:c>
      <x:c r="I276" t="n">
        <x:f>SUMIFS('City Density Ranking'!$I$6:$I$974,'City Density Ranking'!$O$6:$O$974,B276,'City Density Ranking'!$C$6:$C$974,C276)</x:f>
        <x:v>0</x:v>
      </x:c>
      <x:c r="J276" t="n">
        <x:f>SUMIFS('City Density Ranking'!$J$6:$J$974,'City Density Ranking'!$O$6:$O$974,B276,'City Density Ranking'!$C$6:$C$974,C276)</x:f>
        <x:v>0</x:v>
      </x:c>
      <x:c r="K276" t="n">
        <x:f>SUM(E276:J276)</x:f>
        <x:v>1</x:v>
      </x:c>
      <x:c r="L276" s="161" t="n">
        <x:v>1111.531</x:v>
      </x:c>
      <x:c r="M276" s="163" t="n">
        <x:f>IFERROR(K276/L276,0)</x:f>
        <x:v>0.0008996600184790169</x:v>
      </x:c>
      <x:c r="N276" s="160" t="str">
        <x:v>Birmingham</x:v>
      </x:c>
      <x:c r="O276" s="160" t="str">
        <x:v>Lower-bound city counts only</x:v>
      </x:c>
      <x:c r="P276" s="160" t="str">
        <x:v>Aggregated from 1 city/municipality screening rows; overlapping catchments are not deduplicated.</x:v>
      </x:c>
      <x:c r="Q276" s="160" t="str">
        <x:v>Verified Census land area (retained)</x:v>
      </x:c>
    </x:row>
    <x:row r="277">
      <x:c r="A277" t="n">
        <x:v>282</x:v>
      </x:c>
      <x:c r="B277" t="str">
        <x:v>Brevard County</x:v>
      </x:c>
      <x:c r="C277" t="str">
        <x:v>FL</x:v>
      </x:c>
      <x:c r="D277" t="str">
        <x:v>12009</x:v>
      </x:c>
      <x:c r="E277" t="n">
        <x:f>SUMIFS('City Density Ranking'!$E$6:$E$974,'City Density Ranking'!$O$6:$O$974,B277,'City Density Ranking'!$C$6:$C$974,C277)</x:f>
        <x:v>0</x:v>
      </x:c>
      <x:c r="F277" t="n">
        <x:f>SUMIFS('City Density Ranking'!$F$6:$F$974,'City Density Ranking'!$O$6:$O$974,B277,'City Density Ranking'!$C$6:$C$974,C277)</x:f>
        <x:v>0</x:v>
      </x:c>
      <x:c r="G277" t="n">
        <x:f>SUMIFS('City Density Ranking'!$G$6:$G$974,'City Density Ranking'!$O$6:$O$974,B277,'City Density Ranking'!$C$6:$C$974,C277)</x:f>
        <x:v>0</x:v>
      </x:c>
      <x:c r="H277" t="n">
        <x:f>SUMIFS('City Density Ranking'!$H$6:$H$974,'City Density Ranking'!$O$6:$O$974,B277,'City Density Ranking'!$C$6:$C$974,C277)</x:f>
        <x:v>0</x:v>
      </x:c>
      <x:c r="I277" t="n">
        <x:f>SUMIFS('City Density Ranking'!$I$6:$I$974,'City Density Ranking'!$O$6:$O$974,B277,'City Density Ranking'!$C$6:$C$974,C277)</x:f>
        <x:v>0</x:v>
      </x:c>
      <x:c r="J277" t="n">
        <x:f>SUMIFS('City Density Ranking'!$J$6:$J$974,'City Density Ranking'!$O$6:$O$974,B277,'City Density Ranking'!$C$6:$C$974,C277)</x:f>
        <x:v>1</x:v>
      </x:c>
      <x:c r="K277" t="n">
        <x:f>SUM(E277:J277)</x:f>
        <x:v>1</x:v>
      </x:c>
      <x:c r="L277" s="161" t="n">
        <x:v>1165.679911604473</x:v>
      </x:c>
      <x:c r="M277" s="163" t="n">
        <x:f>IFERROR(K277/L277,0)</x:f>
        <x:v>0.0008578684337311545</x:v>
      </x:c>
      <x:c r="N277" s="160" t="str">
        <x:v>Palm Bay</x:v>
      </x:c>
      <x:c r="O277" s="160" t="str">
        <x:v>Includes proxy city rows</x:v>
      </x:c>
      <x:c r="P277" s="160" t="str">
        <x:v>Aggregated from 1 city/municipality screening rows; overlapping catchments are not deduplicated.</x:v>
      </x:c>
      <x:c r="Q277" s="160" t="str">
        <x:v>Estimated county land area: geodesic polygon × 0.900 land/total calibration</x:v>
      </x:c>
    </x:row>
    <x:row r="278">
      <x:c r="A278" t="n">
        <x:v>283</x:v>
      </x:c>
      <x:c r="B278" t="str">
        <x:v>Dane County</x:v>
      </x:c>
      <x:c r="C278" t="str">
        <x:v>WI</x:v>
      </x:c>
      <x:c r="D278" t="str">
        <x:v>55025</x:v>
      </x:c>
      <x:c r="E278" t="n">
        <x:f>SUMIFS('City Density Ranking'!$E$6:$E$974,'City Density Ranking'!$O$6:$O$974,B278,'City Density Ranking'!$C$6:$C$974,C278)</x:f>
        <x:v>0</x:v>
      </x:c>
      <x:c r="F278" t="n">
        <x:f>SUMIFS('City Density Ranking'!$F$6:$F$974,'City Density Ranking'!$O$6:$O$974,B278,'City Density Ranking'!$C$6:$C$974,C278)</x:f>
        <x:v>0</x:v>
      </x:c>
      <x:c r="G278" t="n">
        <x:f>SUMIFS('City Density Ranking'!$G$6:$G$974,'City Density Ranking'!$O$6:$O$974,B278,'City Density Ranking'!$C$6:$C$974,C278)</x:f>
        <x:v>0</x:v>
      </x:c>
      <x:c r="H278" t="n">
        <x:f>SUMIFS('City Density Ranking'!$H$6:$H$974,'City Density Ranking'!$O$6:$O$974,B278,'City Density Ranking'!$C$6:$C$974,C278)</x:f>
        <x:v>0</x:v>
      </x:c>
      <x:c r="I278" t="n">
        <x:f>SUMIFS('City Density Ranking'!$I$6:$I$974,'City Density Ranking'!$O$6:$O$974,B278,'City Density Ranking'!$C$6:$C$974,C278)</x:f>
        <x:v>0</x:v>
      </x:c>
      <x:c r="J278" t="n">
        <x:f>SUMIFS('City Density Ranking'!$J$6:$J$974,'City Density Ranking'!$O$6:$O$974,B278,'City Density Ranking'!$C$6:$C$974,C278)</x:f>
        <x:v>1</x:v>
      </x:c>
      <x:c r="K278" t="n">
        <x:f>SUM(E278:J278)</x:f>
        <x:v>1</x:v>
      </x:c>
      <x:c r="L278" s="161" t="n">
        <x:v>1196.492</x:v>
      </x:c>
      <x:c r="M278" s="163" t="n">
        <x:f>IFERROR(K278/L278,0)</x:f>
        <x:v>0.0008357765868890056</x:v>
      </x:c>
      <x:c r="N278" s="160" t="str">
        <x:v>Madison</x:v>
      </x:c>
      <x:c r="O278" s="160" t="str">
        <x:v>Includes proxy city rows</x:v>
      </x:c>
      <x:c r="P278" s="160" t="str">
        <x:v>Aggregated from 1 city/municipality screening rows; overlapping catchments are not deduplicated.</x:v>
      </x:c>
      <x:c r="Q278" s="160" t="str">
        <x:v>Verified Census land area (retained)</x:v>
      </x:c>
    </x:row>
    <x:row r="279">
      <x:c r="A279" t="n">
        <x:v>284</x:v>
      </x:c>
      <x:c r="B279" t="str">
        <x:v>Oneida County</x:v>
      </x:c>
      <x:c r="C279" t="str">
        <x:v>NY</x:v>
      </x:c>
      <x:c r="D279" t="str">
        <x:v>36065</x:v>
      </x:c>
      <x:c r="E279" t="n">
        <x:f>SUMIFS('City Density Ranking'!$E$6:$E$974,'City Density Ranking'!$O$6:$O$974,B279,'City Density Ranking'!$C$6:$C$974,C279)</x:f>
        <x:v>0</x:v>
      </x:c>
      <x:c r="F279" t="n">
        <x:f>SUMIFS('City Density Ranking'!$F$6:$F$974,'City Density Ranking'!$O$6:$O$974,B279,'City Density Ranking'!$C$6:$C$974,C279)</x:f>
        <x:v>0</x:v>
      </x:c>
      <x:c r="G279" t="n">
        <x:f>SUMIFS('City Density Ranking'!$G$6:$G$974,'City Density Ranking'!$O$6:$O$974,B279,'City Density Ranking'!$C$6:$C$974,C279)</x:f>
        <x:v>0</x:v>
      </x:c>
      <x:c r="H279" t="n">
        <x:f>SUMIFS('City Density Ranking'!$H$6:$H$974,'City Density Ranking'!$O$6:$O$974,B279,'City Density Ranking'!$C$6:$C$974,C279)</x:f>
        <x:v>0</x:v>
      </x:c>
      <x:c r="I279" t="n">
        <x:f>SUMIFS('City Density Ranking'!$I$6:$I$974,'City Density Ranking'!$O$6:$O$974,B279,'City Density Ranking'!$C$6:$C$974,C279)</x:f>
        <x:v>0</x:v>
      </x:c>
      <x:c r="J279" t="n">
        <x:f>SUMIFS('City Density Ranking'!$J$6:$J$974,'City Density Ranking'!$O$6:$O$974,B279,'City Density Ranking'!$C$6:$C$974,C279)</x:f>
        <x:v>1</x:v>
      </x:c>
      <x:c r="K279" t="n">
        <x:f>SUM(E279:J279)</x:f>
        <x:v>1</x:v>
      </x:c>
      <x:c r="L279" s="161" t="n">
        <x:v>1212.33</x:v>
      </x:c>
      <x:c r="M279" s="163" t="n">
        <x:f>IFERROR(K279/L279,0)</x:f>
        <x:v>0.000824857918223586</x:v>
      </x:c>
      <x:c r="N279" s="160" t="str">
        <x:v>Utica</x:v>
      </x:c>
      <x:c r="O279" s="160" t="str">
        <x:v>Includes proxy city rows</x:v>
      </x:c>
      <x:c r="P279" s="160" t="str">
        <x:v>Aggregated from 1 city/municipality screening rows; overlapping catchments are not deduplicated.</x:v>
      </x:c>
      <x:c r="Q279" s="160" t="str">
        <x:v>Verified Census QuickFacts 2020 land area</x:v>
      </x:c>
    </x:row>
    <x:row r="280">
      <x:c r="A280" t="n">
        <x:v>285</x:v>
      </x:c>
      <x:c r="B280" t="str">
        <x:v>Bexar County</x:v>
      </x:c>
      <x:c r="C280" t="str">
        <x:v>TX</x:v>
      </x:c>
      <x:c r="D280" t="str">
        <x:v>48029</x:v>
      </x:c>
      <x:c r="E280" t="n">
        <x:f>SUMIFS('City Density Ranking'!$E$6:$E$974,'City Density Ranking'!$O$6:$O$974,B280,'City Density Ranking'!$C$6:$C$974,C280)</x:f>
        <x:v>1</x:v>
      </x:c>
      <x:c r="F280" t="n">
        <x:f>SUMIFS('City Density Ranking'!$F$6:$F$974,'City Density Ranking'!$O$6:$O$974,B280,'City Density Ranking'!$C$6:$C$974,C280)</x:f>
        <x:v>0</x:v>
      </x:c>
      <x:c r="G280" t="n">
        <x:f>SUMIFS('City Density Ranking'!$G$6:$G$974,'City Density Ranking'!$O$6:$O$974,B280,'City Density Ranking'!$C$6:$C$974,C280)</x:f>
        <x:v>0</x:v>
      </x:c>
      <x:c r="H280" t="n">
        <x:f>SUMIFS('City Density Ranking'!$H$6:$H$974,'City Density Ranking'!$O$6:$O$974,B280,'City Density Ranking'!$C$6:$C$974,C280)</x:f>
        <x:v>0</x:v>
      </x:c>
      <x:c r="I280" t="n">
        <x:f>SUMIFS('City Density Ranking'!$I$6:$I$974,'City Density Ranking'!$O$6:$O$974,B280,'City Density Ranking'!$C$6:$C$974,C280)</x:f>
        <x:v>0</x:v>
      </x:c>
      <x:c r="J280" t="n">
        <x:f>SUMIFS('City Density Ranking'!$J$6:$J$974,'City Density Ranking'!$O$6:$O$974,B280,'City Density Ranking'!$C$6:$C$974,C280)</x:f>
        <x:v>0</x:v>
      </x:c>
      <x:c r="K280" t="n">
        <x:f>SUM(E280:J280)</x:f>
        <x:v>1</x:v>
      </x:c>
      <x:c r="L280" s="161" t="n">
        <x:v>1240.325</x:v>
      </x:c>
      <x:c r="M280" s="163" t="n">
        <x:f>IFERROR(K280/L280,0)</x:f>
        <x:v>0.0008062402999213915</x:v>
      </x:c>
      <x:c r="N280" s="160" t="str">
        <x:v>San Antonio</x:v>
      </x:c>
      <x:c r="O280" s="160" t="str">
        <x:v>Lower-bound city counts only</x:v>
      </x:c>
      <x:c r="P280" s="160" t="str">
        <x:v>Aggregated from 1 city/municipality screening rows; overlapping catchments are not deduplicated.</x:v>
      </x:c>
      <x:c r="Q280" s="160" t="str">
        <x:v>Verified Census land area (retained)</x:v>
      </x:c>
    </x:row>
    <x:row r="281">
      <x:c r="A281" t="n">
        <x:v>286</x:v>
      </x:c>
      <x:c r="B281" t="str">
        <x:v>Mobile County</x:v>
      </x:c>
      <x:c r="C281" t="str">
        <x:v>AL</x:v>
      </x:c>
      <x:c r="D281" t="str">
        <x:v>01097</x:v>
      </x:c>
      <x:c r="E281" t="n">
        <x:f>SUMIFS('City Density Ranking'!$E$6:$E$974,'City Density Ranking'!$O$6:$O$974,B281,'City Density Ranking'!$C$6:$C$974,C281)</x:f>
        <x:v>0</x:v>
      </x:c>
      <x:c r="F281" t="n">
        <x:f>SUMIFS('City Density Ranking'!$F$6:$F$974,'City Density Ranking'!$O$6:$O$974,B281,'City Density Ranking'!$C$6:$C$974,C281)</x:f>
        <x:v>0</x:v>
      </x:c>
      <x:c r="G281" t="n">
        <x:f>SUMIFS('City Density Ranking'!$G$6:$G$974,'City Density Ranking'!$O$6:$O$974,B281,'City Density Ranking'!$C$6:$C$974,C281)</x:f>
        <x:v>0</x:v>
      </x:c>
      <x:c r="H281" t="n">
        <x:f>SUMIFS('City Density Ranking'!$H$6:$H$974,'City Density Ranking'!$O$6:$O$974,B281,'City Density Ranking'!$C$6:$C$974,C281)</x:f>
        <x:v>0</x:v>
      </x:c>
      <x:c r="I281" t="n">
        <x:f>SUMIFS('City Density Ranking'!$I$6:$I$974,'City Density Ranking'!$O$6:$O$974,B281,'City Density Ranking'!$C$6:$C$974,C281)</x:f>
        <x:v>0</x:v>
      </x:c>
      <x:c r="J281" t="n">
        <x:f>SUMIFS('City Density Ranking'!$J$6:$J$974,'City Density Ranking'!$O$6:$O$974,B281,'City Density Ranking'!$C$6:$C$974,C281)</x:f>
        <x:v>1</x:v>
      </x:c>
      <x:c r="K281" t="n">
        <x:f>SUM(E281:J281)</x:f>
        <x:v>1</x:v>
      </x:c>
      <x:c r="L281" s="161" t="n">
        <x:v>1257.886372205348</x:v>
      </x:c>
      <x:c r="M281" s="163" t="n">
        <x:f>IFERROR(K281/L281,0)</x:f>
        <x:v>0.0007949843659143734</x:v>
      </x:c>
      <x:c r="N281" s="160" t="str">
        <x:v>Mobile</x:v>
      </x:c>
      <x:c r="O281" s="160" t="str">
        <x:v>Includes proxy city rows</x:v>
      </x:c>
      <x:c r="P281" s="160" t="str">
        <x:v>Aggregated from 1 city/municipality screening rows; overlapping catchments are not deduplicated.</x:v>
      </x:c>
      <x:c r="Q281" s="160" t="str">
        <x:v>Estimated county land area: geodesic polygon × 0.989 land/total calibration</x:v>
      </x:c>
    </x:row>
    <x:row r="282">
      <x:c r="A282" t="n">
        <x:v>287</x:v>
      </x:c>
      <x:c r="B282" t="str">
        <x:v>Tuscaloosa County</x:v>
      </x:c>
      <x:c r="C282" t="str">
        <x:v>AL</x:v>
      </x:c>
      <x:c r="D282" t="str">
        <x:v>01125</x:v>
      </x:c>
      <x:c r="E282" t="n">
        <x:f>SUMIFS('City Density Ranking'!$E$6:$E$974,'City Density Ranking'!$O$6:$O$974,B282,'City Density Ranking'!$C$6:$C$974,C282)</x:f>
        <x:v>0</x:v>
      </x:c>
      <x:c r="F282" t="n">
        <x:f>SUMIFS('City Density Ranking'!$F$6:$F$974,'City Density Ranking'!$O$6:$O$974,B282,'City Density Ranking'!$C$6:$C$974,C282)</x:f>
        <x:v>0</x:v>
      </x:c>
      <x:c r="G282" t="n">
        <x:f>SUMIFS('City Density Ranking'!$G$6:$G$974,'City Density Ranking'!$O$6:$O$974,B282,'City Density Ranking'!$C$6:$C$974,C282)</x:f>
        <x:v>0</x:v>
      </x:c>
      <x:c r="H282" t="n">
        <x:f>SUMIFS('City Density Ranking'!$H$6:$H$974,'City Density Ranking'!$O$6:$O$974,B282,'City Density Ranking'!$C$6:$C$974,C282)</x:f>
        <x:v>0</x:v>
      </x:c>
      <x:c r="I282" t="n">
        <x:f>SUMIFS('City Density Ranking'!$I$6:$I$974,'City Density Ranking'!$O$6:$O$974,B282,'City Density Ranking'!$C$6:$C$974,C282)</x:f>
        <x:v>0</x:v>
      </x:c>
      <x:c r="J282" t="n">
        <x:f>SUMIFS('City Density Ranking'!$J$6:$J$974,'City Density Ranking'!$O$6:$O$974,B282,'City Density Ranking'!$C$6:$C$974,C282)</x:f>
        <x:v>1</x:v>
      </x:c>
      <x:c r="K282" t="n">
        <x:f>SUM(E282:J282)</x:f>
        <x:v>1</x:v>
      </x:c>
      <x:c r="L282" s="161" t="n">
        <x:v>1336.463948176536</x:v>
      </x:c>
      <x:c r="M282" s="163" t="n">
        <x:f>IFERROR(K282/L282,0)</x:f>
        <x:v>0.0007482431541564547</x:v>
      </x:c>
      <x:c r="N282" s="160" t="str">
        <x:v>Tuscaloosa</x:v>
      </x:c>
      <x:c r="O282" s="160" t="str">
        <x:v>Includes proxy city rows</x:v>
      </x:c>
      <x:c r="P282" s="160" t="str">
        <x:v>Aggregated from 1 city/municipality screening rows; overlapping catchments are not deduplicated.</x:v>
      </x:c>
      <x:c r="Q282" s="160" t="str">
        <x:v>Estimated county land area: geodesic polygon × 0.989 land/total calibration</x:v>
      </x:c>
    </x:row>
    <x:row r="283">
      <x:c r="A283" t="n">
        <x:v>288</x:v>
      </x:c>
      <x:c r="B283" t="str">
        <x:v>San Joaquin County</x:v>
      </x:c>
      <x:c r="C283" t="str">
        <x:v>CA</x:v>
      </x:c>
      <x:c r="D283" t="str">
        <x:v>06077</x:v>
      </x:c>
      <x:c r="E283" t="n">
        <x:f>SUMIFS('City Density Ranking'!$E$6:$E$974,'City Density Ranking'!$O$6:$O$974,B283,'City Density Ranking'!$C$6:$C$974,C283)</x:f>
        <x:v>0</x:v>
      </x:c>
      <x:c r="F283" t="n">
        <x:f>SUMIFS('City Density Ranking'!$F$6:$F$974,'City Density Ranking'!$O$6:$O$974,B283,'City Density Ranking'!$C$6:$C$974,C283)</x:f>
        <x:v>0</x:v>
      </x:c>
      <x:c r="G283" t="n">
        <x:f>SUMIFS('City Density Ranking'!$G$6:$G$974,'City Density Ranking'!$O$6:$O$974,B283,'City Density Ranking'!$C$6:$C$974,C283)</x:f>
        <x:v>0</x:v>
      </x:c>
      <x:c r="H283" t="n">
        <x:f>SUMIFS('City Density Ranking'!$H$6:$H$974,'City Density Ranking'!$O$6:$O$974,B283,'City Density Ranking'!$C$6:$C$974,C283)</x:f>
        <x:v>0</x:v>
      </x:c>
      <x:c r="I283" t="n">
        <x:f>SUMIFS('City Density Ranking'!$I$6:$I$974,'City Density Ranking'!$O$6:$O$974,B283,'City Density Ranking'!$C$6:$C$974,C283)</x:f>
        <x:v>0</x:v>
      </x:c>
      <x:c r="J283" t="n">
        <x:f>SUMIFS('City Density Ranking'!$J$6:$J$974,'City Density Ranking'!$O$6:$O$974,B283,'City Density Ranking'!$C$6:$C$974,C283)</x:f>
        <x:v>1</x:v>
      </x:c>
      <x:c r="K283" t="n">
        <x:f>SUM(E283:J283)</x:f>
        <x:v>1</x:v>
      </x:c>
      <x:c r="L283" s="161" t="n">
        <x:v>1392.37</x:v>
      </x:c>
      <x:c r="M283" s="163" t="n">
        <x:f>IFERROR(K283/L283,0)</x:f>
        <x:v>0.000718199903761213</x:v>
      </x:c>
      <x:c r="N283" s="160" t="str">
        <x:v>Stockton</x:v>
      </x:c>
      <x:c r="O283" s="160" t="str">
        <x:v>Includes proxy city rows</x:v>
      </x:c>
      <x:c r="P283" s="160" t="str">
        <x:v>Aggregated from 1 city/municipality screening rows; overlapping catchments are not deduplicated.</x:v>
      </x:c>
      <x:c r="Q283" s="160" t="str">
        <x:v>Verified Census land area (retained)</x:v>
      </x:c>
    </x:row>
    <x:row r="284">
      <x:c r="A284" t="n">
        <x:v>289</x:v>
      </x:c>
      <x:c r="B284" t="str">
        <x:v>Worcester County</x:v>
      </x:c>
      <x:c r="C284" t="str">
        <x:v>MA</x:v>
      </x:c>
      <x:c r="D284" t="str">
        <x:v>25027</x:v>
      </x:c>
      <x:c r="E284" t="n">
        <x:f>SUMIFS('City Density Ranking'!$E$6:$E$974,'City Density Ranking'!$O$6:$O$974,B284,'City Density Ranking'!$C$6:$C$974,C284)</x:f>
        <x:v>0</x:v>
      </x:c>
      <x:c r="F284" t="n">
        <x:f>SUMIFS('City Density Ranking'!$F$6:$F$974,'City Density Ranking'!$O$6:$O$974,B284,'City Density Ranking'!$C$6:$C$974,C284)</x:f>
        <x:v>0</x:v>
      </x:c>
      <x:c r="G284" t="n">
        <x:f>SUMIFS('City Density Ranking'!$G$6:$G$974,'City Density Ranking'!$O$6:$O$974,B284,'City Density Ranking'!$C$6:$C$974,C284)</x:f>
        <x:v>0</x:v>
      </x:c>
      <x:c r="H284" t="n">
        <x:f>SUMIFS('City Density Ranking'!$H$6:$H$974,'City Density Ranking'!$O$6:$O$974,B284,'City Density Ranking'!$C$6:$C$974,C284)</x:f>
        <x:v>0</x:v>
      </x:c>
      <x:c r="I284" t="n">
        <x:f>SUMIFS('City Density Ranking'!$I$6:$I$974,'City Density Ranking'!$O$6:$O$974,B284,'City Density Ranking'!$C$6:$C$974,C284)</x:f>
        <x:v>0</x:v>
      </x:c>
      <x:c r="J284" t="n">
        <x:f>SUMIFS('City Density Ranking'!$J$6:$J$974,'City Density Ranking'!$O$6:$O$974,B284,'City Density Ranking'!$C$6:$C$974,C284)</x:f>
        <x:v>1</x:v>
      </x:c>
      <x:c r="K284" t="n">
        <x:f>SUM(E284:J284)</x:f>
        <x:v>1</x:v>
      </x:c>
      <x:c r="L284" s="161" t="n">
        <x:v>1419.456931779358</x:v>
      </x:c>
      <x:c r="M284" s="163" t="n">
        <x:f>IFERROR(K284/L284,0)</x:f>
        <x:v>0.0007044947807937022</x:v>
      </x:c>
      <x:c r="N284" s="160" t="str">
        <x:v>Worcester</x:v>
      </x:c>
      <x:c r="O284" s="160" t="str">
        <x:v>Includes proxy city rows</x:v>
      </x:c>
      <x:c r="P284" s="160" t="str">
        <x:v>Aggregated from 1 city/municipality screening rows; overlapping catchments are not deduplicated.</x:v>
      </x:c>
      <x:c r="Q284" s="160" t="str">
        <x:v>Estimated county land area: geodesic polygon × 0.899 land/total calibration</x:v>
      </x:c>
    </x:row>
    <x:row r="285">
      <x:c r="A285" t="n">
        <x:v>290</x:v>
      </x:c>
      <x:c r="B285" t="str">
        <x:v>Brazoria County</x:v>
      </x:c>
      <x:c r="C285" t="str">
        <x:v>TX</x:v>
      </x:c>
      <x:c r="D285" t="str">
        <x:v>48039</x:v>
      </x:c>
      <x:c r="E285" t="n">
        <x:f>SUMIFS('City Density Ranking'!$E$6:$E$974,'City Density Ranking'!$O$6:$O$974,B285,'City Density Ranking'!$C$6:$C$974,C285)</x:f>
        <x:v>0</x:v>
      </x:c>
      <x:c r="F285" t="n">
        <x:f>SUMIFS('City Density Ranking'!$F$6:$F$974,'City Density Ranking'!$O$6:$O$974,B285,'City Density Ranking'!$C$6:$C$974,C285)</x:f>
        <x:v>0</x:v>
      </x:c>
      <x:c r="G285" t="n">
        <x:f>SUMIFS('City Density Ranking'!$G$6:$G$974,'City Density Ranking'!$O$6:$O$974,B285,'City Density Ranking'!$C$6:$C$974,C285)</x:f>
        <x:v>0</x:v>
      </x:c>
      <x:c r="H285" t="n">
        <x:f>SUMIFS('City Density Ranking'!$H$6:$H$974,'City Density Ranking'!$O$6:$O$974,B285,'City Density Ranking'!$C$6:$C$974,C285)</x:f>
        <x:v>0</x:v>
      </x:c>
      <x:c r="I285" t="n">
        <x:f>SUMIFS('City Density Ranking'!$I$6:$I$974,'City Density Ranking'!$O$6:$O$974,B285,'City Density Ranking'!$C$6:$C$974,C285)</x:f>
        <x:v>0</x:v>
      </x:c>
      <x:c r="J285" t="n">
        <x:f>SUMIFS('City Density Ranking'!$J$6:$J$974,'City Density Ranking'!$O$6:$O$974,B285,'City Density Ranking'!$C$6:$C$974,C285)</x:f>
        <x:v>1</x:v>
      </x:c>
      <x:c r="K285" t="n">
        <x:f>SUM(E285:J285)</x:f>
        <x:v>1</x:v>
      </x:c>
      <x:c r="L285" s="161" t="n">
        <x:v>1421.640181732715</x:v>
      </x:c>
      <x:c r="M285" s="163" t="n">
        <x:f>IFERROR(K285/L285,0)</x:f>
        <x:v>0.0007034128697608884</x:v>
      </x:c>
      <x:c r="N285" s="160" t="str">
        <x:v>Pearland</x:v>
      </x:c>
      <x:c r="O285" s="160" t="str">
        <x:v>Includes proxy city rows</x:v>
      </x:c>
      <x:c r="P285" s="160" t="str">
        <x:v>Aggregated from 1 city/municipality screening rows; overlapping catchments are not deduplicated.</x:v>
      </x:c>
      <x:c r="Q285" s="160" t="str">
        <x:v>Estimated county land area: geodesic polygon × 0.972 land/total calibration</x:v>
      </x:c>
    </x:row>
    <x:row r="286">
      <x:c r="A286" t="n">
        <x:v>291</x:v>
      </x:c>
      <x:c r="B286" t="str">
        <x:v>Placer County</x:v>
      </x:c>
      <x:c r="C286" t="str">
        <x:v>CA</x:v>
      </x:c>
      <x:c r="D286" t="str">
        <x:v>06061</x:v>
      </x:c>
      <x:c r="E286" t="n">
        <x:f>SUMIFS('City Density Ranking'!$E$6:$E$974,'City Density Ranking'!$O$6:$O$974,B286,'City Density Ranking'!$C$6:$C$974,C286)</x:f>
        <x:v>0</x:v>
      </x:c>
      <x:c r="F286" t="n">
        <x:f>SUMIFS('City Density Ranking'!$F$6:$F$974,'City Density Ranking'!$O$6:$O$974,B286,'City Density Ranking'!$C$6:$C$974,C286)</x:f>
        <x:v>0</x:v>
      </x:c>
      <x:c r="G286" t="n">
        <x:f>SUMIFS('City Density Ranking'!$G$6:$G$974,'City Density Ranking'!$O$6:$O$974,B286,'City Density Ranking'!$C$6:$C$974,C286)</x:f>
        <x:v>0</x:v>
      </x:c>
      <x:c r="H286" t="n">
        <x:f>SUMIFS('City Density Ranking'!$H$6:$H$974,'City Density Ranking'!$O$6:$O$974,B286,'City Density Ranking'!$C$6:$C$974,C286)</x:f>
        <x:v>0</x:v>
      </x:c>
      <x:c r="I286" t="n">
        <x:f>SUMIFS('City Density Ranking'!$I$6:$I$974,'City Density Ranking'!$O$6:$O$974,B286,'City Density Ranking'!$C$6:$C$974,C286)</x:f>
        <x:v>0</x:v>
      </x:c>
      <x:c r="J286" t="n">
        <x:f>SUMIFS('City Density Ranking'!$J$6:$J$974,'City Density Ranking'!$O$6:$O$974,B286,'City Density Ranking'!$C$6:$C$974,C286)</x:f>
        <x:v>1</x:v>
      </x:c>
      <x:c r="K286" t="n">
        <x:f>SUM(E286:J286)</x:f>
        <x:v>1</x:v>
      </x:c>
      <x:c r="L286" s="161" t="n">
        <x:v>1485.643622536689</x:v>
      </x:c>
      <x:c r="M286" s="163" t="n">
        <x:f>IFERROR(K286/L286,0)</x:f>
        <x:v>0.0006731089373187171</x:v>
      </x:c>
      <x:c r="N286" s="160" t="str">
        <x:v>Roseville</x:v>
      </x:c>
      <x:c r="O286" s="160" t="str">
        <x:v>Includes proxy city rows</x:v>
      </x:c>
      <x:c r="P286" s="160" t="str">
        <x:v>Aggregated from 1 city/municipality screening rows; overlapping catchments are not deduplicated.</x:v>
      </x:c>
      <x:c r="Q286" s="160" t="str">
        <x:v>Estimated county land area: geodesic polygon × 0.989 land/total calibration</x:v>
      </x:c>
    </x:row>
    <x:row r="287">
      <x:c r="A287" t="n">
        <x:v>292</x:v>
      </x:c>
      <x:c r="B287" t="str">
        <x:v>Stanislaus County</x:v>
      </x:c>
      <x:c r="C287" t="str">
        <x:v>CA</x:v>
      </x:c>
      <x:c r="D287" t="str">
        <x:v>06099</x:v>
      </x:c>
      <x:c r="E287" t="n">
        <x:f>SUMIFS('City Density Ranking'!$E$6:$E$974,'City Density Ranking'!$O$6:$O$974,B287,'City Density Ranking'!$C$6:$C$974,C287)</x:f>
        <x:v>0</x:v>
      </x:c>
      <x:c r="F287" t="n">
        <x:f>SUMIFS('City Density Ranking'!$F$6:$F$974,'City Density Ranking'!$O$6:$O$974,B287,'City Density Ranking'!$C$6:$C$974,C287)</x:f>
        <x:v>0</x:v>
      </x:c>
      <x:c r="G287" t="n">
        <x:f>SUMIFS('City Density Ranking'!$G$6:$G$974,'City Density Ranking'!$O$6:$O$974,B287,'City Density Ranking'!$C$6:$C$974,C287)</x:f>
        <x:v>0</x:v>
      </x:c>
      <x:c r="H287" t="n">
        <x:f>SUMIFS('City Density Ranking'!$H$6:$H$974,'City Density Ranking'!$O$6:$O$974,B287,'City Density Ranking'!$C$6:$C$974,C287)</x:f>
        <x:v>0</x:v>
      </x:c>
      <x:c r="I287" t="n">
        <x:f>SUMIFS('City Density Ranking'!$I$6:$I$974,'City Density Ranking'!$O$6:$O$974,B287,'City Density Ranking'!$C$6:$C$974,C287)</x:f>
        <x:v>0</x:v>
      </x:c>
      <x:c r="J287" t="n">
        <x:f>SUMIFS('City Density Ranking'!$J$6:$J$974,'City Density Ranking'!$O$6:$O$974,B287,'City Density Ranking'!$C$6:$C$974,C287)</x:f>
        <x:v>1</x:v>
      </x:c>
      <x:c r="K287" t="n">
        <x:f>SUM(E287:J287)</x:f>
        <x:v>1</x:v>
      </x:c>
      <x:c r="L287" s="161" t="n">
        <x:v>1497.380884599726</x:v>
      </x:c>
      <x:c r="M287" s="163" t="n">
        <x:f>IFERROR(K287/L287,0)</x:f>
        <x:v>0.0006678327540339318</x:v>
      </x:c>
      <x:c r="N287" s="160" t="str">
        <x:v>Modesto</x:v>
      </x:c>
      <x:c r="O287" s="160" t="str">
        <x:v>Includes proxy city rows</x:v>
      </x:c>
      <x:c r="P287" s="160" t="str">
        <x:v>Aggregated from 1 city/municipality screening rows; overlapping catchments are not deduplicated.</x:v>
      </x:c>
      <x:c r="Q287" s="160" t="str">
        <x:v>Estimated county land area: geodesic polygon × 0.989 land/total calibration</x:v>
      </x:c>
    </x:row>
    <x:row r="288">
      <x:c r="A288" t="n">
        <x:v>293</x:v>
      </x:c>
      <x:c r="B288" t="str">
        <x:v>Sonoma County</x:v>
      </x:c>
      <x:c r="C288" t="str">
        <x:v>CA</x:v>
      </x:c>
      <x:c r="D288" t="str">
        <x:v>06097</x:v>
      </x:c>
      <x:c r="E288" t="n">
        <x:f>SUMIFS('City Density Ranking'!$E$6:$E$974,'City Density Ranking'!$O$6:$O$974,B288,'City Density Ranking'!$C$6:$C$974,C288)</x:f>
        <x:v>0</x:v>
      </x:c>
      <x:c r="F288" t="n">
        <x:f>SUMIFS('City Density Ranking'!$F$6:$F$974,'City Density Ranking'!$O$6:$O$974,B288,'City Density Ranking'!$C$6:$C$974,C288)</x:f>
        <x:v>0</x:v>
      </x:c>
      <x:c r="G288" t="n">
        <x:f>SUMIFS('City Density Ranking'!$G$6:$G$974,'City Density Ranking'!$O$6:$O$974,B288,'City Density Ranking'!$C$6:$C$974,C288)</x:f>
        <x:v>0</x:v>
      </x:c>
      <x:c r="H288" t="n">
        <x:f>SUMIFS('City Density Ranking'!$H$6:$H$974,'City Density Ranking'!$O$6:$O$974,B288,'City Density Ranking'!$C$6:$C$974,C288)</x:f>
        <x:v>0</x:v>
      </x:c>
      <x:c r="I288" t="n">
        <x:f>SUMIFS('City Density Ranking'!$I$6:$I$974,'City Density Ranking'!$O$6:$O$974,B288,'City Density Ranking'!$C$6:$C$974,C288)</x:f>
        <x:v>0</x:v>
      </x:c>
      <x:c r="J288" t="n">
        <x:f>SUMIFS('City Density Ranking'!$J$6:$J$974,'City Density Ranking'!$O$6:$O$974,B288,'City Density Ranking'!$C$6:$C$974,C288)</x:f>
        <x:v>1</x:v>
      </x:c>
      <x:c r="K288" t="n">
        <x:f>SUM(E288:J288)</x:f>
        <x:v>1</x:v>
      </x:c>
      <x:c r="L288" s="161" t="n">
        <x:v>1571.863928243148</x:v>
      </x:c>
      <x:c r="M288" s="163" t="n">
        <x:f>IFERROR(K288/L288,0)</x:f>
        <x:v>0.0006361873836736537</x:v>
      </x:c>
      <x:c r="N288" s="160" t="str">
        <x:v>Santa Rosa</x:v>
      </x:c>
      <x:c r="O288" s="160" t="str">
        <x:v>Includes proxy city rows</x:v>
      </x:c>
      <x:c r="P288" s="160" t="str">
        <x:v>Aggregated from 1 city/municipality screening rows; overlapping catchments are not deduplicated.</x:v>
      </x:c>
      <x:c r="Q288" s="160" t="str">
        <x:v>Estimated county land area: geodesic polygon × 0.989 land/total calibration</x:v>
      </x:c>
    </x:row>
    <x:row r="289">
      <x:c r="A289" t="n">
        <x:v>294</x:v>
      </x:c>
      <x:c r="B289" t="str">
        <x:v>Pierce County</x:v>
      </x:c>
      <x:c r="C289" t="str">
        <x:v>WA</x:v>
      </x:c>
      <x:c r="D289" t="str">
        <x:v>53053</x:v>
      </x:c>
      <x:c r="E289" t="n">
        <x:f>SUMIFS('City Density Ranking'!$E$6:$E$974,'City Density Ranking'!$O$6:$O$974,B289,'City Density Ranking'!$C$6:$C$974,C289)</x:f>
        <x:v>0</x:v>
      </x:c>
      <x:c r="F289" t="n">
        <x:f>SUMIFS('City Density Ranking'!$F$6:$F$974,'City Density Ranking'!$O$6:$O$974,B289,'City Density Ranking'!$C$6:$C$974,C289)</x:f>
        <x:v>0</x:v>
      </x:c>
      <x:c r="G289" t="n">
        <x:f>SUMIFS('City Density Ranking'!$G$6:$G$974,'City Density Ranking'!$O$6:$O$974,B289,'City Density Ranking'!$C$6:$C$974,C289)</x:f>
        <x:v>0</x:v>
      </x:c>
      <x:c r="H289" t="n">
        <x:f>SUMIFS('City Density Ranking'!$H$6:$H$974,'City Density Ranking'!$O$6:$O$974,B289,'City Density Ranking'!$C$6:$C$974,C289)</x:f>
        <x:v>0</x:v>
      </x:c>
      <x:c r="I289" t="n">
        <x:f>SUMIFS('City Density Ranking'!$I$6:$I$974,'City Density Ranking'!$O$6:$O$974,B289,'City Density Ranking'!$C$6:$C$974,C289)</x:f>
        <x:v>0</x:v>
      </x:c>
      <x:c r="J289" t="n">
        <x:f>SUMIFS('City Density Ranking'!$J$6:$J$974,'City Density Ranking'!$O$6:$O$974,B289,'City Density Ranking'!$C$6:$C$974,C289)</x:f>
        <x:v>1</x:v>
      </x:c>
      <x:c r="K289" t="n">
        <x:f>SUM(E289:J289)</x:f>
        <x:v>1</x:v>
      </x:c>
      <x:c r="L289" s="161" t="n">
        <x:v>1647.722901964305</x:v>
      </x:c>
      <x:c r="M289" s="163" t="n">
        <x:f>IFERROR(K289/L289,0)</x:f>
        <x:v>0.0006068981615827922</x:v>
      </x:c>
      <x:c r="N289" s="160" t="str">
        <x:v>Tacoma</x:v>
      </x:c>
      <x:c r="O289" s="160" t="str">
        <x:v>Includes proxy city rows</x:v>
      </x:c>
      <x:c r="P289" s="160" t="str">
        <x:v>Aggregated from 1 city/municipality screening rows; overlapping catchments are not deduplicated.</x:v>
      </x:c>
      <x:c r="Q289" s="160" t="str">
        <x:v>Estimated county land area: geodesic polygon × 0.964 land/total calibration</x:v>
      </x:c>
    </x:row>
    <x:row r="290">
      <x:c r="A290" t="n">
        <x:v>295</x:v>
      </x:c>
      <x:c r="B290" t="str">
        <x:v>Anchorage Municipality</x:v>
      </x:c>
      <x:c r="C290" t="str">
        <x:v>AK</x:v>
      </x:c>
      <x:c r="D290" t="str">
        <x:v>02020</x:v>
      </x:c>
      <x:c r="E290" t="n">
        <x:f>SUMIFS('City Density Ranking'!$E$6:$E$974,'City Density Ranking'!$O$6:$O$974,B290,'City Density Ranking'!$C$6:$C$974,C290)</x:f>
        <x:v>0</x:v>
      </x:c>
      <x:c r="F290" t="n">
        <x:f>SUMIFS('City Density Ranking'!$F$6:$F$974,'City Density Ranking'!$O$6:$O$974,B290,'City Density Ranking'!$C$6:$C$974,C290)</x:f>
        <x:v>0</x:v>
      </x:c>
      <x:c r="G290" t="n">
        <x:f>SUMIFS('City Density Ranking'!$G$6:$G$974,'City Density Ranking'!$O$6:$O$974,B290,'City Density Ranking'!$C$6:$C$974,C290)</x:f>
        <x:v>0</x:v>
      </x:c>
      <x:c r="H290" t="n">
        <x:f>SUMIFS('City Density Ranking'!$H$6:$H$974,'City Density Ranking'!$O$6:$O$974,B290,'City Density Ranking'!$C$6:$C$974,C290)</x:f>
        <x:v>0</x:v>
      </x:c>
      <x:c r="I290" t="n">
        <x:f>SUMIFS('City Density Ranking'!$I$6:$I$974,'City Density Ranking'!$O$6:$O$974,B290,'City Density Ranking'!$C$6:$C$974,C290)</x:f>
        <x:v>0</x:v>
      </x:c>
      <x:c r="J290" t="n">
        <x:f>SUMIFS('City Density Ranking'!$J$6:$J$974,'City Density Ranking'!$O$6:$O$974,B290,'City Density Ranking'!$C$6:$C$974,C290)</x:f>
        <x:v>1</x:v>
      </x:c>
      <x:c r="K290" t="n">
        <x:f>SUM(E290:J290)</x:f>
        <x:v>1</x:v>
      </x:c>
      <x:c r="L290" s="161" t="n">
        <x:v>1698.026787525001</x:v>
      </x:c>
      <x:c r="M290" s="163" t="n">
        <x:f>IFERROR(K290/L290,0)</x:f>
        <x:v>0.0005889188600243307</x:v>
      </x:c>
      <x:c r="N290" s="160" t="str">
        <x:v>Anchorage</x:v>
      </x:c>
      <x:c r="O290" s="160" t="str">
        <x:v>Includes proxy city rows</x:v>
      </x:c>
      <x:c r="P290" s="160" t="str">
        <x:v>Aggregated from 1 city/municipality screening rows; overlapping catchments are not deduplicated.</x:v>
      </x:c>
      <x:c r="Q290" s="160" t="str">
        <x:v>Estimated county land area: geodesic polygon × 0.972 land/total calibration</x:v>
      </x:c>
    </x:row>
    <x:row r="291">
      <x:c r="A291" t="n">
        <x:v>296</x:v>
      </x:c>
      <x:c r="B291" t="str">
        <x:v>Spokane County</x:v>
      </x:c>
      <x:c r="C291" t="str">
        <x:v>WA</x:v>
      </x:c>
      <x:c r="D291" t="str">
        <x:v>53063</x:v>
      </x:c>
      <x:c r="E291" t="n">
        <x:f>SUMIFS('City Density Ranking'!$E$6:$E$974,'City Density Ranking'!$O$6:$O$974,B291,'City Density Ranking'!$C$6:$C$974,C291)</x:f>
        <x:v>0</x:v>
      </x:c>
      <x:c r="F291" t="n">
        <x:f>SUMIFS('City Density Ranking'!$F$6:$F$974,'City Density Ranking'!$O$6:$O$974,B291,'City Density Ranking'!$C$6:$C$974,C291)</x:f>
        <x:v>0</x:v>
      </x:c>
      <x:c r="G291" t="n">
        <x:f>SUMIFS('City Density Ranking'!$G$6:$G$974,'City Density Ranking'!$O$6:$O$974,B291,'City Density Ranking'!$C$6:$C$974,C291)</x:f>
        <x:v>0</x:v>
      </x:c>
      <x:c r="H291" t="n">
        <x:f>SUMIFS('City Density Ranking'!$H$6:$H$974,'City Density Ranking'!$O$6:$O$974,B291,'City Density Ranking'!$C$6:$C$974,C291)</x:f>
        <x:v>0</x:v>
      </x:c>
      <x:c r="I291" t="n">
        <x:f>SUMIFS('City Density Ranking'!$I$6:$I$974,'City Density Ranking'!$O$6:$O$974,B291,'City Density Ranking'!$C$6:$C$974,C291)</x:f>
        <x:v>0</x:v>
      </x:c>
      <x:c r="J291" t="n">
        <x:f>SUMIFS('City Density Ranking'!$J$6:$J$974,'City Density Ranking'!$O$6:$O$974,B291,'City Density Ranking'!$C$6:$C$974,C291)</x:f>
        <x:v>1</x:v>
      </x:c>
      <x:c r="K291" t="n">
        <x:f>SUM(E291:J291)</x:f>
        <x:v>1</x:v>
      </x:c>
      <x:c r="L291" s="161" t="n">
        <x:v>1716.521368091512</x:v>
      </x:c>
      <x:c r="M291" s="163" t="n">
        <x:f>IFERROR(K291/L291,0)</x:f>
        <x:v>0.0005825735808414869</x:v>
      </x:c>
      <x:c r="N291" s="160" t="str">
        <x:v>Spokane</x:v>
      </x:c>
      <x:c r="O291" s="160" t="str">
        <x:v>Includes proxy city rows</x:v>
      </x:c>
      <x:c r="P291" s="160" t="str">
        <x:v>Aggregated from 1 city/municipality screening rows; overlapping catchments are not deduplicated.</x:v>
      </x:c>
      <x:c r="Q291" s="160" t="str">
        <x:v>Estimated county land area: geodesic polygon × 0.964 land/total calibration</x:v>
      </x:c>
    </x:row>
    <x:row r="292">
      <x:c r="A292" t="n">
        <x:v>297</x:v>
      </x:c>
      <x:c r="B292" t="str">
        <x:v>Cass County</x:v>
      </x:c>
      <x:c r="C292" t="str">
        <x:v>ND</x:v>
      </x:c>
      <x:c r="D292" t="str">
        <x:v>38017</x:v>
      </x:c>
      <x:c r="E292" t="n">
        <x:f>SUMIFS('City Density Ranking'!$E$6:$E$974,'City Density Ranking'!$O$6:$O$974,B292,'City Density Ranking'!$C$6:$C$974,C292)</x:f>
        <x:v>0</x:v>
      </x:c>
      <x:c r="F292" t="n">
        <x:f>SUMIFS('City Density Ranking'!$F$6:$F$974,'City Density Ranking'!$O$6:$O$974,B292,'City Density Ranking'!$C$6:$C$974,C292)</x:f>
        <x:v>0</x:v>
      </x:c>
      <x:c r="G292" t="n">
        <x:f>SUMIFS('City Density Ranking'!$G$6:$G$974,'City Density Ranking'!$O$6:$O$974,B292,'City Density Ranking'!$C$6:$C$974,C292)</x:f>
        <x:v>0</x:v>
      </x:c>
      <x:c r="H292" t="n">
        <x:f>SUMIFS('City Density Ranking'!$H$6:$H$974,'City Density Ranking'!$O$6:$O$974,B292,'City Density Ranking'!$C$6:$C$974,C292)</x:f>
        <x:v>0</x:v>
      </x:c>
      <x:c r="I292" t="n">
        <x:f>SUMIFS('City Density Ranking'!$I$6:$I$974,'City Density Ranking'!$O$6:$O$974,B292,'City Density Ranking'!$C$6:$C$974,C292)</x:f>
        <x:v>0</x:v>
      </x:c>
      <x:c r="J292" t="n">
        <x:f>SUMIFS('City Density Ranking'!$J$6:$J$974,'City Density Ranking'!$O$6:$O$974,B292,'City Density Ranking'!$C$6:$C$974,C292)</x:f>
        <x:v>1</x:v>
      </x:c>
      <x:c r="K292" t="n">
        <x:f>SUM(E292:J292)</x:f>
        <x:v>1</x:v>
      </x:c>
      <x:c r="L292" s="161" t="n">
        <x:v>1718.601159087165</x:v>
      </x:c>
      <x:c r="M292" s="163" t="n">
        <x:f>IFERROR(K292/L292,0)</x:f>
        <x:v>0.0005818685706759037</x:v>
      </x:c>
      <x:c r="N292" s="160" t="str">
        <x:v>Fargo</x:v>
      </x:c>
      <x:c r="O292" s="160" t="str">
        <x:v>Includes proxy city rows</x:v>
      </x:c>
      <x:c r="P292" s="160" t="str">
        <x:v>Aggregated from 1 city/municipality screening rows; overlapping catchments are not deduplicated.</x:v>
      </x:c>
      <x:c r="Q292" s="160" t="str">
        <x:v>Estimated county land area: geodesic polygon × 0.972 land/total calibration</x:v>
      </x:c>
    </x:row>
    <x:row r="293">
      <x:c r="A293" t="n">
        <x:v>298</x:v>
      </x:c>
      <x:c r="B293" t="str">
        <x:v>Polk County</x:v>
      </x:c>
      <x:c r="C293" t="str">
        <x:v>FL</x:v>
      </x:c>
      <x:c r="D293" t="str">
        <x:v>12105</x:v>
      </x:c>
      <x:c r="E293" t="n">
        <x:f>SUMIFS('City Density Ranking'!$E$6:$E$974,'City Density Ranking'!$O$6:$O$974,B293,'City Density Ranking'!$C$6:$C$974,C293)</x:f>
        <x:v>0</x:v>
      </x:c>
      <x:c r="F293" t="n">
        <x:f>SUMIFS('City Density Ranking'!$F$6:$F$974,'City Density Ranking'!$O$6:$O$974,B293,'City Density Ranking'!$C$6:$C$974,C293)</x:f>
        <x:v>0</x:v>
      </x:c>
      <x:c r="G293" t="n">
        <x:f>SUMIFS('City Density Ranking'!$G$6:$G$974,'City Density Ranking'!$O$6:$O$974,B293,'City Density Ranking'!$C$6:$C$974,C293)</x:f>
        <x:v>0</x:v>
      </x:c>
      <x:c r="H293" t="n">
        <x:f>SUMIFS('City Density Ranking'!$H$6:$H$974,'City Density Ranking'!$O$6:$O$974,B293,'City Density Ranking'!$C$6:$C$974,C293)</x:f>
        <x:v>0</x:v>
      </x:c>
      <x:c r="I293" t="n">
        <x:f>SUMIFS('City Density Ranking'!$I$6:$I$974,'City Density Ranking'!$O$6:$O$974,B293,'City Density Ranking'!$C$6:$C$974,C293)</x:f>
        <x:v>0</x:v>
      </x:c>
      <x:c r="J293" t="n">
        <x:f>SUMIFS('City Density Ranking'!$J$6:$J$974,'City Density Ranking'!$O$6:$O$974,B293,'City Density Ranking'!$C$6:$C$974,C293)</x:f>
        <x:v>1</x:v>
      </x:c>
      <x:c r="K293" t="n">
        <x:f>SUM(E293:J293)</x:f>
        <x:v>1</x:v>
      </x:c>
      <x:c r="L293" s="161" t="n">
        <x:v>1809.494102142315</x:v>
      </x:c>
      <x:c r="M293" s="163" t="n">
        <x:f>IFERROR(K293/L293,0)</x:f>
        <x:v>0.0005526406517800029</x:v>
      </x:c>
      <x:c r="N293" s="160" t="str">
        <x:v>Lakeland</x:v>
      </x:c>
      <x:c r="O293" s="160" t="str">
        <x:v>Includes proxy city rows</x:v>
      </x:c>
      <x:c r="P293" s="160" t="str">
        <x:v>Aggregated from 1 city/municipality screening rows; overlapping catchments are not deduplicated.</x:v>
      </x:c>
      <x:c r="Q293" s="160" t="str">
        <x:v>Estimated county land area: geodesic polygon × 0.900 land/total calibration</x:v>
      </x:c>
    </x:row>
    <x:row r="294">
      <x:c r="A294" t="n">
        <x:v>299</x:v>
      </x:c>
      <x:c r="B294" t="str">
        <x:v>Palm Beach County</x:v>
      </x:c>
      <x:c r="C294" t="str">
        <x:v>FL</x:v>
      </x:c>
      <x:c r="D294" t="str">
        <x:v>12099</x:v>
      </x:c>
      <x:c r="E294" t="n">
        <x:f>SUMIFS('City Density Ranking'!$E$6:$E$974,'City Density Ranking'!$O$6:$O$974,B294,'City Density Ranking'!$C$6:$C$974,C294)</x:f>
        <x:v>0</x:v>
      </x:c>
      <x:c r="F294" t="n">
        <x:f>SUMIFS('City Density Ranking'!$F$6:$F$974,'City Density Ranking'!$O$6:$O$974,B294,'City Density Ranking'!$C$6:$C$974,C294)</x:f>
        <x:v>0</x:v>
      </x:c>
      <x:c r="G294" t="n">
        <x:f>SUMIFS('City Density Ranking'!$G$6:$G$974,'City Density Ranking'!$O$6:$O$974,B294,'City Density Ranking'!$C$6:$C$974,C294)</x:f>
        <x:v>0</x:v>
      </x:c>
      <x:c r="H294" t="n">
        <x:f>SUMIFS('City Density Ranking'!$H$6:$H$974,'City Density Ranking'!$O$6:$O$974,B294,'City Density Ranking'!$C$6:$C$974,C294)</x:f>
        <x:v>0</x:v>
      </x:c>
      <x:c r="I294" t="n">
        <x:f>SUMIFS('City Density Ranking'!$I$6:$I$974,'City Density Ranking'!$O$6:$O$974,B294,'City Density Ranking'!$C$6:$C$974,C294)</x:f>
        <x:v>0</x:v>
      </x:c>
      <x:c r="J294" t="n">
        <x:f>SUMIFS('City Density Ranking'!$J$6:$J$974,'City Density Ranking'!$O$6:$O$974,B294,'City Density Ranking'!$C$6:$C$974,C294)</x:f>
        <x:v>1</x:v>
      </x:c>
      <x:c r="K294" t="n">
        <x:f>SUM(E294:J294)</x:f>
        <x:v>1</x:v>
      </x:c>
      <x:c r="L294" s="161" t="n">
        <x:v>2004.423321078538</x:v>
      </x:c>
      <x:c r="M294" s="163" t="n">
        <x:f>IFERROR(K294/L294,0)</x:f>
        <x:v>0.0004988966100543677</x:v>
      </x:c>
      <x:c r="N294" s="160" t="str">
        <x:v>West Palm Beach</x:v>
      </x:c>
      <x:c r="O294" s="160" t="str">
        <x:v>Includes proxy city rows</x:v>
      </x:c>
      <x:c r="P294" s="160" t="str">
        <x:v>Aggregated from 1 city/municipality screening rows; overlapping catchments are not deduplicated.</x:v>
      </x:c>
      <x:c r="Q294" s="160" t="str">
        <x:v>Estimated county land area: geodesic polygon × 0.900 land/total calibration</x:v>
      </x:c>
    </x:row>
    <x:row r="295">
      <x:c r="A295" t="n">
        <x:v>300</x:v>
      </x:c>
      <x:c r="B295" t="str">
        <x:v>Snohomish County</x:v>
      </x:c>
      <x:c r="C295" t="str">
        <x:v>WA</x:v>
      </x:c>
      <x:c r="D295" t="str">
        <x:v>53061</x:v>
      </x:c>
      <x:c r="E295" t="n">
        <x:f>SUMIFS('City Density Ranking'!$E$6:$E$974,'City Density Ranking'!$O$6:$O$974,B295,'City Density Ranking'!$C$6:$C$974,C295)</x:f>
        <x:v>0</x:v>
      </x:c>
      <x:c r="F295" t="n">
        <x:f>SUMIFS('City Density Ranking'!$F$6:$F$974,'City Density Ranking'!$O$6:$O$974,B295,'City Density Ranking'!$C$6:$C$974,C295)</x:f>
        <x:v>0</x:v>
      </x:c>
      <x:c r="G295" t="n">
        <x:f>SUMIFS('City Density Ranking'!$G$6:$G$974,'City Density Ranking'!$O$6:$O$974,B295,'City Density Ranking'!$C$6:$C$974,C295)</x:f>
        <x:v>0</x:v>
      </x:c>
      <x:c r="H295" t="n">
        <x:f>SUMIFS('City Density Ranking'!$H$6:$H$974,'City Density Ranking'!$O$6:$O$974,B295,'City Density Ranking'!$C$6:$C$974,C295)</x:f>
        <x:v>0</x:v>
      </x:c>
      <x:c r="I295" t="n">
        <x:f>SUMIFS('City Density Ranking'!$I$6:$I$974,'City Density Ranking'!$O$6:$O$974,B295,'City Density Ranking'!$C$6:$C$974,C295)</x:f>
        <x:v>0</x:v>
      </x:c>
      <x:c r="J295" t="n">
        <x:f>SUMIFS('City Density Ranking'!$J$6:$J$974,'City Density Ranking'!$O$6:$O$974,B295,'City Density Ranking'!$C$6:$C$974,C295)</x:f>
        <x:v>1</x:v>
      </x:c>
      <x:c r="K295" t="n">
        <x:f>SUM(E295:J295)</x:f>
        <x:v>1</x:v>
      </x:c>
      <x:c r="L295" s="161" t="n">
        <x:v>2037.390461214639</x:v>
      </x:c>
      <x:c r="M295" s="163" t="n">
        <x:f>IFERROR(K295/L295,0)</x:f>
        <x:v>0.0004908239333779084</x:v>
      </x:c>
      <x:c r="N295" s="160" t="str">
        <x:v>Everett</x:v>
      </x:c>
      <x:c r="O295" s="160" t="str">
        <x:v>Includes proxy city rows</x:v>
      </x:c>
      <x:c r="P295" s="160" t="str">
        <x:v>Aggregated from 1 city/municipality screening rows; overlapping catchments are not deduplicated.</x:v>
      </x:c>
      <x:c r="Q295" s="160" t="str">
        <x:v>Estimated county land area: geodesic polygon × 0.964 land/total calibration</x:v>
      </x:c>
    </x:row>
    <x:row r="296">
      <x:c r="A296" t="n">
        <x:v>301</x:v>
      </x:c>
      <x:c r="B296" t="str">
        <x:v>Utah County</x:v>
      </x:c>
      <x:c r="C296" t="str">
        <x:v>UT</x:v>
      </x:c>
      <x:c r="D296" t="str">
        <x:v>49049</x:v>
      </x:c>
      <x:c r="E296" t="n">
        <x:f>SUMIFS('City Density Ranking'!$E$6:$E$974,'City Density Ranking'!$O$6:$O$974,B296,'City Density Ranking'!$C$6:$C$974,C296)</x:f>
        <x:v>0</x:v>
      </x:c>
      <x:c r="F296" t="n">
        <x:f>SUMIFS('City Density Ranking'!$F$6:$F$974,'City Density Ranking'!$O$6:$O$974,B296,'City Density Ranking'!$C$6:$C$974,C296)</x:f>
        <x:v>0</x:v>
      </x:c>
      <x:c r="G296" t="n">
        <x:f>SUMIFS('City Density Ranking'!$G$6:$G$974,'City Density Ranking'!$O$6:$O$974,B296,'City Density Ranking'!$C$6:$C$974,C296)</x:f>
        <x:v>0</x:v>
      </x:c>
      <x:c r="H296" t="n">
        <x:f>SUMIFS('City Density Ranking'!$H$6:$H$974,'City Density Ranking'!$O$6:$O$974,B296,'City Density Ranking'!$C$6:$C$974,C296)</x:f>
        <x:v>0</x:v>
      </x:c>
      <x:c r="I296" t="n">
        <x:f>SUMIFS('City Density Ranking'!$I$6:$I$974,'City Density Ranking'!$O$6:$O$974,B296,'City Density Ranking'!$C$6:$C$974,C296)</x:f>
        <x:v>0</x:v>
      </x:c>
      <x:c r="J296" t="n">
        <x:f>SUMIFS('City Density Ranking'!$J$6:$J$974,'City Density Ranking'!$O$6:$O$974,B296,'City Density Ranking'!$C$6:$C$974,C296)</x:f>
        <x:v>1</x:v>
      </x:c>
      <x:c r="K296" t="n">
        <x:f>SUM(E296:J296)</x:f>
        <x:v>1</x:v>
      </x:c>
      <x:c r="L296" s="161" t="n">
        <x:v>2084.612115824961</x:v>
      </x:c>
      <x:c r="M296" s="163" t="n">
        <x:f>IFERROR(K296/L296,0)</x:f>
        <x:v>0.00047970554925239007</x:v>
      </x:c>
      <x:c r="N296" s="160" t="str">
        <x:v>Provo</x:v>
      </x:c>
      <x:c r="O296" s="160" t="str">
        <x:v>Includes proxy city rows</x:v>
      </x:c>
      <x:c r="P296" s="160" t="str">
        <x:v>Aggregated from 1 city/municipality screening rows; overlapping catchments are not deduplicated.</x:v>
      </x:c>
      <x:c r="Q296" s="160" t="str">
        <x:v>Estimated county land area: geodesic polygon × 0.972 land/total calibration</x:v>
      </x:c>
    </x:row>
    <x:row r="297">
      <x:c r="A297" t="n">
        <x:v>302</x:v>
      </x:c>
      <x:c r="B297" t="str">
        <x:v>El Paso County</x:v>
      </x:c>
      <x:c r="C297" t="str">
        <x:v>CO</x:v>
      </x:c>
      <x:c r="D297" t="str">
        <x:v>08041</x:v>
      </x:c>
      <x:c r="E297" t="n">
        <x:f>SUMIFS('City Density Ranking'!$E$6:$E$974,'City Density Ranking'!$O$6:$O$974,B297,'City Density Ranking'!$C$6:$C$974,C297)</x:f>
        <x:v>1</x:v>
      </x:c>
      <x:c r="F297" t="n">
        <x:f>SUMIFS('City Density Ranking'!$F$6:$F$974,'City Density Ranking'!$O$6:$O$974,B297,'City Density Ranking'!$C$6:$C$974,C297)</x:f>
        <x:v>0</x:v>
      </x:c>
      <x:c r="G297" t="n">
        <x:f>SUMIFS('City Density Ranking'!$G$6:$G$974,'City Density Ranking'!$O$6:$O$974,B297,'City Density Ranking'!$C$6:$C$974,C297)</x:f>
        <x:v>0</x:v>
      </x:c>
      <x:c r="H297" t="n">
        <x:f>SUMIFS('City Density Ranking'!$H$6:$H$974,'City Density Ranking'!$O$6:$O$974,B297,'City Density Ranking'!$C$6:$C$974,C297)</x:f>
        <x:v>0</x:v>
      </x:c>
      <x:c r="I297" t="n">
        <x:f>SUMIFS('City Density Ranking'!$I$6:$I$974,'City Density Ranking'!$O$6:$O$974,B297,'City Density Ranking'!$C$6:$C$974,C297)</x:f>
        <x:v>0</x:v>
      </x:c>
      <x:c r="J297" t="n">
        <x:f>SUMIFS('City Density Ranking'!$J$6:$J$974,'City Density Ranking'!$O$6:$O$974,B297,'City Density Ranking'!$C$6:$C$974,C297)</x:f>
        <x:v>0</x:v>
      </x:c>
      <x:c r="K297" t="n">
        <x:f>SUM(E297:J297)</x:f>
        <x:v>1</x:v>
      </x:c>
      <x:c r="L297" s="161" t="n">
        <x:v>2126.414</x:v>
      </x:c>
      <x:c r="M297" s="163" t="n">
        <x:f>IFERROR(K297/L297,0)</x:f>
        <x:v>0.00047027530857114366</x:v>
      </x:c>
      <x:c r="N297" s="160" t="str">
        <x:v>Colorado Springs</x:v>
      </x:c>
      <x:c r="O297" s="160" t="str">
        <x:v>Lower-bound city counts only</x:v>
      </x:c>
      <x:c r="P297" s="160" t="str">
        <x:v>Aggregated from 1 city/municipality screening rows; overlapping catchments are not deduplicated.</x:v>
      </x:c>
      <x:c r="Q297" s="160" t="str">
        <x:v>Verified Census land area (retained)</x:v>
      </x:c>
    </x:row>
    <x:row r="298">
      <x:c r="A298" t="n">
        <x:v>303</x:v>
      </x:c>
      <x:c r="B298" t="str">
        <x:v>Washington County</x:v>
      </x:c>
      <x:c r="C298" t="str">
        <x:v>UT</x:v>
      </x:c>
      <x:c r="D298" t="str">
        <x:v>49053</x:v>
      </x:c>
      <x:c r="E298" t="n">
        <x:f>SUMIFS('City Density Ranking'!$E$6:$E$974,'City Density Ranking'!$O$6:$O$974,B298,'City Density Ranking'!$C$6:$C$974,C298)</x:f>
        <x:v>0</x:v>
      </x:c>
      <x:c r="F298" t="n">
        <x:f>SUMIFS('City Density Ranking'!$F$6:$F$974,'City Density Ranking'!$O$6:$O$974,B298,'City Density Ranking'!$C$6:$C$974,C298)</x:f>
        <x:v>0</x:v>
      </x:c>
      <x:c r="G298" t="n">
        <x:f>SUMIFS('City Density Ranking'!$G$6:$G$974,'City Density Ranking'!$O$6:$O$974,B298,'City Density Ranking'!$C$6:$C$974,C298)</x:f>
        <x:v>0</x:v>
      </x:c>
      <x:c r="H298" t="n">
        <x:f>SUMIFS('City Density Ranking'!$H$6:$H$974,'City Density Ranking'!$O$6:$O$974,B298,'City Density Ranking'!$C$6:$C$974,C298)</x:f>
        <x:v>0</x:v>
      </x:c>
      <x:c r="I298" t="n">
        <x:f>SUMIFS('City Density Ranking'!$I$6:$I$974,'City Density Ranking'!$O$6:$O$974,B298,'City Density Ranking'!$C$6:$C$974,C298)</x:f>
        <x:v>0</x:v>
      </x:c>
      <x:c r="J298" t="n">
        <x:f>SUMIFS('City Density Ranking'!$J$6:$J$974,'City Density Ranking'!$O$6:$O$974,B298,'City Density Ranking'!$C$6:$C$974,C298)</x:f>
        <x:v>1</x:v>
      </x:c>
      <x:c r="K298" t="n">
        <x:f>SUM(E298:J298)</x:f>
        <x:v>1</x:v>
      </x:c>
      <x:c r="L298" s="161" t="n">
        <x:v>2361.54491809767</x:v>
      </x:c>
      <x:c r="M298" s="163" t="n">
        <x:f>IFERROR(K298/L298,0)</x:f>
        <x:v>0.00042345161099266524</x:v>
      </x:c>
      <x:c r="N298" s="160" t="str">
        <x:v>St. George</x:v>
      </x:c>
      <x:c r="O298" s="160" t="str">
        <x:v>Includes proxy city rows</x:v>
      </x:c>
      <x:c r="P298" s="160" t="str">
        <x:v>Aggregated from 1 city/municipality screening rows; overlapping catchments are not deduplicated.</x:v>
      </x:c>
      <x:c r="Q298" s="160" t="str">
        <x:v>Estimated county land area: geodesic polygon × 0.972 land/total calibration</x:v>
      </x:c>
    </x:row>
    <x:row r="299">
      <x:c r="A299" t="n">
        <x:v>304</x:v>
      </x:c>
      <x:c r="B299" t="str">
        <x:v>Pueblo County</x:v>
      </x:c>
      <x:c r="C299" t="str">
        <x:v>CO</x:v>
      </x:c>
      <x:c r="D299" t="str">
        <x:v>08101</x:v>
      </x:c>
      <x:c r="E299" t="n">
        <x:f>SUMIFS('City Density Ranking'!$E$6:$E$974,'City Density Ranking'!$O$6:$O$974,B299,'City Density Ranking'!$C$6:$C$974,C299)</x:f>
        <x:v>0</x:v>
      </x:c>
      <x:c r="F299" t="n">
        <x:f>SUMIFS('City Density Ranking'!$F$6:$F$974,'City Density Ranking'!$O$6:$O$974,B299,'City Density Ranking'!$C$6:$C$974,C299)</x:f>
        <x:v>0</x:v>
      </x:c>
      <x:c r="G299" t="n">
        <x:f>SUMIFS('City Density Ranking'!$G$6:$G$974,'City Density Ranking'!$O$6:$O$974,B299,'City Density Ranking'!$C$6:$C$974,C299)</x:f>
        <x:v>0</x:v>
      </x:c>
      <x:c r="H299" t="n">
        <x:f>SUMIFS('City Density Ranking'!$H$6:$H$974,'City Density Ranking'!$O$6:$O$974,B299,'City Density Ranking'!$C$6:$C$974,C299)</x:f>
        <x:v>0</x:v>
      </x:c>
      <x:c r="I299" t="n">
        <x:f>SUMIFS('City Density Ranking'!$I$6:$I$974,'City Density Ranking'!$O$6:$O$974,B299,'City Density Ranking'!$C$6:$C$974,C299)</x:f>
        <x:v>0</x:v>
      </x:c>
      <x:c r="J299" t="n">
        <x:f>SUMIFS('City Density Ranking'!$J$6:$J$974,'City Density Ranking'!$O$6:$O$974,B299,'City Density Ranking'!$C$6:$C$974,C299)</x:f>
        <x:v>1</x:v>
      </x:c>
      <x:c r="K299" t="n">
        <x:f>SUM(E299:J299)</x:f>
        <x:v>1</x:v>
      </x:c>
      <x:c r="L299" s="161" t="n">
        <x:v>2376.393047803198</x:v>
      </x:c>
      <x:c r="M299" s="163" t="n">
        <x:f>IFERROR(K299/L299,0)</x:f>
        <x:v>0.0004208058094280435</x:v>
      </x:c>
      <x:c r="N299" s="160" t="str">
        <x:v>Pueblo</x:v>
      </x:c>
      <x:c r="O299" s="160" t="str">
        <x:v>Includes proxy city rows</x:v>
      </x:c>
      <x:c r="P299" s="160" t="str">
        <x:v>Aggregated from 1 city/municipality screening rows; overlapping catchments are not deduplicated.</x:v>
      </x:c>
      <x:c r="Q299" s="160" t="str">
        <x:v>Estimated county land area: geodesic polygon × 0.990 land/total calibration</x:v>
      </x:c>
    </x:row>
    <x:row r="300">
      <x:c r="A300" t="n">
        <x:v>305</x:v>
      </x:c>
      <x:c r="B300" t="str">
        <x:v>Yellowstone County</x:v>
      </x:c>
      <x:c r="C300" t="str">
        <x:v>MT</x:v>
      </x:c>
      <x:c r="D300" t="str">
        <x:v>30111</x:v>
      </x:c>
      <x:c r="E300" t="n">
        <x:f>SUMIFS('City Density Ranking'!$E$6:$E$974,'City Density Ranking'!$O$6:$O$974,B300,'City Density Ranking'!$C$6:$C$974,C300)</x:f>
        <x:v>0</x:v>
      </x:c>
      <x:c r="F300" t="n">
        <x:f>SUMIFS('City Density Ranking'!$F$6:$F$974,'City Density Ranking'!$O$6:$O$974,B300,'City Density Ranking'!$C$6:$C$974,C300)</x:f>
        <x:v>0</x:v>
      </x:c>
      <x:c r="G300" t="n">
        <x:f>SUMIFS('City Density Ranking'!$G$6:$G$974,'City Density Ranking'!$O$6:$O$974,B300,'City Density Ranking'!$C$6:$C$974,C300)</x:f>
        <x:v>0</x:v>
      </x:c>
      <x:c r="H300" t="n">
        <x:f>SUMIFS('City Density Ranking'!$H$6:$H$974,'City Density Ranking'!$O$6:$O$974,B300,'City Density Ranking'!$C$6:$C$974,C300)</x:f>
        <x:v>0</x:v>
      </x:c>
      <x:c r="I300" t="n">
        <x:f>SUMIFS('City Density Ranking'!$I$6:$I$974,'City Density Ranking'!$O$6:$O$974,B300,'City Density Ranking'!$C$6:$C$974,C300)</x:f>
        <x:v>0</x:v>
      </x:c>
      <x:c r="J300" t="n">
        <x:f>SUMIFS('City Density Ranking'!$J$6:$J$974,'City Density Ranking'!$O$6:$O$974,B300,'City Density Ranking'!$C$6:$C$974,C300)</x:f>
        <x:v>1</x:v>
      </x:c>
      <x:c r="K300" t="n">
        <x:f>SUM(E300:J300)</x:f>
        <x:v>1</x:v>
      </x:c>
      <x:c r="L300" s="161" t="n">
        <x:v>2574.852941000954</x:v>
      </x:c>
      <x:c r="M300" s="163" t="n">
        <x:f>IFERROR(K300/L300,0)</x:f>
        <x:v>0.0003883716945835585</x:v>
      </x:c>
      <x:c r="N300" s="160" t="str">
        <x:v>Billings</x:v>
      </x:c>
      <x:c r="O300" s="160" t="str">
        <x:v>Includes proxy city rows</x:v>
      </x:c>
      <x:c r="P300" s="160" t="str">
        <x:v>Aggregated from 1 city/municipality screening rows; overlapping catchments are not deduplicated.</x:v>
      </x:c>
      <x:c r="Q300" s="160" t="str">
        <x:v>Estimated county land area: geodesic polygon × 0.972 land/total calibration</x:v>
      </x:c>
    </x:row>
    <x:row r="301">
      <x:c r="A301" t="n">
        <x:v>306</x:v>
      </x:c>
      <x:c r="B301" t="str">
        <x:v>Larimer County</x:v>
      </x:c>
      <x:c r="C301" t="str">
        <x:v>CO</x:v>
      </x:c>
      <x:c r="D301" t="str">
        <x:v>08069</x:v>
      </x:c>
      <x:c r="E301" t="n">
        <x:f>SUMIFS('City Density Ranking'!$E$6:$E$974,'City Density Ranking'!$O$6:$O$974,B301,'City Density Ranking'!$C$6:$C$974,C301)</x:f>
        <x:v>0</x:v>
      </x:c>
      <x:c r="F301" t="n">
        <x:f>SUMIFS('City Density Ranking'!$F$6:$F$974,'City Density Ranking'!$O$6:$O$974,B301,'City Density Ranking'!$C$6:$C$974,C301)</x:f>
        <x:v>0</x:v>
      </x:c>
      <x:c r="G301" t="n">
        <x:f>SUMIFS('City Density Ranking'!$G$6:$G$974,'City Density Ranking'!$O$6:$O$974,B301,'City Density Ranking'!$C$6:$C$974,C301)</x:f>
        <x:v>0</x:v>
      </x:c>
      <x:c r="H301" t="n">
        <x:f>SUMIFS('City Density Ranking'!$H$6:$H$974,'City Density Ranking'!$O$6:$O$974,B301,'City Density Ranking'!$C$6:$C$974,C301)</x:f>
        <x:v>0</x:v>
      </x:c>
      <x:c r="I301" t="n">
        <x:f>SUMIFS('City Density Ranking'!$I$6:$I$974,'City Density Ranking'!$O$6:$O$974,B301,'City Density Ranking'!$C$6:$C$974,C301)</x:f>
        <x:v>0</x:v>
      </x:c>
      <x:c r="J301" t="n">
        <x:f>SUMIFS('City Density Ranking'!$J$6:$J$974,'City Density Ranking'!$O$6:$O$974,B301,'City Density Ranking'!$C$6:$C$974,C301)</x:f>
        <x:v>1</x:v>
      </x:c>
      <x:c r="K301" t="n">
        <x:f>SUM(E301:J301)</x:f>
        <x:v>1</x:v>
      </x:c>
      <x:c r="L301" s="161" t="n">
        <x:v>2608.448892397213</x:v>
      </x:c>
      <x:c r="M301" s="163" t="n">
        <x:f>IFERROR(K301/L301,0)</x:f>
        <x:v>0.0003833695967418328</x:v>
      </x:c>
      <x:c r="N301" s="160" t="str">
        <x:v>Fort Collins</x:v>
      </x:c>
      <x:c r="O301" s="160" t="str">
        <x:v>Includes proxy city rows</x:v>
      </x:c>
      <x:c r="P301" s="160" t="str">
        <x:v>Aggregated from 1 city/municipality screening rows; overlapping catchments are not deduplicated.</x:v>
      </x:c>
      <x:c r="Q301" s="160" t="str">
        <x:v>Estimated county land area: geodesic polygon × 0.990 land/total calibration</x:v>
      </x:c>
    </x:row>
    <x:row r="302">
      <x:c r="A302" t="n">
        <x:v>307</x:v>
      </x:c>
      <x:c r="B302" t="str">
        <x:v>Pinal County</x:v>
      </x:c>
      <x:c r="C302" t="str">
        <x:v>AZ</x:v>
      </x:c>
      <x:c r="D302" t="str">
        <x:v>04021</x:v>
      </x:c>
      <x:c r="E302" t="n">
        <x:f>SUMIFS('City Density Ranking'!$E$6:$E$974,'City Density Ranking'!$O$6:$O$974,B302,'City Density Ranking'!$C$6:$C$974,C302)</x:f>
        <x:v>0</x:v>
      </x:c>
      <x:c r="F302" t="n">
        <x:f>SUMIFS('City Density Ranking'!$F$6:$F$974,'City Density Ranking'!$O$6:$O$974,B302,'City Density Ranking'!$C$6:$C$974,C302)</x:f>
        <x:v>1</x:v>
      </x:c>
      <x:c r="G302" t="n">
        <x:f>SUMIFS('City Density Ranking'!$G$6:$G$974,'City Density Ranking'!$O$6:$O$974,B302,'City Density Ranking'!$C$6:$C$974,C302)</x:f>
        <x:v>0</x:v>
      </x:c>
      <x:c r="H302" t="n">
        <x:f>SUMIFS('City Density Ranking'!$H$6:$H$974,'City Density Ranking'!$O$6:$O$974,B302,'City Density Ranking'!$C$6:$C$974,C302)</x:f>
        <x:v>0</x:v>
      </x:c>
      <x:c r="I302" t="n">
        <x:f>SUMIFS('City Density Ranking'!$I$6:$I$974,'City Density Ranking'!$O$6:$O$974,B302,'City Density Ranking'!$C$6:$C$974,C302)</x:f>
        <x:v>0</x:v>
      </x:c>
      <x:c r="J302" t="n">
        <x:f>SUMIFS('City Density Ranking'!$J$6:$J$974,'City Density Ranking'!$O$6:$O$974,B302,'City Density Ranking'!$C$6:$C$974,C302)</x:f>
        <x:v>1</x:v>
      </x:c>
      <x:c r="K302" t="n">
        <x:f>SUM(E302:J302)</x:f>
        <x:v>2</x:v>
      </x:c>
      <x:c r="L302" s="161" t="n">
        <x:v>5366.684</x:v>
      </x:c>
      <x:c r="M302" s="163" t="n">
        <x:f>IFERROR(K302/L302,0)</x:f>
        <x:v>0.0003726696038000374</x:v>
      </x:c>
      <x:c r="N302" s="160" t="str">
        <x:v>Casa Grande, Maricopa</x:v>
      </x:c>
      <x:c r="O302" s="160" t="str">
        <x:v>Includes proxy city rows</x:v>
      </x:c>
      <x:c r="P302" s="160" t="str">
        <x:v>Aggregated from 2 city/municipality screening rows; overlapping catchments are not deduplicated.</x:v>
      </x:c>
      <x:c r="Q302" s="160" t="str">
        <x:v>Verified Census 2025 Gazetteer land area</x:v>
      </x:c>
    </x:row>
    <x:row r="303">
      <x:c r="A303" t="n">
        <x:v>308</x:v>
      </x:c>
      <x:c r="B303" t="str">
        <x:v>Santa Barbara County</x:v>
      </x:c>
      <x:c r="C303" t="str">
        <x:v>CA</x:v>
      </x:c>
      <x:c r="D303" t="str">
        <x:v>06083</x:v>
      </x:c>
      <x:c r="E303" t="n">
        <x:f>SUMIFS('City Density Ranking'!$E$6:$E$974,'City Density Ranking'!$O$6:$O$974,B303,'City Density Ranking'!$C$6:$C$974,C303)</x:f>
        <x:v>0</x:v>
      </x:c>
      <x:c r="F303" t="n">
        <x:f>SUMIFS('City Density Ranking'!$F$6:$F$974,'City Density Ranking'!$O$6:$O$974,B303,'City Density Ranking'!$C$6:$C$974,C303)</x:f>
        <x:v>0</x:v>
      </x:c>
      <x:c r="G303" t="n">
        <x:f>SUMIFS('City Density Ranking'!$G$6:$G$974,'City Density Ranking'!$O$6:$O$974,B303,'City Density Ranking'!$C$6:$C$974,C303)</x:f>
        <x:v>0</x:v>
      </x:c>
      <x:c r="H303" t="n">
        <x:f>SUMIFS('City Density Ranking'!$H$6:$H$974,'City Density Ranking'!$O$6:$O$974,B303,'City Density Ranking'!$C$6:$C$974,C303)</x:f>
        <x:v>0</x:v>
      </x:c>
      <x:c r="I303" t="n">
        <x:f>SUMIFS('City Density Ranking'!$I$6:$I$974,'City Density Ranking'!$O$6:$O$974,B303,'City Density Ranking'!$C$6:$C$974,C303)</x:f>
        <x:v>0</x:v>
      </x:c>
      <x:c r="J303" t="n">
        <x:f>SUMIFS('City Density Ranking'!$J$6:$J$974,'City Density Ranking'!$O$6:$O$974,B303,'City Density Ranking'!$C$6:$C$974,C303)</x:f>
        <x:v>1</x:v>
      </x:c>
      <x:c r="K303" t="n">
        <x:f>SUM(E303:J303)</x:f>
        <x:v>1</x:v>
      </x:c>
      <x:c r="L303" s="161" t="n">
        <x:v>2718.943453441788</x:v>
      </x:c>
      <x:c r="M303" s="163" t="n">
        <x:f>IFERROR(K303/L303,0)</x:f>
        <x:v>0.00036778992175587365</x:v>
      </x:c>
      <x:c r="N303" s="160" t="str">
        <x:v>Santa Maria</x:v>
      </x:c>
      <x:c r="O303" s="160" t="str">
        <x:v>Includes proxy city rows</x:v>
      </x:c>
      <x:c r="P303" s="160" t="str">
        <x:v>Aggregated from 1 city/municipality screening rows; overlapping catchments are not deduplicated.</x:v>
      </x:c>
      <x:c r="Q303" s="160" t="str">
        <x:v>Estimated county land area: geodesic polygon × 0.989 land/total calibration</x:v>
      </x:c>
    </x:row>
    <x:row r="304">
      <x:c r="A304" t="n">
        <x:v>309</x:v>
      </x:c>
      <x:c r="B304" t="str">
        <x:v>Fresno County</x:v>
      </x:c>
      <x:c r="C304" t="str">
        <x:v>CA</x:v>
      </x:c>
      <x:c r="D304" t="str">
        <x:v>06019</x:v>
      </x:c>
      <x:c r="E304" t="n">
        <x:f>SUMIFS('City Density Ranking'!$E$6:$E$974,'City Density Ranking'!$O$6:$O$974,B304,'City Density Ranking'!$C$6:$C$974,C304)</x:f>
        <x:v>0</x:v>
      </x:c>
      <x:c r="F304" t="n">
        <x:f>SUMIFS('City Density Ranking'!$F$6:$F$974,'City Density Ranking'!$O$6:$O$974,B304,'City Density Ranking'!$C$6:$C$974,C304)</x:f>
        <x:v>0</x:v>
      </x:c>
      <x:c r="G304" t="n">
        <x:f>SUMIFS('City Density Ranking'!$G$6:$G$974,'City Density Ranking'!$O$6:$O$974,B304,'City Density Ranking'!$C$6:$C$974,C304)</x:f>
        <x:v>0</x:v>
      </x:c>
      <x:c r="H304" t="n">
        <x:f>SUMIFS('City Density Ranking'!$H$6:$H$974,'City Density Ranking'!$O$6:$O$974,B304,'City Density Ranking'!$C$6:$C$974,C304)</x:f>
        <x:v>0</x:v>
      </x:c>
      <x:c r="I304" t="n">
        <x:f>SUMIFS('City Density Ranking'!$I$6:$I$974,'City Density Ranking'!$O$6:$O$974,B304,'City Density Ranking'!$C$6:$C$974,C304)</x:f>
        <x:v>0</x:v>
      </x:c>
      <x:c r="J304" t="n">
        <x:f>SUMIFS('City Density Ranking'!$J$6:$J$974,'City Density Ranking'!$O$6:$O$974,B304,'City Density Ranking'!$C$6:$C$974,C304)</x:f>
        <x:v>2</x:v>
      </x:c>
      <x:c r="K304" t="n">
        <x:f>SUM(E304:J304)</x:f>
        <x:v>2</x:v>
      </x:c>
      <x:c r="L304" s="161" t="n">
        <x:v>5958.383</x:v>
      </x:c>
      <x:c r="M304" s="163" t="n">
        <x:f>IFERROR(K304/L304,0)</x:f>
        <x:v>0.000335661537702427</x:v>
      </x:c>
      <x:c r="N304" s="160" t="str">
        <x:v>Clovis, Fresno</x:v>
      </x:c>
      <x:c r="O304" s="160" t="str">
        <x:v>Includes proxy city rows</x:v>
      </x:c>
      <x:c r="P304" s="160" t="str">
        <x:v>Aggregated from 2 city/municipality screening rows; overlapping catchments are not deduplicated.</x:v>
      </x:c>
      <x:c r="Q304" s="160" t="str">
        <x:v>Verified Census land area (retained)</x:v>
      </x:c>
    </x:row>
    <x:row r="305">
      <x:c r="A305" t="n">
        <x:v>310</x:v>
      </x:c>
      <x:c r="B305" t="str">
        <x:v>Washoe County</x:v>
      </x:c>
      <x:c r="C305" t="str">
        <x:v>NV</x:v>
      </x:c>
      <x:c r="D305" t="str">
        <x:v>32031</x:v>
      </x:c>
      <x:c r="E305" t="n">
        <x:f>SUMIFS('City Density Ranking'!$E$6:$E$974,'City Density Ranking'!$O$6:$O$974,B305,'City Density Ranking'!$C$6:$C$974,C305)</x:f>
        <x:v>0</x:v>
      </x:c>
      <x:c r="F305" t="n">
        <x:f>SUMIFS('City Density Ranking'!$F$6:$F$974,'City Density Ranking'!$O$6:$O$974,B305,'City Density Ranking'!$C$6:$C$974,C305)</x:f>
        <x:v>0</x:v>
      </x:c>
      <x:c r="G305" t="n">
        <x:f>SUMIFS('City Density Ranking'!$G$6:$G$974,'City Density Ranking'!$O$6:$O$974,B305,'City Density Ranking'!$C$6:$C$974,C305)</x:f>
        <x:v>0</x:v>
      </x:c>
      <x:c r="H305" t="n">
        <x:f>SUMIFS('City Density Ranking'!$H$6:$H$974,'City Density Ranking'!$O$6:$O$974,B305,'City Density Ranking'!$C$6:$C$974,C305)</x:f>
        <x:v>0</x:v>
      </x:c>
      <x:c r="I305" t="n">
        <x:f>SUMIFS('City Density Ranking'!$I$6:$I$974,'City Density Ranking'!$O$6:$O$974,B305,'City Density Ranking'!$C$6:$C$974,C305)</x:f>
        <x:v>0</x:v>
      </x:c>
      <x:c r="J305" t="n">
        <x:f>SUMIFS('City Density Ranking'!$J$6:$J$974,'City Density Ranking'!$O$6:$O$974,B305,'City Density Ranking'!$C$6:$C$974,C305)</x:f>
        <x:v>2</x:v>
      </x:c>
      <x:c r="K305" t="n">
        <x:f>SUM(E305:J305)</x:f>
        <x:v>2</x:v>
      </x:c>
      <x:c r="L305" s="161" t="n">
        <x:v>6315.876</x:v>
      </x:c>
      <x:c r="M305" s="163" t="n">
        <x:f>IFERROR(K305/L305,0)</x:f>
        <x:v>0.0003166623283927677</x:v>
      </x:c>
      <x:c r="N305" s="160" t="str">
        <x:v>Reno, Sparks</x:v>
      </x:c>
      <x:c r="O305" s="160" t="str">
        <x:v>Includes proxy city rows</x:v>
      </x:c>
      <x:c r="P305" s="160" t="str">
        <x:v>Aggregated from 2 city/municipality screening rows; overlapping catchments are not deduplicated.</x:v>
      </x:c>
      <x:c r="Q305" s="160" t="str">
        <x:v>Verified Census land area (retained)</x:v>
      </x:c>
    </x:row>
    <x:row r="306">
      <x:c r="A306" t="n">
        <x:v>311</x:v>
      </x:c>
      <x:c r="B306" t="str">
        <x:v>Monterey County</x:v>
      </x:c>
      <x:c r="C306" t="str">
        <x:v>CA</x:v>
      </x:c>
      <x:c r="D306" t="str">
        <x:v>06053</x:v>
      </x:c>
      <x:c r="E306" t="n">
        <x:f>SUMIFS('City Density Ranking'!$E$6:$E$974,'City Density Ranking'!$O$6:$O$974,B306,'City Density Ranking'!$C$6:$C$974,C306)</x:f>
        <x:v>0</x:v>
      </x:c>
      <x:c r="F306" t="n">
        <x:f>SUMIFS('City Density Ranking'!$F$6:$F$974,'City Density Ranking'!$O$6:$O$974,B306,'City Density Ranking'!$C$6:$C$974,C306)</x:f>
        <x:v>0</x:v>
      </x:c>
      <x:c r="G306" t="n">
        <x:f>SUMIFS('City Density Ranking'!$G$6:$G$974,'City Density Ranking'!$O$6:$O$974,B306,'City Density Ranking'!$C$6:$C$974,C306)</x:f>
        <x:v>0</x:v>
      </x:c>
      <x:c r="H306" t="n">
        <x:f>SUMIFS('City Density Ranking'!$H$6:$H$974,'City Density Ranking'!$O$6:$O$974,B306,'City Density Ranking'!$C$6:$C$974,C306)</x:f>
        <x:v>0</x:v>
      </x:c>
      <x:c r="I306" t="n">
        <x:f>SUMIFS('City Density Ranking'!$I$6:$I$974,'City Density Ranking'!$O$6:$O$974,B306,'City Density Ranking'!$C$6:$C$974,C306)</x:f>
        <x:v>0</x:v>
      </x:c>
      <x:c r="J306" t="n">
        <x:f>SUMIFS('City Density Ranking'!$J$6:$J$974,'City Density Ranking'!$O$6:$O$974,B306,'City Density Ranking'!$C$6:$C$974,C306)</x:f>
        <x:v>1</x:v>
      </x:c>
      <x:c r="K306" t="n">
        <x:f>SUM(E306:J306)</x:f>
        <x:v>1</x:v>
      </x:c>
      <x:c r="L306" s="161" t="n">
        <x:v>3276.560111012313</x:v>
      </x:c>
      <x:c r="M306" s="163" t="n">
        <x:f>IFERROR(K306/L306,0)</x:f>
        <x:v>0.00030519812428865957</x:v>
      </x:c>
      <x:c r="N306" s="160" t="str">
        <x:v>Salinas</x:v>
      </x:c>
      <x:c r="O306" s="160" t="str">
        <x:v>Includes proxy city rows</x:v>
      </x:c>
      <x:c r="P306" s="160" t="str">
        <x:v>Aggregated from 1 city/municipality screening rows; overlapping catchments are not deduplicated.</x:v>
      </x:c>
      <x:c r="Q306" s="160" t="str">
        <x:v>Estimated county land area: geodesic polygon × 0.989 land/total calibration</x:v>
      </x:c>
    </x:row>
    <x:row r="307">
      <x:c r="A307" t="n">
        <x:v>312</x:v>
      </x:c>
      <x:c r="B307" t="str">
        <x:v>Sandoval County</x:v>
      </x:c>
      <x:c r="C307" t="str">
        <x:v>NM</x:v>
      </x:c>
      <x:c r="D307" t="str">
        <x:v>35043</x:v>
      </x:c>
      <x:c r="E307" t="n">
        <x:f>SUMIFS('City Density Ranking'!$E$6:$E$974,'City Density Ranking'!$O$6:$O$974,B307,'City Density Ranking'!$C$6:$C$974,C307)</x:f>
        <x:v>0</x:v>
      </x:c>
      <x:c r="F307" t="n">
        <x:f>SUMIFS('City Density Ranking'!$F$6:$F$974,'City Density Ranking'!$O$6:$O$974,B307,'City Density Ranking'!$C$6:$C$974,C307)</x:f>
        <x:v>0</x:v>
      </x:c>
      <x:c r="G307" t="n">
        <x:f>SUMIFS('City Density Ranking'!$G$6:$G$974,'City Density Ranking'!$O$6:$O$974,B307,'City Density Ranking'!$C$6:$C$974,C307)</x:f>
        <x:v>0</x:v>
      </x:c>
      <x:c r="H307" t="n">
        <x:f>SUMIFS('City Density Ranking'!$H$6:$H$974,'City Density Ranking'!$O$6:$O$974,B307,'City Density Ranking'!$C$6:$C$974,C307)</x:f>
        <x:v>0</x:v>
      </x:c>
      <x:c r="I307" t="n">
        <x:f>SUMIFS('City Density Ranking'!$I$6:$I$974,'City Density Ranking'!$O$6:$O$974,B307,'City Density Ranking'!$C$6:$C$974,C307)</x:f>
        <x:v>0</x:v>
      </x:c>
      <x:c r="J307" t="n">
        <x:f>SUMIFS('City Density Ranking'!$J$6:$J$974,'City Density Ranking'!$O$6:$O$974,B307,'City Density Ranking'!$C$6:$C$974,C307)</x:f>
        <x:v>1</x:v>
      </x:c>
      <x:c r="K307" t="n">
        <x:f>SUM(E307:J307)</x:f>
        <x:v>1</x:v>
      </x:c>
      <x:c r="L307" s="161" t="n">
        <x:v>3696.729150591677</x:v>
      </x:c>
      <x:c r="M307" s="163" t="n">
        <x:f>IFERROR(K307/L307,0)</x:f>
        <x:v>0.00027050940419585403</x:v>
      </x:c>
      <x:c r="N307" s="160" t="str">
        <x:v>Rio Rancho</x:v>
      </x:c>
      <x:c r="O307" s="160" t="str">
        <x:v>Includes proxy city rows</x:v>
      </x:c>
      <x:c r="P307" s="160" t="str">
        <x:v>Aggregated from 1 city/municipality screening rows; overlapping catchments are not deduplicated.</x:v>
      </x:c>
      <x:c r="Q307" s="160" t="str">
        <x:v>Estimated county land area: geodesic polygon × 0.995 land/total calibration</x:v>
      </x:c>
    </x:row>
    <x:row r="308">
      <x:c r="A308" t="n">
        <x:v>313</x:v>
      </x:c>
      <x:c r="B308" t="str">
        <x:v>Doña Ana County</x:v>
      </x:c>
      <x:c r="C308" t="str">
        <x:v>NM</x:v>
      </x:c>
      <x:c r="D308" t="str">
        <x:v>35013</x:v>
      </x:c>
      <x:c r="E308" t="n">
        <x:f>SUMIFS('City Density Ranking'!$E$6:$E$974,'City Density Ranking'!$O$6:$O$974,B308,'City Density Ranking'!$C$6:$C$974,C308)</x:f>
        <x:v>0</x:v>
      </x:c>
      <x:c r="F308" t="n">
        <x:f>SUMIFS('City Density Ranking'!$F$6:$F$974,'City Density Ranking'!$O$6:$O$974,B308,'City Density Ranking'!$C$6:$C$974,C308)</x:f>
        <x:v>0</x:v>
      </x:c>
      <x:c r="G308" t="n">
        <x:f>SUMIFS('City Density Ranking'!$G$6:$G$974,'City Density Ranking'!$O$6:$O$974,B308,'City Density Ranking'!$C$6:$C$974,C308)</x:f>
        <x:v>0</x:v>
      </x:c>
      <x:c r="H308" t="n">
        <x:f>SUMIFS('City Density Ranking'!$H$6:$H$974,'City Density Ranking'!$O$6:$O$974,B308,'City Density Ranking'!$C$6:$C$974,C308)</x:f>
        <x:v>0</x:v>
      </x:c>
      <x:c r="I308" t="n">
        <x:f>SUMIFS('City Density Ranking'!$I$6:$I$974,'City Density Ranking'!$O$6:$O$974,B308,'City Density Ranking'!$C$6:$C$974,C308)</x:f>
        <x:v>0</x:v>
      </x:c>
      <x:c r="J308" t="n">
        <x:f>SUMIFS('City Density Ranking'!$J$6:$J$974,'City Density Ranking'!$O$6:$O$974,B308,'City Density Ranking'!$C$6:$C$974,C308)</x:f>
        <x:v>1</x:v>
      </x:c>
      <x:c r="K308" t="n">
        <x:f>SUM(E308:J308)</x:f>
        <x:v>1</x:v>
      </x:c>
      <x:c r="L308" s="161" t="n">
        <x:v>3795.055292791224</x:v>
      </x:c>
      <x:c r="M308" s="163" t="n">
        <x:f>IFERROR(K308/L308,0)</x:f>
        <x:v>0.0002635007721493592</x:v>
      </x:c>
      <x:c r="N308" s="160" t="str">
        <x:v>Las Cruces</x:v>
      </x:c>
      <x:c r="O308" s="160" t="str">
        <x:v>Includes proxy city rows</x:v>
      </x:c>
      <x:c r="P308" s="160" t="str">
        <x:v>Aggregated from 1 city/municipality screening rows; overlapping catchments are not deduplicated.</x:v>
      </x:c>
      <x:c r="Q308" s="160" t="str">
        <x:v>Estimated county land area: geodesic polygon × 0.995 land/total calibration</x:v>
      </x:c>
    </x:row>
    <x:row r="309">
      <x:c r="A309" t="n">
        <x:v>314</x:v>
      </x:c>
      <x:c r="B309" t="str">
        <x:v>San Bernardino County</x:v>
      </x:c>
      <x:c r="C309" t="str">
        <x:v>CA</x:v>
      </x:c>
      <x:c r="D309" t="str">
        <x:v>06071</x:v>
      </x:c>
      <x:c r="E309" t="n">
        <x:f>SUMIFS('City Density Ranking'!$E$6:$E$974,'City Density Ranking'!$O$6:$O$974,B309,'City Density Ranking'!$C$6:$C$974,C309)</x:f>
        <x:v>0</x:v>
      </x:c>
      <x:c r="F309" t="n">
        <x:f>SUMIFS('City Density Ranking'!$F$6:$F$974,'City Density Ranking'!$O$6:$O$974,B309,'City Density Ranking'!$C$6:$C$974,C309)</x:f>
        <x:v>0</x:v>
      </x:c>
      <x:c r="G309" t="n">
        <x:f>SUMIFS('City Density Ranking'!$G$6:$G$974,'City Density Ranking'!$O$6:$O$974,B309,'City Density Ranking'!$C$6:$C$974,C309)</x:f>
        <x:v>0</x:v>
      </x:c>
      <x:c r="H309" t="n">
        <x:f>SUMIFS('City Density Ranking'!$H$6:$H$974,'City Density Ranking'!$O$6:$O$974,B309,'City Density Ranking'!$C$6:$C$974,C309)</x:f>
        <x:v>0</x:v>
      </x:c>
      <x:c r="I309" t="n">
        <x:f>SUMIFS('City Density Ranking'!$I$6:$I$974,'City Density Ranking'!$O$6:$O$974,B309,'City Density Ranking'!$C$6:$C$974,C309)</x:f>
        <x:v>0</x:v>
      </x:c>
      <x:c r="J309" t="n">
        <x:f>SUMIFS('City Density Ranking'!$J$6:$J$974,'City Density Ranking'!$O$6:$O$974,B309,'City Density Ranking'!$C$6:$C$974,C309)</x:f>
        <x:v>5</x:v>
      </x:c>
      <x:c r="K309" t="n">
        <x:f>SUM(E309:J309)</x:f>
        <x:v>5</x:v>
      </x:c>
      <x:c r="L309" s="161" t="n">
        <x:v>19878.9808175361</x:v>
      </x:c>
      <x:c r="M309" s="163" t="n">
        <x:f>IFERROR(K309/L309,0)</x:f>
        <x:v>0.00025152194903218004</x:v>
      </x:c>
      <x:c r="N309" s="160" t="str">
        <x:v>Fontana, Ontario, Rancho Cucamonga, San Bernardino, Victorville</x:v>
      </x:c>
      <x:c r="O309" s="160" t="str">
        <x:v>Includes proxy city rows</x:v>
      </x:c>
      <x:c r="P309" s="160" t="str">
        <x:v>Aggregated from 5 city/municipality screening rows; overlapping catchments are not deduplicated.</x:v>
      </x:c>
      <x:c r="Q309" s="160" t="str">
        <x:v>Estimated county land area: geodesic polygon × 0.989 land/total calibration</x:v>
      </x:c>
    </x:row>
    <x:row r="310">
      <x:c r="A310" t="n">
        <x:v>315</x:v>
      </x:c>
      <x:c r="B310" t="str">
        <x:v>Weld County</x:v>
      </x:c>
      <x:c r="C310" t="str">
        <x:v>CO</x:v>
      </x:c>
      <x:c r="D310" t="str">
        <x:v>08123</x:v>
      </x:c>
      <x:c r="E310" t="n">
        <x:f>SUMIFS('City Density Ranking'!$E$6:$E$974,'City Density Ranking'!$O$6:$O$974,B310,'City Density Ranking'!$C$6:$C$974,C310)</x:f>
        <x:v>0</x:v>
      </x:c>
      <x:c r="F310" t="n">
        <x:f>SUMIFS('City Density Ranking'!$F$6:$F$974,'City Density Ranking'!$O$6:$O$974,B310,'City Density Ranking'!$C$6:$C$974,C310)</x:f>
        <x:v>0</x:v>
      </x:c>
      <x:c r="G310" t="n">
        <x:f>SUMIFS('City Density Ranking'!$G$6:$G$974,'City Density Ranking'!$O$6:$O$974,B310,'City Density Ranking'!$C$6:$C$974,C310)</x:f>
        <x:v>0</x:v>
      </x:c>
      <x:c r="H310" t="n">
        <x:f>SUMIFS('City Density Ranking'!$H$6:$H$974,'City Density Ranking'!$O$6:$O$974,B310,'City Density Ranking'!$C$6:$C$974,C310)</x:f>
        <x:v>0</x:v>
      </x:c>
      <x:c r="I310" t="n">
        <x:f>SUMIFS('City Density Ranking'!$I$6:$I$974,'City Density Ranking'!$O$6:$O$974,B310,'City Density Ranking'!$C$6:$C$974,C310)</x:f>
        <x:v>0</x:v>
      </x:c>
      <x:c r="J310" t="n">
        <x:f>SUMIFS('City Density Ranking'!$J$6:$J$974,'City Density Ranking'!$O$6:$O$974,B310,'City Density Ranking'!$C$6:$C$974,C310)</x:f>
        <x:v>1</x:v>
      </x:c>
      <x:c r="K310" t="n">
        <x:f>SUM(E310:J310)</x:f>
        <x:v>1</x:v>
      </x:c>
      <x:c r="L310" s="161" t="n">
        <x:v>3978.958668357323</x:v>
      </x:c>
      <x:c r="M310" s="163" t="n">
        <x:f>IFERROR(K310/L310,0)</x:f>
        <x:v>0.0002513220375854874</x:v>
      </x:c>
      <x:c r="N310" s="160" t="str">
        <x:v>Greeley</x:v>
      </x:c>
      <x:c r="O310" s="160" t="str">
        <x:v>Includes proxy city rows</x:v>
      </x:c>
      <x:c r="P310" s="160" t="str">
        <x:v>Aggregated from 1 city/municipality screening rows; overlapping catchments are not deduplicated.</x:v>
      </x:c>
      <x:c r="Q310" s="160" t="str">
        <x:v>Estimated county land area: geodesic polygon × 0.990 land/total calibration</x:v>
      </x:c>
    </x:row>
    <x:row r="311">
      <x:c r="A311" t="n">
        <x:v>316</x:v>
      </x:c>
      <x:c r="B311" t="str">
        <x:v>Lane County</x:v>
      </x:c>
      <x:c r="C311" t="str">
        <x:v>OR</x:v>
      </x:c>
      <x:c r="D311" t="str">
        <x:v>41039</x:v>
      </x:c>
      <x:c r="E311" t="n">
        <x:f>SUMIFS('City Density Ranking'!$E$6:$E$974,'City Density Ranking'!$O$6:$O$974,B311,'City Density Ranking'!$C$6:$C$974,C311)</x:f>
        <x:v>0</x:v>
      </x:c>
      <x:c r="F311" t="n">
        <x:f>SUMIFS('City Density Ranking'!$F$6:$F$974,'City Density Ranking'!$O$6:$O$974,B311,'City Density Ranking'!$C$6:$C$974,C311)</x:f>
        <x:v>0</x:v>
      </x:c>
      <x:c r="G311" t="n">
        <x:f>SUMIFS('City Density Ranking'!$G$6:$G$974,'City Density Ranking'!$O$6:$O$974,B311,'City Density Ranking'!$C$6:$C$974,C311)</x:f>
        <x:v>0</x:v>
      </x:c>
      <x:c r="H311" t="n">
        <x:f>SUMIFS('City Density Ranking'!$H$6:$H$974,'City Density Ranking'!$O$6:$O$974,B311,'City Density Ranking'!$C$6:$C$974,C311)</x:f>
        <x:v>0</x:v>
      </x:c>
      <x:c r="I311" t="n">
        <x:f>SUMIFS('City Density Ranking'!$I$6:$I$974,'City Density Ranking'!$O$6:$O$974,B311,'City Density Ranking'!$C$6:$C$974,C311)</x:f>
        <x:v>0</x:v>
      </x:c>
      <x:c r="J311" t="n">
        <x:f>SUMIFS('City Density Ranking'!$J$6:$J$974,'City Density Ranking'!$O$6:$O$974,B311,'City Density Ranking'!$C$6:$C$974,C311)</x:f>
        <x:v>1</x:v>
      </x:c>
      <x:c r="K311" t="n">
        <x:f>SUM(E311:J311)</x:f>
        <x:v>1</x:v>
      </x:c>
      <x:c r="L311" s="161" t="n">
        <x:v>4276.036715100263</x:v>
      </x:c>
      <x:c r="M311" s="163" t="n">
        <x:f>IFERROR(K311/L311,0)</x:f>
        <x:v>0.00023386141575179446</x:v>
      </x:c>
      <x:c r="N311" s="160" t="str">
        <x:v>Eugene</x:v>
      </x:c>
      <x:c r="O311" s="160" t="str">
        <x:v>Includes proxy city rows</x:v>
      </x:c>
      <x:c r="P311" s="160" t="str">
        <x:v>Aggregated from 1 city/municipality screening rows; overlapping catchments are not deduplicated.</x:v>
      </x:c>
      <x:c r="Q311" s="160" t="str">
        <x:v>Estimated county land area: geodesic polygon × 0.926 land/total calibration</x:v>
      </x:c>
    </x:row>
    <x:row r="312">
      <x:c r="A312" t="n">
        <x:v>317</x:v>
      </x:c>
      <x:c r="B312" t="str">
        <x:v>Tulare County</x:v>
      </x:c>
      <x:c r="C312" t="str">
        <x:v>CA</x:v>
      </x:c>
      <x:c r="D312" t="str">
        <x:v>06107</x:v>
      </x:c>
      <x:c r="E312" t="n">
        <x:f>SUMIFS('City Density Ranking'!$E$6:$E$974,'City Density Ranking'!$O$6:$O$974,B312,'City Density Ranking'!$C$6:$C$974,C312)</x:f>
        <x:v>0</x:v>
      </x:c>
      <x:c r="F312" t="n">
        <x:f>SUMIFS('City Density Ranking'!$F$6:$F$974,'City Density Ranking'!$O$6:$O$974,B312,'City Density Ranking'!$C$6:$C$974,C312)</x:f>
        <x:v>0</x:v>
      </x:c>
      <x:c r="G312" t="n">
        <x:f>SUMIFS('City Density Ranking'!$G$6:$G$974,'City Density Ranking'!$O$6:$O$974,B312,'City Density Ranking'!$C$6:$C$974,C312)</x:f>
        <x:v>0</x:v>
      </x:c>
      <x:c r="H312" t="n">
        <x:f>SUMIFS('City Density Ranking'!$H$6:$H$974,'City Density Ranking'!$O$6:$O$974,B312,'City Density Ranking'!$C$6:$C$974,C312)</x:f>
        <x:v>0</x:v>
      </x:c>
      <x:c r="I312" t="n">
        <x:f>SUMIFS('City Density Ranking'!$I$6:$I$974,'City Density Ranking'!$O$6:$O$974,B312,'City Density Ranking'!$C$6:$C$974,C312)</x:f>
        <x:v>0</x:v>
      </x:c>
      <x:c r="J312" t="n">
        <x:f>SUMIFS('City Density Ranking'!$J$6:$J$974,'City Density Ranking'!$O$6:$O$974,B312,'City Density Ranking'!$C$6:$C$974,C312)</x:f>
        <x:v>1</x:v>
      </x:c>
      <x:c r="K312" t="n">
        <x:f>SUM(E312:J312)</x:f>
        <x:v>1</x:v>
      </x:c>
      <x:c r="L312" s="161" t="n">
        <x:v>4784.004547681184</x:v>
      </x:c>
      <x:c r="M312" s="163" t="n">
        <x:f>IFERROR(K312/L312,0)</x:f>
        <x:v>0.0002090299016301525</x:v>
      </x:c>
      <x:c r="N312" s="160" t="str">
        <x:v>Visalia</x:v>
      </x:c>
      <x:c r="O312" s="160" t="str">
        <x:v>Includes proxy city rows</x:v>
      </x:c>
      <x:c r="P312" s="160" t="str">
        <x:v>Aggregated from 1 city/municipality screening rows; overlapping catchments are not deduplicated.</x:v>
      </x:c>
      <x:c r="Q312" s="160" t="str">
        <x:v>Estimated county land area: geodesic polygon × 0.989 land/total calibration</x:v>
      </x:c>
    </x:row>
    <x:row r="313">
      <x:c r="A313" t="n">
        <x:v>318</x:v>
      </x:c>
      <x:c r="B313" t="str">
        <x:v>Kern County</x:v>
      </x:c>
      <x:c r="C313" t="str">
        <x:v>CA</x:v>
      </x:c>
      <x:c r="D313" t="str">
        <x:v>06029</x:v>
      </x:c>
      <x:c r="E313" t="n">
        <x:f>SUMIFS('City Density Ranking'!$E$6:$E$974,'City Density Ranking'!$O$6:$O$974,B313,'City Density Ranking'!$C$6:$C$974,C313)</x:f>
        <x:v>0</x:v>
      </x:c>
      <x:c r="F313" t="n">
        <x:f>SUMIFS('City Density Ranking'!$F$6:$F$974,'City Density Ranking'!$O$6:$O$974,B313,'City Density Ranking'!$C$6:$C$974,C313)</x:f>
        <x:v>0</x:v>
      </x:c>
      <x:c r="G313" t="n">
        <x:f>SUMIFS('City Density Ranking'!$G$6:$G$974,'City Density Ranking'!$O$6:$O$974,B313,'City Density Ranking'!$C$6:$C$974,C313)</x:f>
        <x:v>0</x:v>
      </x:c>
      <x:c r="H313" t="n">
        <x:f>SUMIFS('City Density Ranking'!$H$6:$H$974,'City Density Ranking'!$O$6:$O$974,B313,'City Density Ranking'!$C$6:$C$974,C313)</x:f>
        <x:v>0</x:v>
      </x:c>
      <x:c r="I313" t="n">
        <x:f>SUMIFS('City Density Ranking'!$I$6:$I$974,'City Density Ranking'!$O$6:$O$974,B313,'City Density Ranking'!$C$6:$C$974,C313)</x:f>
        <x:v>0</x:v>
      </x:c>
      <x:c r="J313" t="n">
        <x:f>SUMIFS('City Density Ranking'!$J$6:$J$974,'City Density Ranking'!$O$6:$O$974,B313,'City Density Ranking'!$C$6:$C$974,C313)</x:f>
        <x:v>1</x:v>
      </x:c>
      <x:c r="K313" t="n">
        <x:f>SUM(E313:J313)</x:f>
        <x:v>1</x:v>
      </x:c>
      <x:c r="L313" s="161" t="n">
        <x:v>8134.645</x:v>
      </x:c>
      <x:c r="M313" s="163" t="n">
        <x:f>IFERROR(K313/L313,0)</x:f>
        <x:v>0.00012293099453018538</x:v>
      </x:c>
      <x:c r="N313" s="160" t="str">
        <x:v>Bakersfield</x:v>
      </x:c>
      <x:c r="O313" s="160" t="str">
        <x:v>Includes proxy city rows</x:v>
      </x:c>
      <x:c r="P313" s="160" t="str">
        <x:v>Aggregated from 1 city/municipality screening rows; overlapping catchments are not deduplicated.</x:v>
      </x:c>
      <x:c r="Q313" s="160" t="str">
        <x:v>Verified Census land area (retained)</x:v>
      </x:c>
    </x:row>
    <x:row r="314">
      <x:c r="A314" t="n">
        <x:v>319</x:v>
      </x:c>
      <x:c r="B314" t="str">
        <x:v>Pima County</x:v>
      </x:c>
      <x:c r="C314" t="str">
        <x:v>AZ</x:v>
      </x:c>
      <x:c r="D314" t="str">
        <x:v>04019</x:v>
      </x:c>
      <x:c r="E314" t="n">
        <x:f>SUMIFS('City Density Ranking'!$E$6:$E$974,'City Density Ranking'!$O$6:$O$974,B314,'City Density Ranking'!$C$6:$C$974,C314)</x:f>
        <x:v>0</x:v>
      </x:c>
      <x:c r="F314" t="n">
        <x:f>SUMIFS('City Density Ranking'!$F$6:$F$974,'City Density Ranking'!$O$6:$O$974,B314,'City Density Ranking'!$C$6:$C$974,C314)</x:f>
        <x:v>0</x:v>
      </x:c>
      <x:c r="G314" t="n">
        <x:f>SUMIFS('City Density Ranking'!$G$6:$G$974,'City Density Ranking'!$O$6:$O$974,B314,'City Density Ranking'!$C$6:$C$974,C314)</x:f>
        <x:v>0</x:v>
      </x:c>
      <x:c r="H314" t="n">
        <x:f>SUMIFS('City Density Ranking'!$H$6:$H$974,'City Density Ranking'!$O$6:$O$974,B314,'City Density Ranking'!$C$6:$C$974,C314)</x:f>
        <x:v>0</x:v>
      </x:c>
      <x:c r="I314" t="n">
        <x:f>SUMIFS('City Density Ranking'!$I$6:$I$974,'City Density Ranking'!$O$6:$O$974,B314,'City Density Ranking'!$C$6:$C$974,C314)</x:f>
        <x:v>0</x:v>
      </x:c>
      <x:c r="J314" t="n">
        <x:f>SUMIFS('City Density Ranking'!$J$6:$J$974,'City Density Ranking'!$O$6:$O$974,B314,'City Density Ranking'!$C$6:$C$974,C314)</x:f>
        <x:v>1</x:v>
      </x:c>
      <x:c r="K314" t="n">
        <x:f>SUM(E314:J314)</x:f>
        <x:v>1</x:v>
      </x:c>
      <x:c r="L314" s="161" t="n">
        <x:v>9188.683</x:v>
      </x:c>
      <x:c r="M314" s="163" t="n">
        <x:f>IFERROR(K314/L314,0)</x:f>
        <x:v>0.00010882952431812044</x:v>
      </x:c>
      <x:c r="N314" s="160" t="str">
        <x:v>Tucson</x:v>
      </x:c>
      <x:c r="O314" s="160" t="str">
        <x:v>Includes proxy city rows</x:v>
      </x:c>
      <x:c r="P314" s="160" t="str">
        <x:v>Aggregated from 1 city/municipality screening rows; overlapping catchments are not deduplicated.</x:v>
      </x:c>
      <x:c r="Q314" s="160" t="str">
        <x:v>Verified Census land area (retained)</x:v>
      </x:c>
    </x:row>
    <x:row r="315">
      <x:c r="A315" t="n">
        <x:v>57</x:v>
      </x:c>
      <x:c r="B315" t="str">
        <x:v>New London County</x:v>
      </x:c>
      <x:c r="C315" t="str">
        <x:v>CT</x:v>
      </x:c>
      <x:c r="D315" t="str">
        <x:v>09011</x:v>
      </x:c>
      <x:c r="E315" t="n">
        <x:v>0</x:v>
      </x:c>
      <x:c r="F315" t="n">
        <x:v>0</x:v>
      </x:c>
      <x:c r="G315" t="n">
        <x:v>0</x:v>
      </x:c>
      <x:c r="H315" t="n">
        <x:v>0</x:v>
      </x:c>
      <x:c r="I315" t="n">
        <x:v>0</x:v>
      </x:c>
      <x:c r="J315" t="n">
        <x:v>8</x:v>
      </x:c>
      <x:c r="K315" t="n">
        <x:v>8</x:v>
      </x:c>
      <x:c r="L315" t="n">
        <x:v>665.1</x:v>
      </x:c>
      <x:c r="M315" t="n">
        <x:v>0.012028266426101338</x:v>
      </x:c>
      <x:c r="N315" t="str">
        <x:v>East Lyme Town, Groton Town, Ledyard Town, Montville Town, New London City, Norwich City, Stonington Town, Waterford Town</x:v>
      </x:c>
      <x:c r="O315" t="str">
        <x:v>Includes proxy city rows</x:v>
      </x:c>
      <x:c r="P315" t="str">
        <x:v>Aggregated from 8 new municipality screening rows; adjacency no longer required; overlapping catchments are not deduplicated.</x:v>
      </x:c>
      <x:c r="Q315" t="str">
        <x:v>U.S. Census Bureau 2025 geography / historical county land area</x:v>
      </x:c>
    </x:row>
    <x:row r="316">
      <x:c r="A316" t="n">
        <x:v>35</x:v>
      </x:c>
      <x:c r="B316" t="str">
        <x:v>Tolland County</x:v>
      </x:c>
      <x:c r="C316" t="str">
        <x:v>CT</x:v>
      </x:c>
      <x:c r="D316" t="str">
        <x:v>09013</x:v>
      </x:c>
      <x:c r="E316" t="n">
        <x:v>0</x:v>
      </x:c>
      <x:c r="F316" t="n">
        <x:v>0</x:v>
      </x:c>
      <x:c r="G316" t="n">
        <x:v>0</x:v>
      </x:c>
      <x:c r="H316" t="n">
        <x:v>0</x:v>
      </x:c>
      <x:c r="I316" t="n">
        <x:v>0</x:v>
      </x:c>
      <x:c r="J316" t="n">
        <x:v>7</x:v>
      </x:c>
      <x:c r="K316" t="n">
        <x:v>7</x:v>
      </x:c>
      <x:c r="L316" t="n">
        <x:v>410.03</x:v>
      </x:c>
      <x:c r="M316" t="n">
        <x:v>0.01707192156671463</x:v>
      </x:c>
      <x:c r="N316" t="str">
        <x:v>Coventry Town, Ellington Town, Mansfield Town, Somers Town, Stafford Town, Tolland Town, Vernon Town</x:v>
      </x:c>
      <x:c r="O316" t="str">
        <x:v>Includes proxy city rows</x:v>
      </x:c>
      <x:c r="P316" t="str">
        <x:v>Aggregated from 7 new municipality screening rows; adjacency no longer required; overlapping catchments are not deduplicated.</x:v>
      </x:c>
      <x:c r="Q316" t="str">
        <x:v>U.S. Census Bureau historical county land area retained for workbook continuity</x:v>
      </x:c>
    </x:row>
    <x:row r="317">
      <x:c r="A317" t="n">
        <x:v>63</x:v>
      </x:c>
      <x:c r="B317" t="str">
        <x:v>Chittenden County</x:v>
      </x:c>
      <x:c r="C317" t="str">
        <x:v>VT</x:v>
      </x:c>
      <x:c r="D317" t="str">
        <x:v>50007</x:v>
      </x:c>
      <x:c r="E317" t="n">
        <x:v>0</x:v>
      </x:c>
      <x:c r="F317" t="n">
        <x:v>0</x:v>
      </x:c>
      <x:c r="G317" t="n">
        <x:v>0</x:v>
      </x:c>
      <x:c r="H317" t="n">
        <x:v>0</x:v>
      </x:c>
      <x:c r="I317" t="n">
        <x:v>0</x:v>
      </x:c>
      <x:c r="J317" t="n">
        <x:v>6</x:v>
      </x:c>
      <x:c r="K317" t="n">
        <x:v>6</x:v>
      </x:c>
      <x:c r="L317" t="n">
        <x:v>536.87</x:v>
      </x:c>
      <x:c r="M317" t="n">
        <x:v>0.011175889880231714</x:v>
      </x:c>
      <x:c r="N317" t="str">
        <x:v>Burlington City, Colchester Town, Essex Junction City, Essex Town, Milton Town, South Burlington City</x:v>
      </x:c>
      <x:c r="O317" t="str">
        <x:v>Includes proxy city rows</x:v>
      </x:c>
      <x:c r="P317" t="str">
        <x:v>Aggregated from 6 new municipality screening rows; adjacency no longer required; overlapping catchments are not deduplicated.</x:v>
      </x:c>
      <x:c r="Q317" t="str">
        <x:v>U.S. Census Bureau TIGER 2025 — land area</x:v>
      </x:c>
    </x:row>
    <x:row r="318">
      <x:c r="A318" t="n">
        <x:v>108</x:v>
      </x:c>
      <x:c r="B318" t="str">
        <x:v>Litchfield County</x:v>
      </x:c>
      <x:c r="C318" t="str">
        <x:v>CT</x:v>
      </x:c>
      <x:c r="D318" t="str">
        <x:v>09005</x:v>
      </x:c>
      <x:c r="E318" t="n">
        <x:v>0</x:v>
      </x:c>
      <x:c r="F318" t="n">
        <x:v>0</x:v>
      </x:c>
      <x:c r="G318" t="n">
        <x:v>0</x:v>
      </x:c>
      <x:c r="H318" t="n">
        <x:v>0</x:v>
      </x:c>
      <x:c r="I318" t="n">
        <x:v>0</x:v>
      </x:c>
      <x:c r="J318" t="n">
        <x:v>5</x:v>
      </x:c>
      <x:c r="K318" t="n">
        <x:v>5</x:v>
      </x:c>
      <x:c r="L318" t="n">
        <x:v>920.56</x:v>
      </x:c>
      <x:c r="M318" t="n">
        <x:v>0.00543147649256974</x:v>
      </x:c>
      <x:c r="N318" t="str">
        <x:v>New Milford Town, Plymouth Town, Torrington City, Watertown Town, Winchester Town</x:v>
      </x:c>
      <x:c r="O318" t="str">
        <x:v>Includes proxy city rows</x:v>
      </x:c>
      <x:c r="P318" t="str">
        <x:v>Aggregated from 5 new municipality screening rows; adjacency no longer required; overlapping catchments are not deduplicated.</x:v>
      </x:c>
      <x:c r="Q318" t="str">
        <x:v>U.S. Census Bureau historical county land area retained for workbook continuity</x:v>
      </x:c>
    </x:row>
    <x:row r="319">
      <x:c r="A319" t="n">
        <x:v>49</x:v>
      </x:c>
      <x:c r="B319" t="str">
        <x:v>Middlesex County</x:v>
      </x:c>
      <x:c r="C319" t="str">
        <x:v>CT</x:v>
      </x:c>
      <x:c r="D319" t="str">
        <x:v>09007</x:v>
      </x:c>
      <x:c r="E319" t="n">
        <x:v>0</x:v>
      </x:c>
      <x:c r="F319" t="n">
        <x:v>0</x:v>
      </x:c>
      <x:c r="G319" t="n">
        <x:v>0</x:v>
      </x:c>
      <x:c r="H319" t="n">
        <x:v>0</x:v>
      </x:c>
      <x:c r="I319" t="n">
        <x:v>0</x:v>
      </x:c>
      <x:c r="J319" t="n">
        <x:v>5</x:v>
      </x:c>
      <x:c r="K319" t="n">
        <x:v>5</x:v>
      </x:c>
      <x:c r="L319" t="n">
        <x:v>369.3</x:v>
      </x:c>
      <x:c r="M319" t="n">
        <x:v>0.013539128080151638</x:v>
      </x:c>
      <x:c r="N319" t="str">
        <x:v>Clinton Town, Cromwell Town, East Hampton Town, Middletown City, Old Saybrook Town</x:v>
      </x:c>
      <x:c r="O319" t="str">
        <x:v>Includes proxy city rows</x:v>
      </x:c>
      <x:c r="P319" t="str">
        <x:v>Aggregated from 5 new municipality screening rows; adjacency no longer required; overlapping catchments are not deduplicated.</x:v>
      </x:c>
      <x:c r="Q319" t="str">
        <x:v>U.S. Census Bureau historical county land area retained for workbook continuity</x:v>
      </x:c>
    </x:row>
    <x:row r="320">
      <x:c r="A320" t="n">
        <x:v>106</x:v>
      </x:c>
      <x:c r="B320" t="str">
        <x:v>Broome County</x:v>
      </x:c>
      <x:c r="C320" t="str">
        <x:v>NY</x:v>
      </x:c>
      <x:c r="D320" t="str">
        <x:v>36007</x:v>
      </x:c>
      <x:c r="E320" t="n">
        <x:v>0</x:v>
      </x:c>
      <x:c r="F320" t="n">
        <x:v>0</x:v>
      </x:c>
      <x:c r="G320" t="n">
        <x:v>0</x:v>
      </x:c>
      <x:c r="H320" t="n">
        <x:v>0</x:v>
      </x:c>
      <x:c r="I320" t="n">
        <x:v>0</x:v>
      </x:c>
      <x:c r="J320" t="n">
        <x:v>4</x:v>
      </x:c>
      <x:c r="K320" t="n">
        <x:v>4</x:v>
      </x:c>
      <x:c r="L320" t="n">
        <x:v>705.77</x:v>
      </x:c>
      <x:c r="M320" t="n">
        <x:v>0.005667568754693456</x:v>
      </x:c>
      <x:c r="N320" t="str">
        <x:v>Binghamton City, Chenango Town, Union Town, Vestal Town</x:v>
      </x:c>
      <x:c r="O320" t="str">
        <x:v>Includes proxy city rows</x:v>
      </x:c>
      <x:c r="P320" t="str">
        <x:v>Aggregated from 4 new municipality screening rows; adjacency no longer required; overlapping catchments are not deduplicated.</x:v>
      </x:c>
      <x:c r="Q320" t="str">
        <x:v>U.S. Census Bureau QuickFacts — 2020 land area</x:v>
      </x:c>
    </x:row>
    <x:row r="321">
      <x:c r="A321" t="n">
        <x:v>143</x:v>
      </x:c>
      <x:c r="B321" t="str">
        <x:v>Centre County</x:v>
      </x:c>
      <x:c r="C321" t="str">
        <x:v>PA</x:v>
      </x:c>
      <x:c r="D321" t="str">
        <x:v>42027</x:v>
      </x:c>
      <x:c r="E321" t="n">
        <x:v>0</x:v>
      </x:c>
      <x:c r="F321" t="n">
        <x:v>0</x:v>
      </x:c>
      <x:c r="G321" t="n">
        <x:v>0</x:v>
      </x:c>
      <x:c r="H321" t="n">
        <x:v>0</x:v>
      </x:c>
      <x:c r="I321" t="n">
        <x:v>0</x:v>
      </x:c>
      <x:c r="J321" t="n">
        <x:v>4</x:v>
      </x:c>
      <x:c r="K321" t="n">
        <x:v>4</x:v>
      </x:c>
      <x:c r="L321" t="n">
        <x:v>1108.71</x:v>
      </x:c>
      <x:c r="M321" t="n">
        <x:v>0.003607796448124397</x:v>
      </x:c>
      <x:c r="N321" t="str">
        <x:v>College Township, Ferguson Township, Patton Township, State College Borough</x:v>
      </x:c>
      <x:c r="O321" t="str">
        <x:v>Includes proxy city rows</x:v>
      </x:c>
      <x:c r="P321" t="str">
        <x:v>Aggregated from 4 new municipality screening rows; adjacency no longer required; overlapping catchments are not deduplicated.</x:v>
      </x:c>
      <x:c r="Q321" t="str">
        <x:v>U.S. Census Bureau QuickFacts — 2020 land area</x:v>
      </x:c>
    </x:row>
    <x:row r="322">
      <x:c r="A322" t="n">
        <x:v>78</x:v>
      </x:c>
      <x:c r="B322" t="str">
        <x:v>Tompkins County</x:v>
      </x:c>
      <x:c r="C322" t="str">
        <x:v>NY</x:v>
      </x:c>
      <x:c r="D322" t="str">
        <x:v>36109</x:v>
      </x:c>
      <x:c r="E322" t="n">
        <x:v>0</x:v>
      </x:c>
      <x:c r="F322" t="n">
        <x:v>0</x:v>
      </x:c>
      <x:c r="G322" t="n">
        <x:v>0</x:v>
      </x:c>
      <x:c r="H322" t="n">
        <x:v>0</x:v>
      </x:c>
      <x:c r="I322" t="n">
        <x:v>0</x:v>
      </x:c>
      <x:c r="J322" t="n">
        <x:v>4</x:v>
      </x:c>
      <x:c r="K322" t="n">
        <x:v>4</x:v>
      </x:c>
      <x:c r="L322" t="n">
        <x:v>474.65</x:v>
      </x:c>
      <x:c r="M322" t="n">
        <x:v>0.008427262193194986</x:v>
      </x:c>
      <x:c r="N322" t="str">
        <x:v>Dryden Town, Ithaca City, Ithaca Town, Lansing Town</x:v>
      </x:c>
      <x:c r="O322" t="str">
        <x:v>Includes proxy city rows</x:v>
      </x:c>
      <x:c r="P322" t="str">
        <x:v>Aggregated from 4 new municipality screening rows; adjacency no longer required; overlapping catchments are not deduplicated.</x:v>
      </x:c>
      <x:c r="Q322" t="str">
        <x:v>U.S. Census Bureau QuickFacts — 2020 land area</x:v>
      </x:c>
    </x:row>
    <x:row r="323">
      <x:c r="A323" t="n">
        <x:v>77</x:v>
      </x:c>
      <x:c r="B323" t="str">
        <x:v>Grand Traverse County</x:v>
      </x:c>
      <x:c r="C323" t="str">
        <x:v>MI</x:v>
      </x:c>
      <x:c r="D323" t="str">
        <x:v>26055</x:v>
      </x:c>
      <x:c r="E323" t="n">
        <x:v>0</x:v>
      </x:c>
      <x:c r="F323" t="n">
        <x:v>0</x:v>
      </x:c>
      <x:c r="G323" t="n">
        <x:v>0</x:v>
      </x:c>
      <x:c r="H323" t="n">
        <x:v>0</x:v>
      </x:c>
      <x:c r="I323" t="n">
        <x:v>0</x:v>
      </x:c>
      <x:c r="J323" t="n">
        <x:v>4</x:v>
      </x:c>
      <x:c r="K323" t="n">
        <x:v>4</x:v>
      </x:c>
      <x:c r="L323" t="n">
        <x:v>464.33</x:v>
      </x:c>
      <x:c r="M323" t="n">
        <x:v>0.008614562918613917</x:v>
      </x:c>
      <x:c r="N323" t="str">
        <x:v>East Bay Township, Garfield Charter Township, Long Lake Township, Traverse City City</x:v>
      </x:c>
      <x:c r="O323" t="str">
        <x:v>Includes proxy city rows</x:v>
      </x:c>
      <x:c r="P323" t="str">
        <x:v>Aggregated from 4 new municipality screening rows; adjacency no longer required; overlapping catchments are not deduplicated.</x:v>
      </x:c>
      <x:c r="Q323" t="str">
        <x:v>U.S. Census Bureau QuickFacts — 2020 land area</x:v>
      </x:c>
    </x:row>
    <x:row r="324">
      <x:c r="A324" t="n">
        <x:v>94</x:v>
      </x:c>
      <x:c r="B324" t="str">
        <x:v>Berrien County</x:v>
      </x:c>
      <x:c r="C324" t="str">
        <x:v>MI</x:v>
      </x:c>
      <x:c r="D324" t="str">
        <x:v>26021</x:v>
      </x:c>
      <x:c r="E324" t="n">
        <x:v>0</x:v>
      </x:c>
      <x:c r="F324" t="n">
        <x:v>0</x:v>
      </x:c>
      <x:c r="G324" t="n">
        <x:v>0</x:v>
      </x:c>
      <x:c r="H324" t="n">
        <x:v>0</x:v>
      </x:c>
      <x:c r="I324" t="n">
        <x:v>0</x:v>
      </x:c>
      <x:c r="J324" t="n">
        <x:v>4</x:v>
      </x:c>
      <x:c r="K324" t="n">
        <x:v>4</x:v>
      </x:c>
      <x:c r="L324" t="n">
        <x:v>567.75</x:v>
      </x:c>
      <x:c r="M324" t="n">
        <x:v>0.007045354469396741</x:v>
      </x:c>
      <x:c r="N324" t="str">
        <x:v>Benton Charter Township, Lincoln Charter Township, Niles City, Niles Township</x:v>
      </x:c>
      <x:c r="O324" t="str">
        <x:v>Includes proxy city rows</x:v>
      </x:c>
      <x:c r="P324" t="str">
        <x:v>Aggregated from 4 new municipality screening rows; adjacency no longer required; overlapping catchments are not deduplicated.</x:v>
      </x:c>
      <x:c r="Q324" t="str">
        <x:v>U.S. Census Bureau QuickFacts — 2020 land area</x:v>
      </x:c>
    </x:row>
  </x:sheetData>
  <x:mergeCells>
    <x:mergeCell ref="A3:Q3"/>
    <x:mergeCell ref="A1:P1"/>
    <x:mergeCell ref="A2:Q2"/>
    <x:mergeCell ref="A3:P3"/>
    <x:mergeCell ref="A1:Q1"/>
    <x:mergeCell ref="A2:P2"/>
  </x:mergeCells>
  <x:conditionalFormatting sqref="M6:M89">
    <x:cfRule type="dataBar" priority="1">
      <x:dataBar>
        <x:cfvo type="min"/>
        <x:cfvo type="max"/>
        <x:color rgb="FFA02B93"/>
      </x:dataBar>
    </x:cfRule>
  </x:conditionalFormatting>
  <x:conditionalFormatting sqref="M6:M156">
    <x:cfRule type="dataBar" priority="2">
      <x:dataBar>
        <x:cfvo type="min"/>
        <x:cfvo type="max"/>
        <x:color rgb="FFA02B93"/>
      </x:dataBar>
    </x:cfRule>
  </x:conditionalFormatting>
  <x:conditionalFormatting sqref="M6:M183">
    <x:cfRule type="dataBar" priority="3">
      <x:dataBar>
        <x:cfvo type="min"/>
        <x:cfvo type="max"/>
        <x:color rgb="FFA02B93"/>
      </x:dataBar>
    </x:cfRule>
  </x:conditionalFormatting>
  <x:conditionalFormatting sqref="M6:M207">
    <x:cfRule type="dataBar" priority="4">
      <x:dataBar>
        <x:cfvo type="min"/>
        <x:cfvo type="max"/>
        <x:color rgb="FFA02B93"/>
      </x:dataBar>
    </x:cfRule>
  </x:conditionalFormatting>
  <x:pageMargins left="0.7" right="0.7" top="0.75" bottom="0.75" header="0.3" footer="0.3"/>
  <x:tableParts count="1">
    <x:tablePart xmlns:r="http://schemas.openxmlformats.org/officeDocument/2006/relationships" r:id="R995cea46474547b9"/>
  </x:tableParts>
</x:worksheet>
</file>

<file path=xl/worksheets/sheet6.xml><?xml version="1.0" encoding="utf-8"?>
<x:worksheet xmlns:x="http://schemas.openxmlformats.org/spreadsheetml/2006/main">
  <x:sheetFormatPr baseColWidth="8" defaultRowHeight="15"/>
  <x:cols>
    <x:col min="1" max="1" width="28" style="44" customWidth="1"/>
    <x:col min="2" max="2" width="90" style="44" customWidth="1"/>
  </x:cols>
  <x:sheetData>
    <x:row r="1">
      <x:c r="A1" s="144" t="inlineStr">
        <x:is>
          <x:t xml:space="preserve">How to Use This Final Screening Workbook</x:t>
        </x:is>
      </x:c>
      <x:c r="B1" s="1" t="n"/>
      <x:c r="C1" s="1" t="n"/>
      <x:c r="D1" s="1" t="n"/>
      <x:c r="E1" s="1" t="n"/>
      <x:c r="F1" s="1" t="n"/>
    </x:row>
    <x:row r="2"/>
    <x:row r="3">
      <x:c r="A3" s="49" t="inlineStr">
        <x:is>
          <x:t xml:space="preserve">Sheet</x:t>
        </x:is>
      </x:c>
      <x:c r="B3" s="49" t="inlineStr">
        <x:is>
          <x:t xml:space="preserve">How to use it</x:t>
        </x:is>
      </x:c>
    </x:row>
    <x:row r="4">
      <x:c r="A4" s="28" t="inlineStr">
        <x:is>
          <x:t xml:space="preserve">City Density Ranking</x:t>
        </x:is>
      </x:c>
      <x:c r="B4" s="28" t="str">
        <x:v>Now contains 1,020 screening-ranked municipalities. The adjacency requirement has been removed. The latest pass adds 51 municipalities across New London CT, Tolland CT, Chittenden VT, Litchfield CT, Middlesex CT, Broome NY, Centre PA, Tompkins NY, Grand Traverse MI, and Berrien MI while retaining the &gt;=50,000 county and &gt;=10,000 municipality thresholds.</x:v>
      </x:c>
    </x:row>
    <x:row r="5">
      <x:c r="A5" s="28" t="inlineStr">
        <x:is>
          <x:t xml:space="preserve">County Density Ranking</x:t>
        </x:is>
      </x:c>
      <x:c r="B5" s="28" t="str">
        <x:v>Now contains 319 represented counties/county equivalents. The ten latest counties were selected statewide without an adjacency constraint. Rank values are global; expansion rows are appended rather than physically re-sorted due spreadsheet-runtime limits.</x:v>
      </x:c>
    </x:row>
    <x:row r="6">
      <x:c r="A6" s="28" t="inlineStr">
        <x:is>
          <x:t xml:space="preserve">Chain Coverage</x:t>
        </x:is>
      </x:c>
      <x:c r="B6" s="28" t="inlineStr">
        <x:is>
          <x:t xml:space="preserve">Current 2026 chain totals and source URLs, plus status of coordinate coverage.</x:t>
        </x:is>
      </x:c>
    </x:row>
    <x:row r="7">
      <x:c r="A7" s="28" t="inlineStr">
        <x:is>
          <x:t xml:space="preserve">Methodology</x:t>
        </x:is>
      </x:c>
      <x:c r="B7" s="28" t="str">
        <x:v>Methodology history plus the new statewide/no-adjacency selection rule, Connecticut overlap convention, threshold-edge checks, and conservative store attribution.</x:v>
      </x:c>
    </x:row>
    <x:row r="8">
      <x:c r="A8" s="28" t="inlineStr">
        <x:is>
          <x:t xml:space="preserve">Sources</x:t>
        </x:is>
      </x:c>
      <x:c r="B8" s="28" t="str">
        <x:v>Reference inventory including Census Vintage 2025 population estimates, Census 2025/TIGER land areas, county QuickFacts, and threshold confirmations for the ten statewide additions.</x:v>
      </x:c>
    </x:row>
    <x:row r="9">
      <x:c r="A9" s="28" t="inlineStr">
        <x:is>
          <x:t xml:space="preserve">Final QA</x:t>
        </x:is>
      </x:c>
      <x:c r="B9" s="28" t="str">
        <x:v>Completion checks for the 1,020-municipality / 319-county workbook, including the adjacency-rule removal, eligibility, duplicates, areas, proxy treatment, rank recalculation, and spreadsheet errors.</x:v>
      </x:c>
    </x:row>
    <x:row r="10">
      <x:c r="A10" s="28" t="n"/>
      <x:c r="B10" s="28" t="n"/>
    </x:row>
    <x:row r="11">
      <x:c r="A11" s="28" t="inlineStr">
        <x:is>
          <x:t xml:space="preserve">Join rule</x:t>
        </x:is>
      </x:c>
      <x:c r="B11" s="28" t="inlineStr">
        <x:is>
          <x:t xml:space="preserve">Use both County and State (or County FIPS on the county sheet). Do not join on County alone.</x:t>
        </x:is>
      </x:c>
    </x:row>
    <x:row r="12">
      <x:c r="A12" s="65" t="inlineStr">
        <x:is>
          <x:t xml:space="preserve">Caution</x:t>
        </x:is>
      </x:c>
      <x:c r="B12" s="65" t="inlineStr">
        <x:is>
          <x:t xml:space="preserve">The county ranking is complete with area estimates where needed, but city/store counts remain screening/lower-bound values rather than the finished exact all-chain 5-mile GIS result.</x:t>
        </x:is>
      </x:c>
    </x:row>
    <x:row r="13">
      <x:c r="A13" t="inlineStr">
        <x:is>
          <x:t xml:space="preserve">Caution</x:t>
        </x:is>
      </x:c>
      <x:c r="B13" t="inlineStr">
        <x:is>
          <x:t xml:space="preserve">Do not publish the city/county ranking as an exact nationwide 5-mile result. The current numerator is partial/lower-bound.</x:t>
        </x:is>
      </x:c>
    </x:row>
    <x:row r="14">
      <x:c r="A14" s="63" t="n"/>
      <x:c r="B14" s="63" t="n"/>
    </x:row>
  </x:sheetData>
  <x:mergeCells>
    <x:mergeCell ref="A1:F1"/>
    <x:mergeCell ref="A1:B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style="44" customWidth="1"/>
    <x:col min="2" max="2" width="20" style="44" customWidth="1"/>
    <x:col min="3" max="3" width="52" style="44" customWidth="1"/>
    <x:col min="4" max="4" width="58" style="44" customWidth="1"/>
  </x:cols>
  <x:sheetData>
    <x:row r="1">
      <x:c r="A1" s="145" t="inlineStr">
        <x:is>
          <x:t xml:space="preserve">Final QA / Completion Status — 2026-09-14</x:t>
        </x:is>
      </x:c>
      <x:c r="B1" s="1" t="n"/>
      <x:c r="C1" s="1" t="n"/>
      <x:c r="D1" s="1" t="n"/>
    </x:row>
    <x:row r="2">
      <x:c r="A2" s="86" t="n"/>
      <x:c r="B2" s="86" t="n"/>
      <x:c r="C2" s="86" t="n"/>
      <x:c r="D2" s="86" t="n"/>
    </x:row>
    <x:row r="3">
      <x:c r="A3" s="88" t="inlineStr">
        <x:is>
          <x:t xml:space="preserve">Item</x:t>
        </x:is>
      </x:c>
      <x:c r="B3" s="88" t="inlineStr">
        <x:is>
          <x:t xml:space="preserve">Status</x:t>
        </x:is>
      </x:c>
      <x:c r="C3" s="88" t="inlineStr">
        <x:is>
          <x:t xml:space="preserve">What is complete</x:t>
        </x:is>
      </x:c>
      <x:c r="D3" s="88" t="inlineStr">
        <x:is>
          <x:t xml:space="preserve">What remains</x:t>
        </x:is>
      </x:c>
    </x:row>
    <x:row r="4">
      <x:c r="A4" s="86" t="inlineStr">
        <x:is>
          <x:t xml:space="preserve">35-chain universe</x:t>
        </x:is>
      </x:c>
      <x:c r="B4" s="86" t="inlineStr">
        <x:is>
          <x:t xml:space="preserve">Complete</x:t>
        </x:is>
      </x:c>
      <x:c r="C4" s="86" t="inlineStr">
        <x:is>
          <x:t xml:space="preserve">All chains retained; current store totals reconciled and documented in Chain Coverage.</x:t>
        </x:is>
      </x:c>
      <x:c r="D4" s="86" t="inlineStr">
        <x:is>
          <x:t xml:space="preserve">None for chain-count ranking.</x:t>
        </x:is>
      </x:c>
    </x:row>
    <x:row r="5">
      <x:c r="A5" s="86" t="inlineStr">
        <x:is>
          <x:t xml:space="preserve">Chain-count ranking</x:t>
        </x:is>
      </x:c>
      <x:c r="B5" s="86" t="inlineStr">
        <x:is>
          <x:t xml:space="preserve">Complete</x:t>
        </x:is>
      </x:c>
      <x:c r="C5" s="86" t="inlineStr">
        <x:is>
          <x:t xml:space="preserve">Current operating/listed-store counts corrected, including Wegmans 114 and Erewhon 13 operating.</x:t>
        </x:is>
      </x:c>
      <x:c r="D5" s="86" t="inlineStr">
        <x:is>
          <x:t xml:space="preserve">Re-check periodically as chains open/close stores.</x:t>
        </x:is>
      </x:c>
    </x:row>
    <x:row r="6">
      <x:c r="A6" s="86" t="inlineStr">
        <x:is>
          <x:t xml:space="preserve">City screening ranking</x:t>
        </x:is>
      </x:c>
      <x:c r="B6" s="86" t="inlineStr">
        <x:is>
          <x:t xml:space="preserve">Complete as screening</x:t>
        </x:is>
      </x:c>
      <x:c r="C6" s="86" t="inlineStr">
        <x:is>
          <x:t xml:space="preserve">467-city lower-bound/proxy ranking, with restricted-state county-completion passes using Census Vintage 2025 city-form municipality eligibility ≥50,000.</x:t>
        </x:is>
      </x:c>
      <x:c r="D6" s="86" t="inlineStr">
        <x:is>
          <x:t xml:space="preserve">Not exact because not all 35 chains and no complete 5-mile buffer join.</x:t>
        </x:is>
      </x:c>
    </x:row>
    <x:row r="7">
      <x:c r="A7" s="86" t="inlineStr">
        <x:is>
          <x:t xml:space="preserve">County screening ranking</x:t>
        </x:is>
      </x:c>
      <x:c r="B7" s="86" t="inlineStr">
        <x:is>
          <x:t xml:space="preserve">Complete as screening</x:t>
        </x:is>
      </x:c>
      <x:c r="C7" s="86" t="inlineStr">
        <x:is>
          <x:t xml:space="preserve">County aggregation recalculated from all 467 city rows; 244 represented counties/county equivalents are ranked with nonblank area denominators.</x:t>
        </x:is>
      </x:c>
      <x:c r="D7" s="86" t="inlineStr">
        <x:is>
          <x:t xml:space="preserve">Not a deduplicated exact county inventory.</x:t>
        </x:is>
      </x:c>
    </x:row>
    <x:row r="8">
      <x:c r="A8" s="94" t="inlineStr">
        <x:is>
          <x:t xml:space="preserve">Current store coordinates</x:t>
        </x:is>
      </x:c>
      <x:c r="B8" s="94" t="inlineStr">
        <x:is>
          <x:t xml:space="preserve">Partial</x:t>
        </x:is>
      </x:c>
      <x:c r="C8" s="94" t="inlineStr">
        <x:is>
          <x:t xml:space="preserve">Historical ATP-derived points found for major chains; first-party spider routes identified for several others.</x:t>
        </x:is>
      </x:c>
      <x:c r="D8" s="94" t="inlineStr">
        <x:is>
          <x:t xml:space="preserve">Obtain a current complete point set for all 35 chains.</x:t>
        </x:is>
      </x:c>
    </x:row>
    <x:row r="9">
      <x:c r="A9" s="86" t="inlineStr">
        <x:is>
          <x:t xml:space="preserve">Exact 5-mile municipal test</x:t>
        </x:is>
      </x:c>
      <x:c r="B9" s="86" t="inlineStr">
        <x:is>
          <x:t xml:space="preserve">Not completed</x:t>
        </x:is>
      </x:c>
      <x:c r="C9" s="86" t="inlineStr">
        <x:is>
          <x:t xml:space="preserve">GIS specification is fully documented in Methodology.</x:t>
        </x:is>
      </x:c>
      <x:c r="D9" s="86" t="inlineStr">
        <x:is>
          <x:t xml:space="preserve">Run current all-chain points against official Census place polygons buffered outward exactly 5.000 miles.</x:t>
        </x:is>
      </x:c>
    </x:row>
    <x:row r="10">
      <x:c r="A10" s="86" t="inlineStr">
        <x:is>
          <x:t xml:space="preserve">Publication readiness</x:t>
        </x:is>
      </x:c>
      <x:c r="B10" s="86" t="inlineStr">
        <x:is>
          <x:t xml:space="preserve">Screening only</x:t>
        </x:is>
      </x:c>
      <x:c r="C10" s="86" t="inlineStr">
        <x:is>
          <x:t xml:space="preserve">Useful for prioritizing cities/counties for deeper work.</x:t>
        </x:is>
      </x:c>
      <x:c r="D10" s="86" t="inlineStr">
        <x:is>
          <x:t xml:space="preserve">Do not label the density ranking as exact/nationwide until the production GIS rerun is done.</x:t>
        </x:is>
      </x:c>
    </x:row>
    <x:row r="11">
      <x:c r="A11" s="86" t="n"/>
      <x:c r="B11" s="86" t="n"/>
      <x:c r="C11" s="86" t="n"/>
      <x:c r="D11" s="86" t="n"/>
    </x:row>
    <x:row r="12">
      <x:c r="A12" s="95" t="inlineStr">
        <x:is>
          <x:t xml:space="preserve">Coordinate evidence checked</x:t>
        </x:is>
      </x:c>
      <x:c r="B12" s="95" t="inlineStr">
        <x:is>
          <x:t xml:space="preserve">Coverage</x:t>
        </x:is>
      </x:c>
      <x:c r="C12" s="95" t="inlineStr">
        <x:is>
          <x:t xml:space="preserve">Freshness</x:t>
        </x:is>
      </x:c>
      <x:c r="D12" s="95" t="inlineStr">
        <x:is>
          <x:t xml:space="preserve">Use in this workbook</x:t>
        </x:is>
      </x:c>
    </x:row>
    <x:row r="13">
      <x:c r="A13" s="86" t="inlineStr">
        <x:is>
          <x:t xml:space="preserve">ATP-derived Trader Joe's GeoJSON</x:t>
        </x:is>
      </x:c>
      <x:c r="B13" s="86" t="inlineStr">
        <x:is>
          <x:t xml:space="preserve">National</x:t>
        </x:is>
      </x:c>
      <x:c r="C13" s="86" t="inlineStr">
        <x:is>
          <x:t xml:space="preserve">Historical snapshot</x:t>
        </x:is>
      </x:c>
      <x:c r="D13" s="86" t="inlineStr">
        <x:is>
          <x:t xml:space="preserve">Evidence only; not used as a current exact numerator</x:t>
        </x:is>
      </x:c>
    </x:row>
    <x:row r="14">
      <x:c r="A14" s="86" t="inlineStr">
        <x:is>
          <x:t xml:space="preserve">ATP-derived Whole Foods GeoJSON</x:t>
        </x:is>
      </x:c>
      <x:c r="B14" s="86" t="inlineStr">
        <x:is>
          <x:t xml:space="preserve">National</x:t>
        </x:is>
      </x:c>
      <x:c r="C14" s="86" t="inlineStr">
        <x:is>
          <x:t xml:space="preserve">Historical snapshot</x:t>
        </x:is>
      </x:c>
      <x:c r="D14" s="86" t="inlineStr">
        <x:is>
          <x:t xml:space="preserve">Evidence only; not used as a current exact numerator</x:t>
        </x:is>
      </x:c>
    </x:row>
    <x:row r="15">
      <x:c r="A15" s="86" t="inlineStr">
        <x:is>
          <x:t xml:space="preserve">ATP-derived Sprouts GeoJSON</x:t>
        </x:is>
      </x:c>
      <x:c r="B15" s="86" t="inlineStr">
        <x:is>
          <x:t xml:space="preserve">National</x:t>
        </x:is>
      </x:c>
      <x:c r="C15" s="86" t="inlineStr">
        <x:is>
          <x:t xml:space="preserve">Historical snapshot</x:t>
        </x:is>
      </x:c>
      <x:c r="D15" s="86" t="inlineStr">
        <x:is>
          <x:t xml:space="preserve">Evidence only; not used as a current exact numerator</x:t>
        </x:is>
      </x:c>
    </x:row>
    <x:row r="16">
      <x:c r="A16" s="86" t="inlineStr">
        <x:is>
          <x:t xml:space="preserve">ATP-derived Wegmans GeoJSON</x:t>
        </x:is>
      </x:c>
      <x:c r="B16" s="86" t="inlineStr">
        <x:is>
          <x:t xml:space="preserve">National</x:t>
        </x:is>
      </x:c>
      <x:c r="C16" s="86" t="inlineStr">
        <x:is>
          <x:t xml:space="preserve">2023 crawl / 2024 cleaning</x:t>
        </x:is>
      </x:c>
      <x:c r="D16" s="86" t="inlineStr">
        <x:is>
          <x:t xml:space="preserve">Evidence only; not used as a current exact numerator</x:t>
        </x:is>
      </x:c>
    </x:row>
    <x:row r="17"/>
    <x:row r="18">
      <x:c r="A18" s="28" t="inlineStr">
        <x:is>
          <x:t xml:space="preserve">200-city expansion</x:t>
        </x:is>
      </x:c>
      <x:c r="B18" s="28" t="inlineStr">
        <x:is>
          <x:t xml:space="preserve">PASS</x:t>
        </x:is>
      </x:c>
      <x:c r="C18" s="28" t="inlineStr">
        <x:is>
          <x:t xml:space="preserve">200 city rows total; 100 added rows; all added County + State values validated against rankings.csv.</x:t>
        </x:is>
      </x:c>
      <x:c r="D18" s="28" t="inlineStr">
        <x:is>
          <x:t xml:space="preserve">Screening rows explicitly labeled; no exact-count claim.</x:t>
        </x:is>
      </x:c>
    </x:row>
    <x:row r="19">
      <x:c r="A19" s="28" t="inlineStr">
        <x:is>
          <x:t xml:space="preserve">County expansion</x:t>
        </x:is>
      </x:c>
      <x:c r="B19" s="28" t="inlineStr">
        <x:is>
          <x:t xml:space="preserve">PARTIAL</x:t>
        </x:is>
      </x:c>
      <x:c r="C19" s="28" t="inlineStr">
        <x:is>
          <x:t xml:space="preserve">All 200 city rows aggregate to county; new counties lacking a previously verified area denominator are included but not density-ranked.</x:t>
        </x:is>
      </x:c>
      <x:c r="D19" s="28" t="inlineStr">
        <x:is>
          <x:t xml:space="preserve">No guessed county areas inserted.</x:t>
        </x:is>
      </x:c>
    </x:row>
    <x:row r="20"/>
    <x:row r="21">
      <x:c r="A21" s="28" t="inlineStr">
        <x:is>
          <x:t xml:space="preserve">250-city expansion</x:t>
        </x:is>
      </x:c>
      <x:c r="B21" s="28" t="inlineStr">
        <x:is>
          <x:t xml:space="preserve">PASS</x:t>
        </x:is>
      </x:c>
      <x:c r="C21" s="28" t="inlineStr">
        <x:is>
          <x:t xml:space="preserve">250 total city rows; 50 new unique cities; all new County + State strings validated against rankings.csv.</x:t>
        </x:is>
      </x:c>
      <x:c r="D21" s="28" t="inlineStr">
        <x:is>
          <x:t xml:space="preserve">No duplicate city/state additions.</x:t>
        </x:is>
      </x:c>
    </x:row>
    <x:row r="22">
      <x:c r="A22" s="28" t="inlineStr">
        <x:is>
          <x:t xml:space="preserve">County area completeness</x:t>
        </x:is>
      </x:c>
      <x:c r="B22" s="28" t="inlineStr">
        <x:is>
          <x:t xml:space="preserve">PASS</x:t>
        </x:is>
      </x:c>
      <x:c r="C22" s="28" t="inlineStr">
        <x:is>
          <x:t xml:space="preserve">178/178 represented counties have nonblank area and density; all are ranked.</x:t>
        </x:is>
      </x:c>
      <x:c r="D22" s="28" t="inlineStr">
        <x:is>
          <x:t xml:space="preserve">94 county denominators are estimated; the rest retain verified Census land area.</x:t>
        </x:is>
      </x:c>
    </x:row>
    <x:row r="23">
      <x:c r="A23" s="28" t="inlineStr">
        <x:is>
          <x:t xml:space="preserve">Formula scan</x:t>
        </x:is>
      </x:c>
      <x:c r="B23" s="28" t="inlineStr">
        <x:is>
          <x:t xml:space="preserve">PASS</x:t>
        </x:is>
      </x:c>
      <x:c r="C23" s="28" t="inlineStr">
        <x:is>
          <x:t xml:space="preserve">No #REF!, #DIV/0!, #VALUE!, #NAME?, or #N/A matches found; all 178 county rows have nonblank area and density.</x:t>
        </x:is>
      </x:c>
      <x:c r="D23" s="28" t="inlineStr">
        <x:is>
          <x:t xml:space="preserve">County ranking is complete.</x:t>
        </x:is>
      </x:c>
    </x:row>
    <x:row r="24"/>
    <x:row r="25">
      <x:c r="A25" s="28" t="inlineStr">
        <x:is>
          <x:t xml:space="preserve">336-city targeted county completion</x:t>
        </x:is>
      </x:c>
      <x:c r="B25" s="28" t="inlineStr">
        <x:is>
          <x:t xml:space="preserve">PASS</x:t>
        </x:is>
      </x:c>
      <x:c r="C25" s="28" t="inlineStr">
        <x:is>
          <x:t xml:space="preserve">Added 36 incorporated places so the original five highest-store-count counties include every Census Vintage 2025 incorporated place with population ≥50,000.</x:t>
        </x:is>
      </x:c>
      <x:c r="D25" s="28" t="inlineStr">
        <x:is>
          <x:t xml:space="preserve">New rows use the documented one-store screening floor; they are not exact chain counts.</x:t>
        </x:is>
      </x:c>
    </x:row>
    <x:row r="26">
      <x:c r="A26" s="28" t="inlineStr">
        <x:is>
          <x:t xml:space="preserve">County area / aggregation refresh</x:t>
        </x:is>
      </x:c>
      <x:c r="B26" s="28" t="inlineStr">
        <x:is>
          <x:t xml:space="preserve">PASS</x:t>
        </x:is>
      </x:c>
      <x:c r="C26" s="28" t="inlineStr">
        <x:is>
          <x:t xml:space="preserve">202/202 represented counties/county equivalents retain nonblank area denominators; aggregation and density order were recalculated from all 336 city rows.</x:t>
        </x:is>
      </x:c>
      <x:c r="D26" s="28" t="inlineStr">
        <x:is>
          <x:t xml:space="preserve">County totals remain screening aggregates and do not deduplicate overlapping 5-mile catchments.</x:t>
        </x:is>
      </x:c>
    </x:row>
    <x:row r="27">
      <x:c r="A27" s="28" t="inlineStr">
        <x:is>
          <x:t xml:space="preserve">Formula / error scan</x:t>
        </x:is>
      </x:c>
      <x:c r="B27" s="28" t="inlineStr">
        <x:is>
          <x:t xml:space="preserve">PASS</x:t>
        </x:is>
      </x:c>
      <x:c r="C27" s="28" t="inlineStr">
        <x:is>
          <x:t xml:space="preserve">No active spreadsheet formula errors were found after the 400-city refresh; city and county ranking values were rebuilt through city row 405.</x:t>
        </x:is>
      </x:c>
      <x:c r="D27" s="28" t="inlineStr">
        <x:is>
          <x:t xml:space="preserve">County ranking is complete as a screening view.</x:t>
        </x:is>
      </x:c>
    </x:row>
    <x:row r="28">
      <x:c r="A28" s="28" t="inlineStr">
        <x:is>
          <x:t xml:space="preserve">378-city next-five county completion</x:t>
        </x:is>
      </x:c>
      <x:c r="B28" s="28" t="inlineStr">
        <x:is>
          <x:t xml:space="preserve">PASS</x:t>
        </x:is>
      </x:c>
      <x:c r="C28" s="28" t="inlineStr">
        <x:is>
          <x:t xml:space="preserve">Added 23 incorporated places: 1 in Travis County, TX; 12 in Orange County, CA; 1 in Mecklenburg County, NC; 1 in Marion County, IN; and 8 in Broward County, FL.</x:t>
        </x:is>
      </x:c>
      <x:c r="D28" s="28" t="inlineStr">
        <x:is>
          <x:t xml:space="preserve">New rows use the documented one-store screening floor; they are not exact chain counts.</x:t>
        </x:is>
      </x:c>
    </x:row>
    <x:row r="29">
      <x:c r="A29" s="28" t="inlineStr">
        <x:is>
          <x:t xml:space="preserve">County aggregation refresh</x:t>
        </x:is>
      </x:c>
      <x:c r="B29" s="28" t="inlineStr">
        <x:is>
          <x:t xml:space="preserve">PASS</x:t>
        </x:is>
      </x:c>
      <x:c r="C29" s="28" t="inlineStr">
        <x:is>
          <x:t xml:space="preserve">202/202 represented counties/county equivalents retain nonblank area denominators; aggregation and density order were rebuilt from all 378 city rows.</x:t>
        </x:is>
      </x:c>
      <x:c r="D29" s="28" t="inlineStr">
        <x:is>
          <x:t xml:space="preserve">County totals remain screening aggregates and do not deduplicate overlapping 5-mile catchments.</x:t>
        </x:is>
      </x:c>
    </x:row>
    <x:row r="30">
      <x:c r="A30" s="28" t="inlineStr">
        <x:is>
          <x:t xml:space="preserve">City rank refresh</x:t>
        </x:is>
      </x:c>
      <x:c r="B30" s="28" t="inlineStr">
        <x:is>
          <x:t xml:space="preserve">PASS</x:t>
        </x:is>
      </x:c>
      <x:c r="C30" s="28" t="inlineStr">
        <x:is>
          <x:t xml:space="preserve">All 378 city rows were sorted and re-ranked by proxy/lower-bound stores per square mile after the 23 additions.</x:t>
        </x:is>
      </x:c>
      <x:c r="D30" s="28" t="inlineStr">
        <x:is>
          <x:t xml:space="preserve">Ranking remains a screening result rather than an exact all-chain 5-mile GIS result.</x:t>
        </x:is>
      </x:c>
    </x:row>
    <x:row r="31">
      <x:c r="A31" t="inlineStr">
        <x:is>
          <x:t xml:space="preserve">400-city next-five county completion</x:t>
        </x:is>
      </x:c>
      <x:c r="B31" t="inlineStr">
        <x:is>
          <x:t xml:space="preserve">PASS</x:t>
        </x:is>
      </x:c>
      <x:c r="C31" t="inlineStr">
        <x:is>
          <x:t xml:space="preserve">Added 22 new city/state rows to complete the original store-count ranks 16–20: 2 new rows for Harris County, TX; 10 for Riverside County, CA; 4 for Fulton County, GA; 6 for Alameda County, CA; and none for the District of Columbia. Existing qualifying League City, Pearland, and Corona rows were not duplicated.</x:t>
        </x:is>
      </x:c>
      <x:c r="D31" t="inlineStr">
        <x:is>
          <x:t xml:space="preserve">New rows use the documented one-store screening floor; they are not exact chain counts.</x:t>
        </x:is>
      </x:c>
    </x:row>
    <x:row r="32">
      <x:c r="A32" t="inlineStr">
        <x:is>
          <x:t xml:space="preserve">County aggregation refresh</x:t>
        </x:is>
      </x:c>
      <x:c r="B32" t="inlineStr">
        <x:is>
          <x:t xml:space="preserve">PASS</x:t>
        </x:is>
      </x:c>
      <x:c r="C32" t="inlineStr">
        <x:is>
          <x:t xml:space="preserve">202/202 represented counties/county equivalents retain nonblank area denominators; aggregation and density order were rebuilt from all 400 city rows.</x:t>
        </x:is>
      </x:c>
      <x:c r="D32" t="inlineStr">
        <x:is>
          <x:t xml:space="preserve">County totals remain screening aggregates and do not deduplicate overlapping 5-mile catchments.</x:t>
        </x:is>
      </x:c>
    </x:row>
    <x:row r="33">
      <x:c r="A33" t="inlineStr">
        <x:is>
          <x:t xml:space="preserve">City rank refresh</x:t>
        </x:is>
      </x:c>
      <x:c r="B33" t="inlineStr">
        <x:is>
          <x:t xml:space="preserve">PASS</x:t>
        </x:is>
      </x:c>
      <x:c r="C33" t="inlineStr">
        <x:is>
          <x:t xml:space="preserve">All 400 city rows were sorted and re-ranked by proxy/lower-bound stores per square mile after the 22 additions.</x:t>
        </x:is>
      </x:c>
      <x:c r="D33" t="inlineStr">
        <x:is>
          <x:t xml:space="preserve">Ranking remains a screening result rather than an exact all-chain 5-mile GIS result.</x:t>
        </x:is>
      </x:c>
    </x:row>
    <x:row r="34">
      <x:c r="A34" t="inlineStr">
        <x:is>
          <x:t xml:space="preserve">412-city adjacent-county expansion</x:t>
        </x:is>
      </x:c>
      <x:c r="B34" t="inlineStr">
        <x:is>
          <x:t xml:space="preserve">PASS</x:t>
        </x:is>
      </x:c>
      <x:c r="C34" t="inlineStr">
        <x:is>
          <x:t xml:space="preserve">Selected five previously unrepresented counties adjacent to the original top 20: San Mateo CA, Montgomery MD, Cobb GA, Hays TX, and Fort Bend TX. Added 12 new city/state rows covering their qualifying ≥50,000 incorporated places; Missouri City, TX was already present and was not duplicated.</x:t>
        </x:is>
      </x:c>
      <x:c r="D34" t="inlineStr">
        <x:is>
          <x:t xml:space="preserve">Selection is a screening prioritization based on verified tracked-chain city presence, not an exhaustive all-35-chain GIS store census.</x:t>
        </x:is>
      </x:c>
    </x:row>
    <x:row r="35">
      <x:c r="A35" t="inlineStr">
        <x:is>
          <x:t xml:space="preserve">County aggregation refresh</x:t>
        </x:is>
      </x:c>
      <x:c r="B35" t="inlineStr">
        <x:is>
          <x:t xml:space="preserve">PASS</x:t>
        </x:is>
      </x:c>
      <x:c r="C35" t="inlineStr">
        <x:is>
          <x:t xml:space="preserve">207/207 represented counties/county equivalents have nonblank area denominators; five new county rows use verified Census land area and aggregation/density order was rebuilt from all 412 city rows.</x:t>
        </x:is>
      </x:c>
      <x:c r="D35" t="inlineStr">
        <x:is>
          <x:t xml:space="preserve">Multi-county cities retain one canonical county assignment; county totals do not deduplicate hypothetical overlapping 5-mile catchments.</x:t>
        </x:is>
      </x:c>
    </x:row>
    <x:row r="36">
      <x:c r="A36" t="inlineStr">
        <x:is>
          <x:t xml:space="preserve">City rank / formula refresh</x:t>
        </x:is>
      </x:c>
      <x:c r="B36" t="inlineStr">
        <x:is>
          <x:t xml:space="preserve">PASS</x:t>
        </x:is>
      </x:c>
      <x:c r="C36" t="inlineStr">
        <x:is>
          <x:t xml:space="preserve">All 412 city rows were sorted and re-ranked by proxy/lower-bound stores per square mile; city proxy totals and densities, plus county proxy totals and densities, are formula-driven.</x:t>
        </x:is>
      </x:c>
      <x:c r="D36" t="inlineStr">
        <x:is>
          <x:t xml:space="preserve">Ranking remains a screening result rather than an exact all-chain 5-mile GIS result.</x:t>
        </x:is>
      </x:c>
    </x:row>
    <x:row r="37">
      <x:c r="A37" s="28" t="inlineStr">
        <x:is>
          <x:t xml:space="preserve">443-city restricted-state expansion</x:t>
        </x:is>
      </x:c>
      <x:c r="B37" s="28" t="inlineStr">
        <x:is>
          <x:t xml:space="preserve">PASS</x:t>
        </x:is>
      </x:c>
      <x:c r="C37" s="28" t="inlineStr">
        <x:is>
          <x:t xml:space="preserve">Added 11 qualifying 50k+ city rows across Essex MA, Norfolk MA, Frederick MD, Butler OH, and New Castle DE; 443 city rows total.</x:t>
        </x:is>
      </x:c>
      <x:c r="D37" s="28" t="inlineStr">
        <x:is>
          <x:t xml:space="preserve">New non-verified city rows remain screening-floor proxies, not exact store inventories.</x:t>
        </x:is>
      </x:c>
    </x:row>
    <x:row r="38">
      <x:c r="A38" s="28" t="inlineStr">
        <x:is>
          <x:t xml:space="preserve">County aggregation refresh</x:t>
        </x:is>
      </x:c>
      <x:c r="B38" s="28" t="inlineStr">
        <x:is>
          <x:t xml:space="preserve">PASS</x:t>
        </x:is>
      </x:c>
      <x:c r="C38" s="28" t="inlineStr">
        <x:is>
          <x:t xml:space="preserve">222/222 represented counties/county equivalents have nonblank area denominators and were re-ranked from the 443-city universe.</x:t>
        </x:is>
      </x:c>
      <x:c r="D38" s="28" t="inlineStr">
        <x:is>
          <x:t xml:space="preserve">County totals remain screening aggregates and do not deduplicate overlapping 5-mile catchments.</x:t>
        </x:is>
      </x:c>
    </x:row>
    <x:row r="39">
      <x:c r="A39" s="28" t="inlineStr">
        <x:is>
          <x:t xml:space="preserve">Verified lower bounds</x:t>
        </x:is>
      </x:c>
      <x:c r="B39" s="28" t="inlineStr">
        <x:is>
          <x:t xml:space="preserve">PASS</x:t>
        </x:is>
      </x:c>
      <x:c r="C39" s="28" t="inlineStr">
        <x:is>
          <x:t xml:space="preserve">Wegmans Frederick and Wegmans Wilmington were directly verified and carried as lower-bound store counts.</x:t>
        </x:is>
      </x:c>
      <x:c r="D39" s="28" t="inlineStr">
        <x:is>
          <x:t xml:space="preserve">Other added cities use the documented one-store floor until production GIS verification.</x:t>
        </x:is>
      </x:c>
    </x:row>
    <x:row r="40">
      <x:c r="A40" s="28" t="inlineStr">
        <x:is>
          <x:t xml:space="preserve">Formula / error scan</x:t>
        </x:is>
      </x:c>
      <x:c r="B40" s="28" t="inlineStr">
        <x:is>
          <x:t xml:space="preserve">PASS</x:t>
        </x:is>
      </x:c>
      <x:c r="C40" s="28" t="inlineStr">
        <x:is>
          <x:t xml:space="preserve">No active #REF!, #DIV/0!, #VALUE!, #NAME?, or #N/A errors found in the final workbook scan.</x:t>
        </x:is>
      </x:c>
      <x:c r="D40" s="28" t="inlineStr">
        <x:is>
          <x:t xml:space="preserve">Exact all-chain 5-mile GIS count remains outside this screening workbook.</x:t>
        </x:is>
      </x:c>
    </x:row>
    <x:row r="41">
      <x:c r="A41" s="28" t="inlineStr">
        <x:is>
          <x:t xml:space="preserve">450-city restricted-state expansion</x:t>
        </x:is>
      </x:c>
      <x:c r="B41" s="28" t="inlineStr">
        <x:is>
          <x:t xml:space="preserve">PASS</x:t>
        </x:is>
      </x:c>
      <x:c r="C41" s="28" t="inlineStr">
        <x:is>
          <x:t xml:space="preserve">Added 7 qualifying 50k+ city rows across Bristol MA, Mercer NJ, Genesee MI, Berks PA, and Kent RI; 450 city rows total.</x:t>
        </x:is>
      </x:c>
      <x:c r="D41" s="28" t="inlineStr">
        <x:is>
          <x:t xml:space="preserve">New city rows remain screening-floor proxies unless/until the production GIS store count is run.</x:t>
        </x:is>
      </x:c>
    </x:row>
    <x:row r="42">
      <x:c r="A42" s="28" t="inlineStr">
        <x:is>
          <x:t xml:space="preserve">County aggregation refresh</x:t>
        </x:is>
      </x:c>
      <x:c r="B42" s="28" t="inlineStr">
        <x:is>
          <x:t xml:space="preserve">PASS</x:t>
        </x:is>
      </x:c>
      <x:c r="C42" s="28" t="inlineStr">
        <x:is>
          <x:t xml:space="preserve">227 represented counties/county equivalents were re-aggregated and re-ranked from the 450-city universe.</x:t>
        </x:is>
      </x:c>
      <x:c r="D42" s="28" t="inlineStr">
        <x:is>
          <x:t xml:space="preserve">County totals are screening aggregates and do not deduplicate overlapping 5-mile catchments.</x:t>
        </x:is>
      </x:c>
    </x:row>
    <x:row r="43">
      <x:c r="A43" s="28" t="inlineStr">
        <x:is>
          <x:t xml:space="preserve">Eligibility check</x:t>
        </x:is>
      </x:c>
      <x:c r="B43" s="28" t="inlineStr">
        <x:is>
          <x:t xml:space="preserve">PASS</x:t>
        </x:is>
      </x:c>
      <x:c r="C43" s="28" t="inlineStr">
        <x:is>
          <x:t xml:space="preserve">New Bedford, Fall River, Taunton, Trenton, Flint, Reading, and Warwick all exceed 50,000 in Census Vintage 2025.</x:t>
        </x:is>
      </x:c>
      <x:c r="D43" s="28" t="inlineStr">
        <x:is>
          <x:t xml:space="preserve">Selection remained within the user's permitted 13 states.</x:t>
        </x:is>
      </x:c>
    </x:row>
    <x:row r="44">
      <x:c r="A44" s="28" t="inlineStr">
        <x:is>
          <x:t xml:space="preserve">Formula / error scan</x:t>
        </x:is>
      </x:c>
      <x:c r="B44" s="28" t="inlineStr">
        <x:is>
          <x:t xml:space="preserve">PASS</x:t>
        </x:is>
      </x:c>
      <x:c r="C44" s="28" t="inlineStr">
        <x:is>
          <x:t xml:space="preserve">No active #REF!, #DIV/0!, #VALUE!, #NAME?, or #N/A errors found in the final workbook scan.</x:t>
        </x:is>
      </x:c>
      <x:c r="D44" s="28" t="inlineStr">
        <x:is>
          <x:t xml:space="preserve">Exact all-chain 5-mile GIS count remains outside this screening workbook.</x:t>
        </x:is>
      </x:c>
    </x:row>
    <x:row r="45">
      <x:c r="A45" s="28" t="inlineStr">
        <x:is>
          <x:t xml:space="preserve">455-city restricted-state expansion</x:t>
        </x:is>
      </x:c>
      <x:c r="B45" s="28" t="inlineStr">
        <x:is>
          <x:t xml:space="preserve">PASS</x:t>
        </x:is>
      </x:c>
      <x:c r="C45" s="28" t="inlineStr">
        <x:is>
          <x:t xml:space="preserve">Added 5 qualifying 50k+ city rows across Plymouth MA, Lancaster PA, Clark OH, Licking OH, and Mahoning OH; 455 city rows total.</x:t>
        </x:is>
      </x:c>
      <x:c r="D45" s="28" t="inlineStr">
        <x:is>
          <x:t xml:space="preserve">New city rows remain screening-floor proxies pending the production GIS store count.</x:t>
        </x:is>
      </x:c>
    </x:row>
    <x:row r="46">
      <x:c r="A46" s="28" t="inlineStr">
        <x:is>
          <x:t xml:space="preserve">County aggregation refresh</x:t>
        </x:is>
      </x:c>
      <x:c r="B46" s="28" t="inlineStr">
        <x:is>
          <x:t xml:space="preserve">PASS</x:t>
        </x:is>
      </x:c>
      <x:c r="C46" s="28" t="inlineStr">
        <x:is>
          <x:t xml:space="preserve">232 represented counties/county equivalents were re-aggregated and re-ranked from the 455-city universe.</x:t>
        </x:is>
      </x:c>
      <x:c r="D46" s="28" t="inlineStr">
        <x:is>
          <x:t xml:space="preserve">County totals are screening aggregates and do not deduplicate overlapping 5-mile catchments.</x:t>
        </x:is>
      </x:c>
    </x:row>
    <x:row r="47">
      <x:c r="A47" s="28" t="inlineStr">
        <x:is>
          <x:t xml:space="preserve">Eligibility / adjacency check</x:t>
        </x:is>
      </x:c>
      <x:c r="B47" s="28" t="inlineStr">
        <x:is>
          <x:t xml:space="preserve">PASS</x:t>
        </x:is>
      </x:c>
      <x:c r="C47" s="28" t="inlineStr">
        <x:is>
          <x:t xml:space="preserve">Brockton, Lancaster, Springfield, Newark, and Youngstown all exceed 50,000 in Census Vintage 2025; all five new counties directly border already represented counties.</x:t>
        </x:is>
      </x:c>
      <x:c r="D47" s="28" t="inlineStr">
        <x:is>
          <x:t xml:space="preserve">Selection remained within the user's permitted 13 states.</x:t>
        </x:is>
      </x:c>
    </x:row>
    <x:row r="48">
      <x:c r="A48" s="28" t="inlineStr">
        <x:is>
          <x:t xml:space="preserve">Formula / error scan</x:t>
        </x:is>
      </x:c>
      <x:c r="B48" s="28" t="inlineStr">
        <x:is>
          <x:t xml:space="preserve">PASS</x:t>
        </x:is>
      </x:c>
      <x:c r="C48" s="28" t="inlineStr">
        <x:is>
          <x:t xml:space="preserve">No active #REF!, #DIV/0!, #VALUE!, #NAME?, or #N/A errors found in the final workbook scan.</x:t>
        </x:is>
      </x:c>
      <x:c r="D48" s="28" t="inlineStr">
        <x:is>
          <x:t xml:space="preserve">Exact all-chain 5-mile GIS count remains outside this screening workbook.</x:t>
        </x:is>
      </x:c>
    </x:row>
    <x:row r="49">
      <x:c r="A49" s="28" t="inlineStr">
        <x:is>
          <x:t xml:space="preserve">460-city restricted-state expansion</x:t>
        </x:is>
      </x:c>
      <x:c r="B49" s="28" t="inlineStr">
        <x:is>
          <x:t xml:space="preserve">PASS</x:t>
        </x:is>
      </x:c>
      <x:c r="C49" s="28" t="inlineStr">
        <x:is>
          <x:t xml:space="preserve">Added 5 qualifying 50k+ city rows across Cumberland ME, Erie PA, Lackawanna PA, Albany NY, and Kalamazoo MI; 460 city rows total.</x:t>
        </x:is>
      </x:c>
      <x:c r="D49" s="28" t="inlineStr">
        <x:is>
          <x:t xml:space="preserve">Portland carries a directly verified Whole Foods lower bound; other new city rows use the screening floor.</x:t>
        </x:is>
      </x:c>
    </x:row>
    <x:row r="50">
      <x:c r="A50" s="28" t="inlineStr">
        <x:is>
          <x:t xml:space="preserve">County aggregation refresh</x:t>
        </x:is>
      </x:c>
      <x:c r="B50" s="28" t="inlineStr">
        <x:is>
          <x:t xml:space="preserve">PASS</x:t>
        </x:is>
      </x:c>
      <x:c r="C50" s="28" t="inlineStr">
        <x:is>
          <x:t xml:space="preserve">237 represented counties/county equivalents were re-aggregated and re-ranked from the 460-city universe.</x:t>
        </x:is>
      </x:c>
      <x:c r="D50" s="28" t="inlineStr">
        <x:is>
          <x:t xml:space="preserve">County totals are screening aggregates and do not deduplicate overlapping 5-mile catchments.</x:t>
        </x:is>
      </x:c>
    </x:row>
    <x:row r="51">
      <x:c r="A51" s="28" t="inlineStr">
        <x:is>
          <x:t xml:space="preserve">Eligibility / state restriction</x:t>
        </x:is>
      </x:c>
      <x:c r="B51" s="28" t="inlineStr">
        <x:is>
          <x:t xml:space="preserve">PASS</x:t>
        </x:is>
      </x:c>
      <x:c r="C51" s="28" t="inlineStr">
        <x:is>
          <x:t xml:space="preserve">Portland, Erie, Scranton, Albany, and Kalamazoo all exceed 50,000 in Census Vintage 2025, and all selected counties are inside the permitted state list.</x:t>
        </x:is>
      </x:c>
      <x:c r="D51" s="28" t="inlineStr">
        <x:is>
          <x:t xml:space="preserve">Nearest-ring fallback was required because five strong direct-neighbor counties were no longer available.</x:t>
        </x:is>
      </x:c>
    </x:row>
    <x:row r="52">
      <x:c r="A52" s="28" t="inlineStr">
        <x:is>
          <x:t xml:space="preserve">Formula / error scan</x:t>
        </x:is>
      </x:c>
      <x:c r="B52" s="28" t="inlineStr">
        <x:is>
          <x:t xml:space="preserve">PASS</x:t>
        </x:is>
      </x:c>
      <x:c r="C52" s="28" t="inlineStr">
        <x:is>
          <x:t xml:space="preserve">No active #REF!, #DIV/0!, #VALUE!, #NAME?, or #N/A errors found in the final workbook scan.</x:t>
        </x:is>
      </x:c>
      <x:c r="D52" s="28" t="inlineStr">
        <x:is>
          <x:t xml:space="preserve">Exact all-chain 5-mile GIS count remains outside this screening workbook.</x:t>
        </x:is>
      </x:c>
    </x:row>
    <x:row r="53">
      <x:c r="A53" s="28" t="inlineStr">
        <x:is>
          <x:t xml:space="preserve">465-city restricted-state expansion</x:t>
        </x:is>
      </x:c>
      <x:c r="B53" s="28" t="inlineStr">
        <x:is>
          <x:t xml:space="preserve">PASS</x:t>
        </x:is>
      </x:c>
      <x:c r="C53" s="28" t="inlineStr">
        <x:is>
          <x:t xml:space="preserve">Added 5 qualifying 50k+ city rows across Northampton PA, Dauphin PA, Schenectady NY, Rensselaer NY, and Cumberland NJ; 465 city rows total.</x:t>
        </x:is>
      </x:c>
      <x:c r="D53" s="28" t="inlineStr">
        <x:is>
          <x:t xml:space="preserve">Bethlehem carries a verified Wegmans lower bound; the other four additions use the documented screening floor.</x:t>
        </x:is>
      </x:c>
    </x:row>
    <x:row r="54">
      <x:c r="A54" s="28" t="inlineStr">
        <x:is>
          <x:t xml:space="preserve">County aggregation refresh</x:t>
        </x:is>
      </x:c>
      <x:c r="B54" s="28" t="inlineStr">
        <x:is>
          <x:t xml:space="preserve">PASS</x:t>
        </x:is>
      </x:c>
      <x:c r="C54" s="28" t="inlineStr">
        <x:is>
          <x:t xml:space="preserve">242 represented counties/county equivalents were re-aggregated and re-ranked from the 465-city universe.</x:t>
        </x:is>
      </x:c>
      <x:c r="D54" s="28" t="inlineStr">
        <x:is>
          <x:t xml:space="preserve">County totals remain screening aggregates and do not deduplicate overlapping 5-mile catchments.</x:t>
        </x:is>
      </x:c>
    </x:row>
    <x:row r="55">
      <x:c r="A55" s="28" t="inlineStr">
        <x:is>
          <x:t xml:space="preserve">Eligibility / state restriction</x:t>
        </x:is>
      </x:c>
      <x:c r="B55" s="28" t="inlineStr">
        <x:is>
          <x:t xml:space="preserve">PASS</x:t>
        </x:is>
      </x:c>
      <x:c r="C55" s="28" t="inlineStr">
        <x:is>
          <x:t xml:space="preserve">Bethlehem, Harrisburg, Schenectady, Troy, and Vineland all exceed 50,000 in Census Vintage 2025; all five counties are inside the permitted state list.</x:t>
        </x:is>
      </x:c>
      <x:c r="D55" s="28" t="inlineStr">
        <x:is>
          <x:t xml:space="preserve">The remaining candidate pool is sparse, so only Northampton has a directly verified tracked-chain location in the qualifying city.</x:t>
        </x:is>
      </x:c>
    </x:row>
    <x:row r="56">
      <x:c r="A56" s="28" t="inlineStr">
        <x:is>
          <x:t xml:space="preserve">Formula / error scan</x:t>
        </x:is>
      </x:c>
      <x:c r="B56" s="28" t="inlineStr">
        <x:is>
          <x:t xml:space="preserve">PASS</x:t>
        </x:is>
      </x:c>
      <x:c r="C56" s="28" t="inlineStr">
        <x:is>
          <x:t xml:space="preserve">No active #REF!, #DIV/0!, #VALUE!, #NAME?, or #N/A errors found in the final workbook scan.</x:t>
        </x:is>
      </x:c>
      <x:c r="D56" s="28" t="inlineStr">
        <x:is>
          <x:t xml:space="preserve">Exact all-chain 5-mile GIS count remains outside this screening workbook.</x:t>
        </x:is>
      </x:c>
    </x:row>
    <x:row r="57">
      <x:c r="A57" t="inlineStr">
        <x:is>
          <x:t xml:space="preserve">467-city restricted-state constrained expansion</x:t>
        </x:is>
      </x:c>
      <x:c r="B57" t="inlineStr">
        <x:is>
          <x:t xml:space="preserve">PASS</x:t>
        </x:is>
      </x:c>
      <x:c r="C57" t="inlineStr">
        <x:is>
          <x:t xml:space="preserve">Added Battle Creek MI (Calhoun County) and Utica NY (Oneida County); 467 city rows total.</x:t>
        </x:is>
      </x:c>
      <x:c r="D57" t="inlineStr">
        <x:is>
          <x:t xml:space="preserve">Only two counties legitimately remained under the established city-form ≥50,000 rule; no nonqualifying counties were forced in.</x:t>
        </x:is>
      </x:c>
    </x:row>
    <x:row r="58">
      <x:c r="A58" t="inlineStr">
        <x:is>
          <x:t xml:space="preserve">Eligibility / adjacency</x:t>
        </x:is>
      </x:c>
      <x:c r="B58" t="inlineStr">
        <x:is>
          <x:t xml:space="preserve">PASS</x:t>
        </x:is>
      </x:c>
      <x:c r="C58" t="inlineStr">
        <x:is>
          <x:t xml:space="preserve">Battle Creek V2025 = 52,021 and Calhoun directly borders represented Kalamazoo County. Utica V2025 = 62,978; Oneida uses nearest-ring fallback through Madison County from represented Onondaga County.</x:t>
        </x:is>
      </x:c>
      <x:c r="D58" t="inlineStr">
        <x:is>
          <x:t xml:space="preserve">Fallback documented; near-threshold nonqualifiers were checked.</x:t>
        </x:is>
      </x:c>
    </x:row>
    <x:row r="59">
      <x:c r="A59" t="inlineStr">
        <x:is>
          <x:t xml:space="preserve">Store-count treatment</x:t>
        </x:is>
      </x:c>
      <x:c r="B59" t="inlineStr">
        <x:is>
          <x:t xml:space="preserve">PASS</x:t>
        </x:is>
      </x:c>
      <x:c r="C59" t="inlineStr">
        <x:is>
          <x:t xml:space="preserve">Both new city rows are explicitly Presence-floor proxy only; Horrocks and Oneida County Public Market are selection evidence but are not misattributed into tracked-chain columns.</x:t>
        </x:is>
      </x:c>
      <x:c r="D59" t="inlineStr">
        <x:is>
          <x:t xml:space="preserve">Exact tracked-chain municipal counts remain a production GIS/locator verification task.</x:t>
        </x:is>
      </x:c>
    </x:row>
    <x:row r="60">
      <x:c r="A60" t="inlineStr">
        <x:is>
          <x:t xml:space="preserve">County aggregation refresh</x:t>
        </x:is>
      </x:c>
      <x:c r="B60" t="inlineStr">
        <x:is>
          <x:t xml:space="preserve">PASS</x:t>
        </x:is>
      </x:c>
      <x:c r="C60" t="inlineStr">
        <x:is>
          <x:t xml:space="preserve">244 represented counties/county equivalents were rebuilt and re-ranked from the 467-city universe; both new counties have verified Census land-area denominators.</x:t>
        </x:is>
      </x:c>
      <x:c r="D60" t="inlineStr">
        <x:is>
          <x:t xml:space="preserve">County totals remain screening aggregates and do not deduplicate overlapping 5-mile catchments.</x:t>
        </x:is>
      </x:c>
    </x:row>
    <x:row r="61">
      <x:c r="A61" t="inlineStr">
        <x:is>
          <x:t xml:space="preserve">Formula / error / duplicate scan</x:t>
        </x:is>
      </x:c>
      <x:c r="B61" t="inlineStr">
        <x:is>
          <x:t xml:space="preserve">PASS</x:t>
        </x:is>
      </x:c>
      <x:c r="C61" t="inlineStr">
        <x:is>
          <x:t xml:space="preserve">City + State and County + State duplicate checks passed; component totals reconcile; no active spreadsheet error tokens were found in the final scan.</x:t>
        </x:is>
      </x:c>
      <x:c r="D61" t="inlineStr">
        <x:is>
          <x:t xml:space="preserve">Exact all-chain 5-mile GIS count remains outside this screening workbook.</x:t>
        </x:is>
      </x:c>
    </x:row>
    <x:row r="62"/>
    <x:row r="63">
      <x:c r="A63" t="inlineStr">
        <x:is>
          <x:t xml:space="preserve">596-municipality broadened-rule expansion</x:t>
        </x:is>
      </x:c>
      <x:c r="B63" t="inlineStr">
        <x:is>
          <x:t xml:space="preserve">PASS</x:t>
        </x:is>
      </x:c>
      <x:c r="C63" t="inlineStr">
        <x:is>
          <x:t xml:space="preserve">Added 129 qualifying &gt;=10,000 general-purpose city-equivalent municipalities across exactly five new counties: Bergen NJ, Montgomery PA, Bucks PA, Monmouth NJ, and Morris NJ.</x:t>
        </x:is>
      </x:c>
      <x:c r="D63" t="inlineStr">
        <x:is>
          <x:t xml:space="preserve">All five counties exceed 500,000 population and are direct Census-adjacency additions; no extra loosening was required.</x:t>
        </x:is>
      </x:c>
    </x:row>
    <x:row r="64">
      <x:c r="A64" t="inlineStr">
        <x:is>
          <x:t xml:space="preserve">Municipality / county duplicate check</x:t>
        </x:is>
      </x:c>
      <x:c r="B64" t="inlineStr">
        <x:is>
          <x:t xml:space="preserve">PASS</x:t>
        </x:is>
      </x:c>
      <x:c r="C64" t="inlineStr">
        <x:is>
          <x:t xml:space="preserve">596 unique City+State rows and 249 unique County+State rows after expansion.</x:t>
        </x:is>
      </x:c>
      <x:c r="D64" t="inlineStr">
        <x:is>
          <x:t xml:space="preserve">Formal municipal suffixes are retained for the newly broadened entity types.</x:t>
        </x:is>
      </x:c>
    </x:row>
    <x:row r="65">
      <x:c r="A65" t="inlineStr">
        <x:is>
          <x:t xml:space="preserve">Eligibility / completion check</x:t>
        </x:is>
      </x:c>
      <x:c r="B65" t="inlineStr">
        <x:is>
          <x:t xml:space="preserve">PASS</x:t>
        </x:is>
      </x:c>
      <x:c r="C65" t="inlineStr">
        <x:is>
          <x:t xml:space="preserve">Selected counties contain 129 newly added qualifying municipalities under the Census Vintage 2025 &gt;=10,000 general-purpose municipality rule.</x:t>
        </x:is>
      </x:c>
      <x:c r="D65" t="inlineStr">
        <x:is>
          <x:t xml:space="preserve">CDPs/statistical places remain excluded; municipalities below 10,000 remain excluded.</x:t>
        </x:is>
      </x:c>
    </x:row>
    <x:row r="66">
      <x:c r="A66" t="inlineStr">
        <x:is>
          <x:t xml:space="preserve">Land-area / denominator check</x:t>
        </x:is>
      </x:c>
      <x:c r="B66" t="inlineStr">
        <x:is>
          <x:t xml:space="preserve">PASS</x:t>
        </x:is>
      </x:c>
      <x:c r="C66" t="inlineStr">
        <x:is>
          <x:t xml:space="preserve">All 129 new municipality rows and all five new county rows have Census 2025 Gazetteer land-area denominators.</x:t>
        </x:is>
      </x:c>
      <x:c r="D66" t="inlineStr">
        <x:is>
          <x:t xml:space="preserve">New county densities therefore have nonblank positive denominators.</x:t>
        </x:is>
      </x:c>
    </x:row>
    <x:row r="67">
      <x:c r="A67" t="inlineStr">
        <x:is>
          <x:t xml:space="preserve">Store-count treatment</x:t>
        </x:is>
      </x:c>
      <x:c r="B67" t="inlineStr">
        <x:is>
          <x:t xml:space="preserve">PASS</x:t>
        </x:is>
      </x:c>
      <x:c r="C67" t="inlineStr">
        <x:is>
          <x:t xml:space="preserve">8 new municipal rows use official-retailer verified lower-bound counts; 121 use the labeled Presence Floor = 1 screening proxy.</x:t>
        </x:is>
      </x:c>
      <x:c r="D67" t="inlineStr">
        <x:is>
          <x:t xml:space="preserve">County-level evidence is not silently converted into municipal chain counts; Hanover and King of Prussia boundary cases are documented.</x:t>
        </x:is>
      </x:c>
    </x:row>
    <x:row r="68">
      <x:c r="A68" t="inlineStr">
        <x:is>
          <x:t xml:space="preserve">Ranking / formula / error refresh</x:t>
        </x:is>
      </x:c>
      <x:c r="B68" t="inlineStr">
        <x:is>
          <x:t xml:space="preserve">PASS</x:t>
        </x:is>
      </x:c>
      <x:c r="C68" t="inlineStr">
        <x:is>
          <x:t xml:space="preserve">All 596 municipality ranks and all 249 county ranks were rebuilt; component totals reconcile to Proxy / Lower-Bound Stores. Workbook scan found no active spreadsheet error formulas.</x:t>
        </x:is>
      </x:c>
      <x:c r="D68" t="inlineStr">
        <x:is>
          <x:t xml:space="preserve">Textual QA history contains literal error-token names as documentation only; no #REF!, #DIV/0!, #VALUE!, #NAME?, or #N/A formula result was found.</x:t>
        </x:is>
      </x:c>
    </x:row>
    <x:row r="69"/>
    <x:row r="70" s="44" customFormat="1">
      <x:c r="A70" t="inlineStr">
        <x:is>
          <x:t xml:space="preserve">641-municipality next-five expansion</x:t>
        </x:is>
      </x:c>
      <x:c r="B70" t="inlineStr">
        <x:is>
          <x:t xml:space="preserve">PASS</x:t>
        </x:is>
      </x:c>
      <x:c r="C70" t="inlineStr">
        <x:is>
          <x:t xml:space="preserve">Added exactly five new counties: Delaware PA, Chester PA, Nassau NY, Anne Arundel MD, and Suffolk NY. Added 45 net-new municipality rows.</x:t>
        </x:is>
      </x:c>
      <x:c r="D70" t="inlineStr">
        <x:is>
          <x:t xml:space="preserve">Four direct-adjacency counties plus one documented one-ring fallback; no population-rule loosening required.</x:t>
        </x:is>
      </x:c>
    </x:row>
    <x:row r="71" s="44" customFormat="1">
      <x:c r="A71" t="inlineStr">
        <x:is>
          <x:t xml:space="preserve">County population / eligibility</x:t>
        </x:is>
      </x:c>
      <x:c r="B71" t="inlineStr">
        <x:is>
          <x:t xml:space="preserve">PASS</x:t>
        </x:is>
      </x:c>
      <x:c r="C71" t="inlineStr">
        <x:is>
          <x:t xml:space="preserve">All five selected counties exceed 500,000 in Census Vintage 2025. Baltimore County MD was screened out despite 847,650 population because it has no incorporated municipal population.</x:t>
        </x:is>
      </x:c>
      <x:c r="D71" t="inlineStr">
        <x:is>
          <x:t xml:space="preserve">Anne Arundel contributes Annapolis only; Highland Beach is below 10,000.</x:t>
        </x:is>
      </x:c>
    </x:row>
    <x:row r="72" s="44" customFormat="1">
      <x:c r="A72" t="inlineStr">
        <x:is>
          <x:t xml:space="preserve">Municipality completion / overlap</x:t>
        </x:is>
      </x:c>
      <x:c r="B72" t="inlineStr">
        <x:is>
          <x:t xml:space="preserve">PASS</x:t>
        </x:is>
      </x:c>
      <x:c r="C72" t="inlineStr">
        <x:is>
          <x:t xml:space="preserve">Chester 17, Delaware 13 net-new, Suffolk 9, Nassau 5, Anne Arundel 1. NY nested villages are excluded to maintain a non-overlapping cities+towns layer.</x:t>
        </x:is>
      </x:c>
      <x:c r="D72" t="inlineStr">
        <x:is>
          <x:t xml:space="preserve">Four Delaware PA qualifying township names were suppressed by the required City+State duplicate key and preserved under their existing canonical PA rows.</x:t>
        </x:is>
      </x:c>
    </x:row>
    <x:row r="73" s="44" customFormat="1">
      <x:c r="A73" t="inlineStr">
        <x:is>
          <x:t xml:space="preserve">Duplicate / area check</x:t>
        </x:is>
      </x:c>
      <x:c r="B73" t="inlineStr">
        <x:is>
          <x:t xml:space="preserve">PASS</x:t>
        </x:is>
      </x:c>
      <x:c r="C73" t="inlineStr">
        <x:is>
          <x:t xml:space="preserve">641 unique City+State rows and 254 unique County+State rows. Every new row and new county has a positive land-area denominator.</x:t>
        </x:is>
      </x:c>
      <x:c r="D73" t="inlineStr">
        <x:is>
          <x:t xml:space="preserve">No duplicate keys introduced.</x:t>
        </x:is>
      </x:c>
    </x:row>
    <x:row r="74" s="44" customFormat="1">
      <x:c r="A74" t="inlineStr">
        <x:is>
          <x:t xml:space="preserve">Store-count treatment</x:t>
        </x:is>
      </x:c>
      <x:c r="B74" t="inlineStr">
        <x:is>
          <x:t xml:space="preserve">PASS</x:t>
        </x:is>
      </x:c>
      <x:c r="C74" t="inlineStr">
        <x:is>
          <x:t xml:space="preserve">All 45 new rows are explicit Presence Floor = 1 proxies. First-party retailer pages provide county-selection evidence only where municipal boundary membership was not directly verified.</x:t>
        </x:is>
      </x:c>
      <x:c r="D74" t="inlineStr">
        <x:is>
          <x:t xml:space="preserve">No suburban/postal store was misattributed to a municipality.</x:t>
        </x:is>
      </x:c>
    </x:row>
    <x:row r="75" s="44" customFormat="1">
      <x:c r="A75" t="inlineStr">
        <x:is>
          <x:t xml:space="preserve">Ranking / formula / error refresh</x:t>
        </x:is>
      </x:c>
      <x:c r="B75" t="inlineStr">
        <x:is>
          <x:t xml:space="preserve">PASS</x:t>
        </x:is>
      </x:c>
      <x:c r="C75" t="inlineStr">
        <x:is>
          <x:t xml:space="preserve">All 641 municipal ranks and 254 county ranks were rebuilt from the full tables; component totals reconcile to Proxy / Lower-Bound Stores.</x:t>
        </x:is>
      </x:c>
      <x:c r="D75" t="inlineStr">
        <x:is>
          <x:t xml:space="preserve">Final active-error scan performed before export; textual QA history may contain literal error-token names.</x:t>
        </x:is>
      </x:c>
    </x:row>
    <x:row r="76"/>
    <x:row r="77" s="44" customFormat="1">
      <x:c r="A77" s="1" t="inlineStr">
        <x:is>
          <x:t xml:space="preserve">Next-five ≥300k county fallback</x:t>
        </x:is>
      </x:c>
      <x:c r="B77" s="1" t="inlineStr">
        <x:is>
          <x:t xml:space="preserve">PASS</x:t>
        </x:is>
      </x:c>
      <x:c r="C77" s="1" t="inlineStr">
        <x:is>
          <x:t xml:space="preserve">Added exactly five new counties and 63 net-new qualifying municipality rows: Burlington NJ, Orange NY, York PA, Somerset NJ, Gloucester NJ.</x:t>
        </x:is>
      </x:c>
      <x:c r="D77" s="1" t="inlineStr">
        <x:is>
          <x:t xml:space="preserve">County floor relaxed from ≥500k to ≥300k only because the ≥500k addition pool was exhausted; all other core rules retained.</x:t>
        </x:is>
      </x:c>
    </x:row>
    <x:row r="78" s="44" customFormat="1">
      <x:c r="A78" s="1" t="inlineStr">
        <x:is>
          <x:t xml:space="preserve">Adjacency / county selection</x:t>
        </x:is>
      </x:c>
      <x:c r="B78" s="1" t="inlineStr">
        <x:is>
          <x:t xml:space="preserve">PASS</x:t>
        </x:is>
      </x:c>
      <x:c r="C78" s="1" t="inlineStr">
        <x:is>
          <x:t xml:space="preserve">All five selected counties directly border the represented Census county network.</x:t>
        </x:is>
      </x:c>
      <x:c r="D78" s="1" t="inlineStr">
        <x:is>
          <x:t xml:space="preserve">No one-ring adjacency fallback was required.</x:t>
        </x:is>
      </x:c>
    </x:row>
    <x:row r="79" s="44" customFormat="1">
      <x:c r="A79" s="1" t="inlineStr">
        <x:is>
          <x:t xml:space="preserve">Municipality completion</x:t>
        </x:is>
      </x:c>
      <x:c r="B79" s="1" t="inlineStr">
        <x:is>
          <x:t xml:space="preserve">PASS</x:t>
        </x:is>
      </x:c>
      <x:c r="C79" s="1" t="inlineStr">
        <x:is>
          <x:t xml:space="preserve">Screened 65 qualifying municipality records and added 63 after City+State de-duplication.</x:t>
        </x:is>
      </x:c>
      <x:c r="D79" s="1" t="inlineStr">
        <x:is>
          <x:t xml:space="preserve">NY uses cities + towns to avoid nested village overlap; documented threshold-edge exclusions were applied.</x:t>
        </x:is>
      </x:c>
    </x:row>
    <x:row r="80" s="44" customFormat="1">
      <x:c r="A80" s="1" t="inlineStr">
        <x:is>
          <x:t xml:space="preserve">Duplicate-key handling</x:t>
        </x:is>
      </x:c>
      <x:c r="B80" s="1" t="inlineStr">
        <x:is>
          <x:t xml:space="preserve">PASS</x:t>
        </x:is>
      </x:c>
      <x:c r="C80" s="1" t="inlineStr">
        <x:is>
          <x:t xml:space="preserve">704 unique City+State rows and 259 unique County+State rows after expansion.</x:t>
        </x:is>
      </x:c>
      <x:c r="D80" s="1" t="inlineStr">
        <x:is>
          <x:t xml:space="preserve">Suppressed collisions: Franklin Township, NJ; Washington Township, NJ.</x:t>
        </x:is>
      </x:c>
    </x:row>
    <x:row r="81" s="44" customFormat="1">
      <x:c r="A81" s="1" t="inlineStr">
        <x:is>
          <x:t xml:space="preserve">Land-area / denominator check</x:t>
        </x:is>
      </x:c>
      <x:c r="B81" s="1" t="inlineStr">
        <x:is>
          <x:t xml:space="preserve">PASS</x:t>
        </x:is>
      </x:c>
      <x:c r="C81" s="1" t="inlineStr">
        <x:is>
          <x:t xml:space="preserve">Every new municipality and each of the five new counties has a positive Census land-area denominator.</x:t>
        </x:is>
      </x:c>
      <x:c r="D81" s="1" t="inlineStr">
        <x:is>
          <x:t xml:space="preserve">County density is nonblank for all five additions.</x:t>
        </x:is>
      </x:c>
    </x:row>
    <x:row r="82" s="44" customFormat="1">
      <x:c r="A82" s="1" t="inlineStr">
        <x:is>
          <x:t xml:space="preserve">Store-count treatment</x:t>
        </x:is>
      </x:c>
      <x:c r="B82" s="1" t="inlineStr">
        <x:is>
          <x:t xml:space="preserve">PASS</x:t>
        </x:is>
      </x:c>
      <x:c r="C82" s="1" t="inlineStr">
        <x:is>
          <x:t xml:space="preserve">All new rows use the explicit one-store screening-floor proxy; official county-level grocery evidence was not converted into municipal chain counts without boundary verification.</x:t>
        </x:is>
      </x:c>
      <x:c r="D82" s="1" t="inlineStr">
        <x:is>
          <x:t xml:space="preserve">No postal/branding precision was fabricated.</x:t>
        </x:is>
      </x:c>
    </x:row>
    <x:row r="83" s="44" customFormat="1">
      <x:c r="A83" s="1" t="inlineStr">
        <x:is>
          <x:t xml:space="preserve">Ranking / formula refresh</x:t>
        </x:is>
      </x:c>
      <x:c r="B83" s="1" t="inlineStr">
        <x:is>
          <x:t xml:space="preserve">PASS</x:t>
        </x:is>
      </x:c>
      <x:c r="C83" s="1" t="inlineStr">
        <x:is>
          <x:t xml:space="preserve">All 704 municipality rows and 259 county rows were rebuilt, sorted, and re-ranked; component totals reconcile.</x:t>
        </x:is>
      </x:c>
      <x:c r="D83" s="1" t="inlineStr">
        <x:is>
          <x:t xml:space="preserve">Formula references were scanned for broken-reference tokens before export.</x:t>
        </x:is>
      </x:c>
    </x:row>
    <x:row r="85">
      <x:c r="A85" t="str">
        <x:v>748-municipality next-five expansion</x:v>
      </x:c>
      <x:c r="B85" t="str">
        <x:v>PASS</x:v>
      </x:c>
      <x:c r="C85" t="str">
        <x:v>Added exactly five new counties and 44 net-new municipality rows: Westmoreland PA, Dutchess NY, Ottawa MI, Rockingham NH, and Luzerne PA.</x:v>
      </x:c>
      <x:c r="D85" t="str">
        <x:v>All five retain the documented ≥300k county floor and are direct Census-adjacency additions.</x:v>
      </x:c>
    </x:row>
    <x:row r="86">
      <x:c r="A86" t="str">
        <x:v>County ranking / eligibility</x:v>
      </x:c>
      <x:c r="B86" t="str">
        <x:v>PASS</x:v>
      </x:c>
      <x:c r="C86" t="str">
        <x:v>Selected counties contribute 45 qualifying ≥10,000 municipality records before de-duplication: 10 Westmoreland, 10 Dutchess, 10 Ottawa, 8 Rockingham, 7 Luzerne.</x:v>
      </x:c>
      <x:c r="D86" t="str">
        <x:v>No additional rule relaxation was required.</x:v>
      </x:c>
    </x:row>
    <x:row r="87">
      <x:c r="A87" t="str">
        <x:v>Duplicate / multi-county handling</x:v>
      </x:c>
      <x:c r="B87" t="str">
        <x:v>PASS</x:v>
      </x:c>
      <x:c r="C87" t="str">
        <x:v>748 unique City+State rows and 264 unique County+State rows after expansion.</x:v>
      </x:c>
      <x:c r="D87" t="str">
        <x:v>Penn Township PA was suppressed as an existing key; Holland City MI is canonically assigned to Ottawa County and documented as multi-county.</x:v>
      </x:c>
    </x:row>
    <x:row r="88">
      <x:c r="A88" t="str">
        <x:v>Land-area / denominator check</x:v>
      </x:c>
      <x:c r="B88" t="str">
        <x:v>PASS</x:v>
      </x:c>
      <x:c r="C88" t="str">
        <x:v>All 44 new municipality rows and all five new counties have positive Census land-area denominators.</x:v>
      </x:c>
      <x:c r="D88" t="str">
        <x:v>No new blank county-density denominator was introduced.</x:v>
      </x:c>
    </x:row>
    <x:row r="89">
      <x:c r="A89" t="str">
        <x:v>Store-count treatment</x:v>
      </x:c>
      <x:c r="B89" t="str">
        <x:v>PASS</x:v>
      </x:c>
      <x:c r="C89" t="str">
        <x:v>Portsmouth City NH has Whole Foods = 1 as a verified lower bound; the other 43 new rows use the explicit one-store screening floor.</x:v>
      </x:c>
      <x:c r="D89" t="str">
        <x:v>Wegmans Wilkes-Barre and local specialty-market evidence remain county-selection evidence only where municipal attribution is uncertain.</x:v>
      </x:c>
    </x:row>
    <x:row r="90">
      <x:c r="A90" t="str">
        <x:v>Ranking / aggregation refresh</x:v>
      </x:c>
      <x:c r="B90" t="str">
        <x:v>PASS</x:v>
      </x:c>
      <x:c r="C90" t="str">
        <x:v>All 748 municipality rows and 264 county rows were rebuilt, sorted, and re-ranked from the complete data universe.</x:v>
      </x:c>
      <x:c r="D90" t="str">
        <x:v>County totals remain screening aggregates rather than exact deduplicated county inventories.</x:v>
      </x:c>
    </x:row>
    <x:row r="91">
      <x:c r="A91" t="str">
        <x:v>Formula / error / reconciliation scan</x:v>
      </x:c>
      <x:c r="B91" t="str">
        <x:v>PASS</x:v>
      </x:c>
      <x:c r="C91" t="str">
        <x:v>City components reconcile to Proxy / Lower-Bound Stores and density denominators are positive; duplicate-key checks passed.</x:v>
      </x:c>
      <x:c r="D91" t="str">
        <x:v>Final active error-token scan performed immediately before export.</x:v>
      </x:c>
    </x:row>
    <x:row r="93">
      <x:c r="A93" t="str">
        <x:v>775-municipality next-five &gt;=50k expansion</x:v>
      </x:c>
      <x:c r="B93" t="str">
        <x:v>PASS</x:v>
      </x:c>
      <x:c r="C93" t="str">
        <x:v>Added five new counties and 27 net-new municipality rows: Cumberland PA, Atlantic NJ, Rockland NY, Washington PA, Harford MD.</x:v>
      </x:c>
      <x:c r="D93" t="str">
        <x:v>County floor is &gt;=50,000; municipal threshold remains &gt;=10,000.</x:v>
      </x:c>
    </x:row>
    <x:row r="94">
      <x:c r="A94" t="str">
        <x:v>County selection / adjacency</x:v>
      </x:c>
      <x:c r="B94" t="str">
        <x:v>PASS</x:v>
      </x:c>
      <x:c r="C94" t="str">
        <x:v>All five counties exceed 50,000 population and are direct Census-adjacency additions.</x:v>
      </x:c>
      <x:c r="D94" t="str">
        <x:v>No further fallback or relaxation required.</x:v>
      </x:c>
    </x:row>
    <x:row r="95">
      <x:c r="A95" t="str">
        <x:v>Municipality completion</x:v>
      </x:c>
      <x:c r="B95" t="str">
        <x:v>PASS</x:v>
      </x:c>
      <x:c r="C95" t="str">
        <x:v>27 qualifying records represented: 8 Cumberland, 7 Atlantic, 5 Rockland, 4 Washington, 3 Harford.</x:v>
      </x:c>
      <x:c r="D95" t="str">
        <x:v>Rockland nested villages excluded under the established non-overlap convention.</x:v>
      </x:c>
    </x:row>
    <x:row r="96">
      <x:c r="A96" t="str">
        <x:v>Duplicate / area check</x:v>
      </x:c>
      <x:c r="B96" t="str">
        <x:v>PASS</x:v>
      </x:c>
      <x:c r="C96" t="str">
        <x:v>775 unique City+State rows and 269 unique County+State rows; all new land-area denominators are positive.</x:v>
      </x:c>
      <x:c r="D96" t="str">
        <x:v>No duplicate City+State keys were introduced.</x:v>
      </x:c>
    </x:row>
    <x:row r="97">
      <x:c r="A97" t="str">
        <x:v>Store-count treatment</x:v>
      </x:c>
      <x:c r="B97" t="str">
        <x:v>PASS</x:v>
      </x:c>
      <x:c r="C97" t="str">
        <x:v>All 27 new rows are explicit Presence Floor = 1 proxies; county-level grocery evidence is documented separately.</x:v>
      </x:c>
      <x:c r="D97" t="str">
        <x:v>No postal/store-branding location was misattributed to a municipality.</x:v>
      </x:c>
    </x:row>
    <x:row r="98">
      <x:c r="A98" t="str">
        <x:v>Ranking / aggregation refresh</x:v>
      </x:c>
      <x:c r="B98" t="str">
        <x:v>PASS</x:v>
      </x:c>
      <x:c r="C98" t="str">
        <x:v>All 775 municipality rows and 269 county rows were rebuilt, sorted, and re-ranked.</x:v>
      </x:c>
      <x:c r="D98" t="str">
        <x:v>County totals remain screening aggregates.</x:v>
      </x:c>
    </x:row>
    <x:row r="99">
      <x:c r="A99" t="str">
        <x:v>Formula / error / reconciliation scan</x:v>
      </x:c>
      <x:c r="B99" t="str">
        <x:v>PASS</x:v>
      </x:c>
      <x:c r="C99" t="str">
        <x:v>Component totals reconcile to Proxy / Lower-Bound Stores and density denominators are positive.</x:v>
      </x:c>
      <x:c r="D99" t="str">
        <x:v>Final error-token scan follows before handoff.</x:v>
      </x:c>
    </x:row>
    <x:row r="101">
      <x:c r="A101" t="str">
        <x:v>804-municipality next-five expansion</x:v>
      </x:c>
      <x:c r="B101" t="str">
        <x:v>PASS</x:v>
      </x:c>
      <x:c r="C101" t="str">
        <x:v>Added exactly five new counties and 29 net-new municipality rows: Saratoga NY, York ME, Ontario NY, Putnam NY, and Strafford NH.</x:v>
      </x:c>
      <x:c r="D101" t="str">
        <x:v>County floor remains &gt;=50,000; municipal threshold remains &gt;=10,000.</x:v>
      </x:c>
    </x:row>
    <x:row r="102">
      <x:c r="A102" t="str">
        <x:v>County selection / adjacency</x:v>
      </x:c>
      <x:c r="B102" t="str">
        <x:v>PASS</x:v>
      </x:c>
      <x:c r="C102" t="str">
        <x:v>All five counties exceed 50,000 population and directly border represented counties.</x:v>
      </x:c>
      <x:c r="D102" t="str">
        <x:v>No adjacency-ring fallback or further rule relaxation required.</x:v>
      </x:c>
    </x:row>
    <x:row r="103">
      <x:c r="A103" t="str">
        <x:v>Municipality completion</x:v>
      </x:c>
      <x:c r="B103" t="str">
        <x:v>PASS</x:v>
      </x:c>
      <x:c r="C103" t="str">
        <x:v>29 qualifying municipality rows added: 8 Saratoga, 7 York ME, 5 Ontario, 5 Putnam, 4 Strafford.</x:v>
      </x:c>
      <x:c r="D103" t="str">
        <x:v>New York nested villages remain excluded under the non-overlapping cities + towns convention.</x:v>
      </x:c>
    </x:row>
    <x:row r="104">
      <x:c r="A104" t="str">
        <x:v>Duplicate / area check</x:v>
      </x:c>
      <x:c r="B104" t="str">
        <x:v>PASS</x:v>
      </x:c>
      <x:c r="C104" t="str">
        <x:v>804 unique City+State rows and 274 unique County+State rows; all new municipal and county land areas are positive.</x:v>
      </x:c>
      <x:c r="D104" t="str">
        <x:v>No duplicate City+State keys were introduced.</x:v>
      </x:c>
    </x:row>
    <x:row r="105">
      <x:c r="A105" t="str">
        <x:v>Store-count treatment</x:v>
      </x:c>
      <x:c r="B105" t="str">
        <x:v>PASS</x:v>
      </x:c>
      <x:c r="C105" t="str">
        <x:v>Canandaigua city and Geneva city each carry Wegmans = 1 as verified lower bounds; the other 27 new rows use Presence Floor = 1.</x:v>
      </x:c>
      <x:c r="D105" t="str">
        <x:v>Non-tracked specialty-market evidence remains selection evidence only.</x:v>
      </x:c>
    </x:row>
    <x:row r="106">
      <x:c r="A106" t="str">
        <x:v>Ranking / aggregation refresh</x:v>
      </x:c>
      <x:c r="B106" t="str">
        <x:v>PASS</x:v>
      </x:c>
      <x:c r="C106" t="str">
        <x:v>All 804 municipality rows and 274 county rows were rebuilt, sorted, and re-ranked from the complete dataset.</x:v>
      </x:c>
      <x:c r="D106" t="str">
        <x:v>County totals remain screening aggregates rather than exact deduplicated inventories.</x:v>
      </x:c>
    </x:row>
    <x:row r="107">
      <x:c r="A107" t="str">
        <x:v>Formula / error / reconciliation scan</x:v>
      </x:c>
      <x:c r="B107" t="str">
        <x:v>PASS</x:v>
      </x:c>
      <x:c r="C107" t="str">
        <x:v>Component totals reconcile to Proxy / Lower-Bound Stores; duplicate-key checks passed and density denominators are positive.</x:v>
      </x:c>
      <x:c r="D107" t="str">
        <x:v>Final active spreadsheet error-token scan performed before export.</x:v>
      </x:c>
    </x:row>
    <x:row r="109">
      <x:c r="A109" t="str">
        <x:v>831-municipality next-five expansion</x:v>
      </x:c>
      <x:c r="B109" t="str">
        <x:v>PASS</x:v>
      </x:c>
      <x:c r="C109" t="str">
        <x:v>Added exactly five new counties and 27 net-new municipality rows: Ulster NY, Niagara NY, Franklin PA, Butler PA, and Kent DE.</x:v>
      </x:c>
      <x:c r="D109" t="str">
        <x:v>County floor remains &gt;=50,000; municipal threshold remains &gt;=10,000.</x:v>
      </x:c>
    </x:row>
    <x:row r="110">
      <x:c r="A110" t="str">
        <x:v>County selection / adjacency</x:v>
      </x:c>
      <x:c r="B110" t="str">
        <x:v>PASS</x:v>
      </x:c>
      <x:c r="C110" t="str">
        <x:v>All five counties exceed 50,000 population and directly border represented counties.</x:v>
      </x:c>
      <x:c r="D110" t="str">
        <x:v>No adjacency-ring fallback or further rule relaxation required.</x:v>
      </x:c>
    </x:row>
    <x:row r="111">
      <x:c r="A111" t="str">
        <x:v>Municipality completion</x:v>
      </x:c>
      <x:c r="B111" t="str">
        <x:v>PASS</x:v>
      </x:c>
      <x:c r="C111" t="str">
        <x:v>27 qualifying rows added: 8 Ulster, 6 Niagara, 6 Franklin, 4 Butler, 3 Kent.</x:v>
      </x:c>
      <x:c r="D111" t="str">
        <x:v>New York nested villages remain excluded under the non-overlapping cities + towns convention.</x:v>
      </x:c>
    </x:row>
    <x:row r="112">
      <x:c r="A112" t="str">
        <x:v>Duplicate / area check</x:v>
      </x:c>
      <x:c r="B112" t="str">
        <x:v>PASS</x:v>
      </x:c>
      <x:c r="C112" t="str">
        <x:v>831 unique City+State rows and 279 unique County+State rows; all new municipal and county land areas are positive.</x:v>
      </x:c>
      <x:c r="D112" t="str">
        <x:v>No duplicate City+State keys were introduced.</x:v>
      </x:c>
    </x:row>
    <x:row r="113">
      <x:c r="A113" t="str">
        <x:v>Store-count treatment</x:v>
      </x:c>
      <x:c r="B113" t="str">
        <x:v>PASS</x:v>
      </x:c>
      <x:c r="C113" t="str">
        <x:v>Cranberry township PA carries Fresh Thyme = 1 as a verified lower bound; the other 26 new rows use Presence Floor = 1.</x:v>
      </x:c>
      <x:c r="D113" t="str">
        <x:v>County-level / specialty-market evidence remains separate from municipal tracked-chain counts.</x:v>
      </x:c>
    </x:row>
    <x:row r="114">
      <x:c r="A114" t="str">
        <x:v>Ranking / aggregation refresh</x:v>
      </x:c>
      <x:c r="B114" t="str">
        <x:v>PASS</x:v>
      </x:c>
      <x:c r="C114" t="str">
        <x:v>All 831 municipality rows and 279 county rows were rebuilt, sorted, and re-ranked from the complete dataset.</x:v>
      </x:c>
      <x:c r="D114" t="str">
        <x:v>County totals remain screening aggregates rather than exact deduplicated inventories.</x:v>
      </x:c>
    </x:row>
    <x:row r="115">
      <x:c r="A115" t="str">
        <x:v>Formula / error / reconciliation scan</x:v>
      </x:c>
      <x:c r="B115" t="str">
        <x:v>PASS</x:v>
      </x:c>
      <x:c r="C115" t="str">
        <x:v>Component totals reconcile to Proxy / Lower-Bound Stores; duplicate-key checks passed and density denominators are positive.</x:v>
      </x:c>
      <x:c r="D115" t="str">
        <x:v>Final active spreadsheet error-token scan performed before export.</x:v>
      </x:c>
    </x:row>
    <x:row r="117">
      <x:c r="A117" t="str">
        <x:v>871-municipality next-five expansion</x:v>
      </x:c>
      <x:c r="B117" t="str">
        <x:v>PASS</x:v>
      </x:c>
      <x:c r="C117" t="str">
        <x:v>Added exactly five new counties and 40 net-new municipality rows: Warren OH, Barnstable MA, Lake OH, Delaware OH, and Clermont OH.</x:v>
      </x:c>
      <x:c r="D117" t="str">
        <x:v>County floor remains &gt;=50,000; municipal threshold remains &gt;=10,000.</x:v>
      </x:c>
    </x:row>
    <x:row r="118">
      <x:c r="A118" t="str">
        <x:v>County selection / adjacency</x:v>
      </x:c>
      <x:c r="B118" t="str">
        <x:v>PASS</x:v>
      </x:c>
      <x:c r="C118" t="str">
        <x:v>All five counties exceed 50,000 population and directly border represented counties.</x:v>
      </x:c>
      <x:c r="D118" t="str">
        <x:v>No adjacency-ring fallback or further rule relaxation required.</x:v>
      </x:c>
    </x:row>
    <x:row r="119">
      <x:c r="A119" t="str">
        <x:v>Municipality completion</x:v>
      </x:c>
      <x:c r="B119" t="str">
        <x:v>PASS</x:v>
      </x:c>
      <x:c r="C119" t="str">
        <x:v>41 qualifying records screened: 9 Warren, 9 Barnstable, 9 Lake, 8 Delaware, 6 Clermont; 40 net rows after one City+State collision.</x:v>
      </x:c>
      <x:c r="D119" t="str">
        <x:v>Delaware County Concord Township was suppressed because Lake County Concord Township OH retained the canonical key.</x:v>
      </x:c>
    </x:row>
    <x:row r="120">
      <x:c r="A120" t="str">
        <x:v>Duplicate / multi-county / area check</x:v>
      </x:c>
      <x:c r="B120" t="str">
        <x:v>PASS</x:v>
      </x:c>
      <x:c r="C120" t="str">
        <x:v>871 unique City+State rows and 284 unique County+State rows; all new municipal and county land areas are positive.</x:v>
      </x:c>
      <x:c r="D120" t="str">
        <x:v>Springboro, Dublin, Westerville, and Loveland multi-county assignments are documented.</x:v>
      </x:c>
    </x:row>
    <x:row r="121">
      <x:c r="A121" t="str">
        <x:v>Store-count treatment</x:v>
      </x:c>
      <x:c r="B121" t="str">
        <x:v>PASS</x:v>
      </x:c>
      <x:c r="C121" t="str">
        <x:v>Mason City OH carries Whole Foods = 1 as a verified lower bound; the other 39 new rows use Presence Floor = 1.</x:v>
      </x:c>
      <x:c r="D121" t="str">
        <x:v>County-level and non-tracked specialty-grocery evidence remains separate from municipal tracked-chain counts.</x:v>
      </x:c>
    </x:row>
    <x:row r="122">
      <x:c r="A122" t="str">
        <x:v>Ranking / aggregation refresh</x:v>
      </x:c>
      <x:c r="B122" t="str">
        <x:v>PASS</x:v>
      </x:c>
      <x:c r="C122" t="str">
        <x:v>All 871 municipality rows and 284 county rows were rebuilt, sorted, and re-ranked from the complete dataset.</x:v>
      </x:c>
      <x:c r="D122" t="str">
        <x:v>County totals remain screening aggregates rather than exact deduplicated inventories.</x:v>
      </x:c>
    </x:row>
    <x:row r="123">
      <x:c r="A123" t="str">
        <x:v>Formula / error / reconciliation scan</x:v>
      </x:c>
      <x:c r="B123" t="str">
        <x:v>PASS</x:v>
      </x:c>
      <x:c r="C123" t="str">
        <x:v>Component totals reconcile to Proxy / Lower-Bound Stores; duplicate-key checks passed and density denominators are positive.</x:v>
      </x:c>
      <x:c r="D123" t="str">
        <x:v>Final active spreadsheet error-token scan performed before export.</x:v>
      </x:c>
    </x:row>
    <x:row r="125">
      <x:c r="A125" t="str">
        <x:v>900-municipality next-five expansion</x:v>
      </x:c>
      <x:c r="B125" t="str">
        <x:v>PASS</x:v>
      </x:c>
      <x:c r="C125" t="str">
        <x:v>Added exactly five new counties and 29 net-new municipality rows: Livingston MI, Hampshire MA, Muskegon MI, Portage OH, and Medina OH.</x:v>
      </x:c>
      <x:c r="D125" t="str">
        <x:v>County floor remains &gt;=50,000; municipal threshold remains &gt;=10,000.</x:v>
      </x:c>
    </x:row>
    <x:row r="126">
      <x:c r="A126" t="str">
        <x:v>County selection / adjacency</x:v>
      </x:c>
      <x:c r="B126" t="str">
        <x:v>PASS</x:v>
      </x:c>
      <x:c r="C126" t="str">
        <x:v>All five counties exceed 50,000 population and directly border represented counties.</x:v>
      </x:c>
      <x:c r="D126" t="str">
        <x:v>No adjacency-ring fallback or further rule relaxation required.</x:v>
      </x:c>
    </x:row>
    <x:row r="127">
      <x:c r="A127" t="str">
        <x:v>Municipality completion</x:v>
      </x:c>
      <x:c r="B127" t="str">
        <x:v>PASS</x:v>
      </x:c>
      <x:c r="C127" t="str">
        <x:v>29 qualifying rows added: 8 Livingston, 6 Hampshire, 5 Muskegon, 5 Portage, 5 Medina.</x:v>
      </x:c>
      <x:c r="D127" t="str">
        <x:v>Documented edge exclusions include Howell City MI and Dalton Township MI; Ware Town MA remains just above threshold.</x:v>
      </x:c>
    </x:row>
    <x:row r="128">
      <x:c r="A128" t="str">
        <x:v>Duplicate / area check</x:v>
      </x:c>
      <x:c r="B128" t="str">
        <x:v>PASS</x:v>
      </x:c>
      <x:c r="C128" t="str">
        <x:v>900 unique City+State rows and 289 unique County+State rows; all new municipal and county land areas are positive.</x:v>
      </x:c>
      <x:c r="D128" t="str">
        <x:v>No duplicate City+State keys were introduced.</x:v>
      </x:c>
    </x:row>
    <x:row r="129">
      <x:c r="A129" t="str">
        <x:v>Store-count treatment</x:v>
      </x:c>
      <x:c r="B129" t="str">
        <x:v>PASS</x:v>
      </x:c>
      <x:c r="C129" t="str">
        <x:v>All 29 new rows use Presence Floor = 1; county-level tracked-chain and specialty-market evidence is documented separately.</x:v>
      </x:c>
      <x:c r="D129" t="str">
        <x:v>No postal/store-branding evidence was misattributed to a qualifying municipality.</x:v>
      </x:c>
    </x:row>
    <x:row r="130">
      <x:c r="A130" t="str">
        <x:v>Ranking / aggregation refresh</x:v>
      </x:c>
      <x:c r="B130" t="str">
        <x:v>PASS</x:v>
      </x:c>
      <x:c r="C130" t="str">
        <x:v>All 900 municipality rows and 289 county rows were rebuilt, sorted, and re-ranked from the complete dataset.</x:v>
      </x:c>
      <x:c r="D130" t="str">
        <x:v>County totals remain screening aggregates rather than exact deduplicated inventories.</x:v>
      </x:c>
    </x:row>
    <x:row r="131">
      <x:c r="A131" t="str">
        <x:v>Formula / error / reconciliation scan</x:v>
      </x:c>
      <x:c r="B131" t="str">
        <x:v>PASS</x:v>
      </x:c>
      <x:c r="C131" t="str">
        <x:v>Component totals reconcile to Proxy / Lower-Bound Stores; duplicate-key checks passed and density denominators are positive.</x:v>
      </x:c>
      <x:c r="D131" t="str">
        <x:v>Final active spreadsheet error-token scan performed before export.</x:v>
      </x:c>
    </x:row>
    <x:row r="133">
      <x:c r="A133" t="str">
        <x:v>921-municipality next-five expansion</x:v>
      </x:c>
      <x:c r="B133" t="str">
        <x:v>PASS</x:v>
      </x:c>
      <x:c r="C133" t="str">
        <x:v>Added exactly five new counties and 21 net-new municipality rows: Greene OH, Saginaw MI, Jackson MI, Monroe MI, and Wood OH.</x:v>
      </x:c>
      <x:c r="D133" t="str">
        <x:v>County floor remains &gt;=50,000; municipal threshold remains &gt;=10,000.</x:v>
      </x:c>
    </x:row>
    <x:row r="134">
      <x:c r="A134" t="str">
        <x:v>County selection / adjacency</x:v>
      </x:c>
      <x:c r="B134" t="str">
        <x:v>PASS</x:v>
      </x:c>
      <x:c r="C134" t="str">
        <x:v>All five counties exceed 50,000 population and directly border represented counties.</x:v>
      </x:c>
      <x:c r="D134" t="str">
        <x:v>No adjacency-ring fallback or further rule relaxation required.</x:v>
      </x:c>
    </x:row>
    <x:row r="135">
      <x:c r="A135" t="str">
        <x:v>Municipality completion</x:v>
      </x:c>
      <x:c r="B135" t="str">
        <x:v>PASS</x:v>
      </x:c>
      <x:c r="C135" t="str">
        <x:v>21 qualifying rows added: 5 Greene, 4 Saginaw, 4 Jackson, 4 Monroe, 4 Wood.</x:v>
      </x:c>
      <x:c r="D135" t="str">
        <x:v>Bridgeport Charter Township MI remains below 10,000 and is excluded; Wood township threshold support is documented.</x:v>
      </x:c>
    </x:row>
    <x:row r="136">
      <x:c r="A136" t="str">
        <x:v>Duplicate / area check</x:v>
      </x:c>
      <x:c r="B136" t="str">
        <x:v>PASS</x:v>
      </x:c>
      <x:c r="C136" t="str">
        <x:v>921 unique City+State rows and 294 unique County+State rows; all new municipal and county land areas are positive.</x:v>
      </x:c>
      <x:c r="D136" t="str">
        <x:v>No duplicate City+State keys were introduced.</x:v>
      </x:c>
    </x:row>
    <x:row r="137">
      <x:c r="A137" t="str">
        <x:v>Store-count treatment</x:v>
      </x:c>
      <x:c r="B137" t="str">
        <x:v>PASS</x:v>
      </x:c>
      <x:c r="C137" t="str">
        <x:v>Beavercreek City OH carries Fresh Thyme = 1 as a verified lower bound; the other 20 new rows use Presence Floor = 1.</x:v>
      </x:c>
      <x:c r="D137" t="str">
        <x:v>County-level and non-tracked specialty-market evidence remains separate from municipal tracked-chain counts.</x:v>
      </x:c>
    </x:row>
    <x:row r="138">
      <x:c r="A138" t="str">
        <x:v>Ranking / aggregation refresh</x:v>
      </x:c>
      <x:c r="B138" t="str">
        <x:v>PASS</x:v>
      </x:c>
      <x:c r="C138" t="str">
        <x:v>All 921 municipality rows and 294 county rows were rebuilt, sorted, and re-ranked from the complete dataset.</x:v>
      </x:c>
      <x:c r="D138" t="str">
        <x:v>County totals remain screening aggregates rather than exact deduplicated inventories.</x:v>
      </x:c>
    </x:row>
    <x:row r="139">
      <x:c r="A139" t="str">
        <x:v>Formula / error / reconciliation scan</x:v>
      </x:c>
      <x:c r="B139" t="str">
        <x:v>PASS</x:v>
      </x:c>
      <x:c r="C139" t="str">
        <x:v>Component totals reconcile to Proxy / Lower-Bound Stores; duplicate-key checks passed and density denominators are positive.</x:v>
      </x:c>
      <x:c r="D139" t="str">
        <x:v>Final active spreadsheet error-token scan performed before export.</x:v>
      </x:c>
    </x:row>
    <x:row r="141">
      <x:c r="A141" t="str">
        <x:v>941-municipality next-five expansion</x:v>
      </x:c>
      <x:c r="B141" t="str">
        <x:v>PASS</x:v>
      </x:c>
      <x:c r="C141" t="str">
        <x:v>Added exactly five new counties and 20 net-new municipality rows: Trumbull OH, Fairfield OH, Sussex NJ, Washington RI, and Cape May NJ.</x:v>
      </x:c>
      <x:c r="D141" t="str">
        <x:v>County floor remains &gt;=50,000; municipal threshold remains &gt;=10,000.</x:v>
      </x:c>
    </x:row>
    <x:row r="142">
      <x:c r="A142" t="str">
        <x:v>County selection / adjacency</x:v>
      </x:c>
      <x:c r="B142" t="str">
        <x:v>PASS</x:v>
      </x:c>
      <x:c r="C142" t="str">
        <x:v>All five counties exceed 50,000 population and directly border represented counties.</x:v>
      </x:c>
      <x:c r="D142" t="str">
        <x:v>No adjacency-ring fallback or further rule relaxation required.</x:v>
      </x:c>
    </x:row>
    <x:row r="143">
      <x:c r="A143" t="str">
        <x:v>Municipality completion</x:v>
      </x:c>
      <x:c r="B143" t="str">
        <x:v>PASS</x:v>
      </x:c>
      <x:c r="C143" t="str">
        <x:v>21 qualifying records screened; 20 net rows added after the established City+State collision rule.</x:v>
      </x:c>
      <x:c r="D143" t="str">
        <x:v>Trumbull Liberty Township OH was suppressed; the other four selected counties each contribute four net-new rows.</x:v>
      </x:c>
    </x:row>
    <x:row r="144">
      <x:c r="A144" t="str">
        <x:v>Duplicate / multi-county / area check</x:v>
      </x:c>
      <x:c r="B144" t="str">
        <x:v>PASS</x:v>
      </x:c>
      <x:c r="C144" t="str">
        <x:v>941 unique City+State rows and 299 unique County+State rows; all new municipal and county land areas are positive.</x:v>
      </x:c>
      <x:c r="D144" t="str">
        <x:v>Pickerington's multi-county canonical assignment to Fairfield County is documented.</x:v>
      </x:c>
    </x:row>
    <x:row r="145">
      <x:c r="A145" t="str">
        <x:v>Store-count treatment</x:v>
      </x:c>
      <x:c r="B145" t="str">
        <x:v>PASS</x:v>
      </x:c>
      <x:c r="C145" t="str">
        <x:v>All 20 new rows use Presence Floor = 1; no municipal chain count was assigned without boundary confidence.</x:v>
      </x:c>
      <x:c r="D145" t="str">
        <x:v>County-level specialty evidence remains separate from municipal tracked-chain counts.</x:v>
      </x:c>
    </x:row>
    <x:row r="146">
      <x:c r="A146" t="str">
        <x:v>Ranking / aggregation refresh</x:v>
      </x:c>
      <x:c r="B146" t="str">
        <x:v>PASS</x:v>
      </x:c>
      <x:c r="C146" t="str">
        <x:v>All 941 municipality rows and 299 county rows were rebuilt, sorted, and re-ranked from the complete dataset.</x:v>
      </x:c>
      <x:c r="D146" t="str">
        <x:v>County totals remain screening aggregates rather than exact deduplicated inventories.</x:v>
      </x:c>
    </x:row>
    <x:row r="147">
      <x:c r="A147" t="str">
        <x:v>Formula / error / reconciliation scan</x:v>
      </x:c>
      <x:c r="B147" t="str">
        <x:v>PASS</x:v>
      </x:c>
      <x:c r="C147" t="str">
        <x:v>City component formulas and county aggregation totals reconcile to Proxy / Lower-Bound Stores; duplicate-key checks passed and density denominators are positive.</x:v>
      </x:c>
      <x:c r="D147" t="str">
        <x:v>Final active spreadsheet error-token scan performed before export.</x:v>
      </x:c>
    </x:row>
    <x:row r="149">
      <x:c r="A149" t="str">
        <x:v>969-municipality next-ten expansion</x:v>
      </x:c>
      <x:c r="B149" t="str">
        <x:v>PASS</x:v>
      </x:c>
      <x:c r="C149" t="str">
        <x:v>Added exactly ten new counties and 28 net-new municipality rows: Newport RI, St. Clair MI, Lebanon PA, Hunterdon NJ, Miami OH, Bay MI, Bristol RI, Beaver PA, Merrimack NH, and Androscoggin ME.</x:v>
      </x:c>
      <x:c r="D149" t="str">
        <x:v>County floor remains &gt;=50,000; municipal threshold remains &gt;=10,000.</x:v>
      </x:c>
    </x:row>
    <x:row r="150">
      <x:c r="A150" t="str">
        <x:v>County selection / adjacency</x:v>
      </x:c>
      <x:c r="B150" t="str">
        <x:v>PASS</x:v>
      </x:c>
      <x:c r="C150" t="str">
        <x:v>All ten counties exceed 50,000 population and directly border represented counties.</x:v>
      </x:c>
      <x:c r="D150" t="str">
        <x:v>No adjacency-ring fallback or further rule relaxation required.</x:v>
      </x:c>
    </x:row>
    <x:row r="151">
      <x:c r="A151" t="str">
        <x:v>Municipality completion</x:v>
      </x:c>
      <x:c r="B151" t="str">
        <x:v>PASS</x:v>
      </x:c>
      <x:c r="C151" t="str">
        <x:v>28 qualifying municipality rows added with no City+State collision suppression.</x:v>
      </x:c>
      <x:c r="D151" t="str">
        <x:v>Counts by county: 4 Newport; six counties with 3 each; three counties with 2 each.</x:v>
      </x:c>
    </x:row>
    <x:row r="152">
      <x:c r="A152" t="str">
        <x:v>Duplicate / area check</x:v>
      </x:c>
      <x:c r="B152" t="str">
        <x:v>PASS</x:v>
      </x:c>
      <x:c r="C152" t="str">
        <x:v>969 unique City+State rows and 309 unique County+State rows; all new municipal and county land areas are positive.</x:v>
      </x:c>
      <x:c r="D152" t="str">
        <x:v>No duplicate City+State keys were introduced.</x:v>
      </x:c>
    </x:row>
    <x:row r="153">
      <x:c r="A153" t="str">
        <x:v>Store-count treatment</x:v>
      </x:c>
      <x:c r="B153" t="str">
        <x:v>PASS</x:v>
      </x:c>
      <x:c r="C153" t="str">
        <x:v>All 28 new rows use Presence Floor = 1; no municipal chain count was assigned without boundary confidence.</x:v>
      </x:c>
      <x:c r="D153" t="str">
        <x:v>County-level specialty evidence remains separate from municipal tracked-chain counts.</x:v>
      </x:c>
    </x:row>
    <x:row r="154">
      <x:c r="A154" t="str">
        <x:v>Ranking / aggregation refresh</x:v>
      </x:c>
      <x:c r="B154" t="str">
        <x:v>PASS</x:v>
      </x:c>
      <x:c r="C154" t="str">
        <x:v>All 969 municipality rows and 309 county rows were rebuilt, sorted, and re-ranked from the complete dataset.</x:v>
      </x:c>
      <x:c r="D154" t="str">
        <x:v>County totals remain screening aggregates rather than exact deduplicated inventories.</x:v>
      </x:c>
    </x:row>
    <x:row r="155">
      <x:c r="A155" t="str">
        <x:v>Formula / error / reconciliation scan</x:v>
      </x:c>
      <x:c r="B155" t="str">
        <x:v>PASS</x:v>
      </x:c>
      <x:c r="C155" t="str">
        <x:v>City component formulas and county aggregation totals reconcile to Proxy / Lower-Bound Stores; duplicate-key checks passed and density denominators are positive.</x:v>
      </x:c>
      <x:c r="D155" t="str">
        <x:v>Final active spreadsheet error-token scan performed before export.</x:v>
      </x:c>
    </x:row>
    <x:row r="157">
      <x:c r="A157" t="str">
        <x:v>1,020-municipality next-ten no-adjacency expansion</x:v>
      </x:c>
      <x:c r="B157" t="str">
        <x:v>PASS</x:v>
      </x:c>
      <x:c r="C157" t="str">
        <x:v>Added exactly ten new counties and 51 net-new municipality rows: New London CT, Tolland CT, Chittenden VT, Litchfield CT, Middlesex CT, Broome NY, Centre PA, Tompkins NY, Grand Traverse MI, and Berrien MI.</x:v>
      </x:c>
      <x:c r="D157" t="str">
        <x:v>County floor remains &gt;=50,000; municipal threshold remains &gt;=10,000; adjacency requirement removed.</x:v>
      </x:c>
    </x:row>
    <x:row r="158">
      <x:c r="A158" t="str">
        <x:v>County selection rule change</x:v>
      </x:c>
      <x:c r="B158" t="str">
        <x:v>PASS</x:v>
      </x:c>
      <x:c r="C158" t="str">
        <x:v>Adjacency was removed per user instruction. Counties were selected statewide across the permitted 13-state universe by qualifying-municipality breadth, then county scale/evidence.</x:v>
      </x:c>
      <x:c r="D158" t="str">
        <x:v>No adjacency fallback or ring logic applies to this pass.</x:v>
      </x:c>
    </x:row>
    <x:row r="159">
      <x:c r="A159" t="str">
        <x:v>Municipality completion</x:v>
      </x:c>
      <x:c r="B159" t="str">
        <x:v>PASS</x:v>
      </x:c>
      <x:c r="C159" t="str">
        <x:v>51 qualifying municipality rows added with no City+State collision suppression.</x:v>
      </x:c>
      <x:c r="D159" t="str">
        <x:v>Connecticut uses a documented non-overlapping town/consolidated-municipality convention; New York remains cities + towns only.</x:v>
      </x:c>
    </x:row>
    <x:row r="160">
      <x:c r="A160" t="str">
        <x:v>Duplicate / area check</x:v>
      </x:c>
      <x:c r="B160" t="str">
        <x:v>PASS</x:v>
      </x:c>
      <x:c r="C160" t="str">
        <x:v>1,020 unique City+State rows and 319 unique County+State rows; all new municipal and county density denominators are positive.</x:v>
      </x:c>
      <x:c r="D160" t="str">
        <x:v>No duplicate City+State keys were introduced.</x:v>
      </x:c>
    </x:row>
    <x:row r="161">
      <x:c r="A161" t="str">
        <x:v>Store-count treatment</x:v>
      </x:c>
      <x:c r="B161" t="str">
        <x:v>PASS</x:v>
      </x:c>
      <x:c r="C161" t="str">
        <x:v>All 51 new rows use Presence Floor = 1; no municipal tracked-chain count was assigned without boundary confidence.</x:v>
      </x:c>
      <x:c r="D161" t="str">
        <x:v>County-level specialty evidence remains separate from tracked-chain columns.</x:v>
      </x:c>
    </x:row>
    <x:row r="162">
      <x:c r="A162" t="str">
        <x:v>Ranking / aggregation refresh</x:v>
      </x:c>
      <x:c r="B162" t="str">
        <x:v>PASS</x:v>
      </x:c>
      <x:c r="C162" t="str">
        <x:v>Global Rank values were recalculated across all 1,020 municipality rows and all 319 county rows. New expansion rows are appended rather than physically re-sorted due spreadsheet-runtime limits.</x:v>
      </x:c>
      <x:c r="D162" t="str">
        <x:v>Existing city formulas and new-city density formulas remain intact; new county aggregates are retained as computed values.</x:v>
      </x:c>
    </x:row>
    <x:row r="163">
      <x:c r="A163" t="str">
        <x:v>Formula / error / reconciliation scan</x:v>
      </x:c>
      <x:c r="B163" t="str">
        <x:v>PASS</x:v>
      </x:c>
      <x:c r="C163" t="str">
        <x:v>Proxy totals and density denominators reconcile for the expansion rows; final active spreadsheet error-token scan performed before export.</x:v>
      </x:c>
      <x:c r="D163" t="str">
        <x:v>Historical QA text may contain literal error-token names; those are documentation, not active errors.</x:v>
      </x:c>
    </x:row>
  </x:sheetData>
  <x:mergeCells>
    <x:mergeCell ref="A1:D1"/>
  </x:mergeCells>
  <x:pageMargins left="0.7" right="0.7" top="0.75" bottom="0.75" header="0.3" footer="0.3"/>
</x:worksheet>
</file>